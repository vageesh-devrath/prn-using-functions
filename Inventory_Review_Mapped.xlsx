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rinkage" sheetId="1" state="visible" r:id="rId3"/>
    <sheet name="Inventory Hygiene" sheetId="2" state="visible" r:id="rId4"/>
    <sheet name="CLM &amp; IM Mapping" sheetId="3" state="visible" r:id="rId5"/>
    <sheet name="Bad Bins" sheetId="4" state="visible" r:id="rId6"/>
    <sheet name="RSTO &gt; 48hrs" sheetId="5" state="visible" r:id="rId7"/>
    <sheet name="Recirculation &gt; 24 hrs" sheetId="6" state="visible" r:id="rId8"/>
    <sheet name="Pending Putaway" sheetId="7" state="visible" r:id="rId9"/>
    <sheet name="Final Summary" sheetId="8" state="visible" r:id="rId10"/>
  </sheets>
  <definedNames>
    <definedName function="false" hidden="true" localSheetId="3" name="_xlnm._FilterDatabase" vbProcedure="false">'Bad Bins'!$B$2:$L$253</definedName>
    <definedName function="false" hidden="true" localSheetId="7" name="_xlnm._FilterDatabase" vbProcedure="false">'Final Summary'!$A$4:$J$269</definedName>
    <definedName function="false" hidden="true" localSheetId="1" name="_xlnm._FilterDatabase" vbProcedure="false">'Inventory Hygiene'!$B$2:$L$254</definedName>
    <definedName function="false" hidden="true" localSheetId="6" name="_xlnm._FilterDatabase" vbProcedure="false">'Pending Putaway'!$B$1:$L$1537</definedName>
    <definedName function="false" hidden="true" localSheetId="5" name="_xlnm._FilterDatabase" vbProcedure="false">'Recirculation &gt; 24 hrs'!$B$2:$K$151</definedName>
    <definedName function="false" hidden="true" localSheetId="4" name="_xlnm._FilterDatabase" vbProcedure="false">'RSTO &gt; 48hrs'!$B$1:$I$134</definedName>
    <definedName function="false" hidden="true" localSheetId="0" name="_xlnm._FilterDatabase" vbProcedure="false">Shrinkage!$B$1:$P$260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<sst xmlns="http://schemas.openxmlformats.org/spreadsheetml/2006/main" count="5327" uniqueCount="1668">
  <si>
    <t xml:space="preserve">Zone</t>
  </si>
  <si>
    <t xml:space="preserve">city_name_</t>
  </si>
  <si>
    <t xml:space="preserve">Store Name</t>
  </si>
  <si>
    <t xml:space="preserve">CLM</t>
  </si>
  <si>
    <t xml:space="preserve">IM</t>
  </si>
  <si>
    <t xml:space="preserve">locationtype2</t>
  </si>
  <si>
    <t xml:space="preserve">Adj_Amt</t>
  </si>
  <si>
    <t xml:space="preserve">FCC_Bin_Amt</t>
  </si>
  <si>
    <t xml:space="preserve">Other_Bin_Amt</t>
  </si>
  <si>
    <t xml:space="preserve">Shortpick_Amt</t>
  </si>
  <si>
    <t xml:space="preserve">RTO_Loss</t>
  </si>
  <si>
    <t xml:space="preserve">PP PO Closed (curr+prev)</t>
  </si>
  <si>
    <t xml:space="preserve">PP STO Closed (curr+prev)</t>
  </si>
  <si>
    <t xml:space="preserve">PP Canc Closed (curr+prev)</t>
  </si>
  <si>
    <t xml:space="preserve">Total Inhouse</t>
  </si>
  <si>
    <t xml:space="preserve">South1</t>
  </si>
  <si>
    <t xml:space="preserve">Bengaluru</t>
  </si>
  <si>
    <t xml:space="preserve">BLR-27th Main Road</t>
  </si>
  <si>
    <t xml:space="preserve">RETAIL_STORE</t>
  </si>
  <si>
    <t xml:space="preserve">BLR-BELLANDUR-4</t>
  </si>
  <si>
    <t xml:space="preserve">BLR-Margosa road</t>
  </si>
  <si>
    <t xml:space="preserve">BLR-Nehru Nagar SS</t>
  </si>
  <si>
    <t xml:space="preserve">SUPERSTORE</t>
  </si>
  <si>
    <t xml:space="preserve">BLR-Tippenahalli</t>
  </si>
  <si>
    <t xml:space="preserve">BLR-Attibele</t>
  </si>
  <si>
    <t xml:space="preserve">BLR-GUNJUR Network</t>
  </si>
  <si>
    <t xml:space="preserve">BLR-RAGHAVENDRA LAYOUT NETWORK 2</t>
  </si>
  <si>
    <t xml:space="preserve">BLR-RICHMOND TOWN SS</t>
  </si>
  <si>
    <t xml:space="preserve">BLR-RR Nagar Network</t>
  </si>
  <si>
    <t xml:space="preserve">BLR-TC Palaya</t>
  </si>
  <si>
    <t xml:space="preserve">BLR-Ullal</t>
  </si>
  <si>
    <t xml:space="preserve">Mysuru</t>
  </si>
  <si>
    <t xml:space="preserve">MYQ-Bogadi</t>
  </si>
  <si>
    <t xml:space="preserve">Palakkad</t>
  </si>
  <si>
    <t xml:space="preserve">PAL-TKV Nagar</t>
  </si>
  <si>
    <t xml:space="preserve">BLR-JP Nagar Network</t>
  </si>
  <si>
    <t xml:space="preserve">BLR-Mico Layout Network</t>
  </si>
  <si>
    <t xml:space="preserve">BLR-Electronic City New</t>
  </si>
  <si>
    <t xml:space="preserve">BLR-HSR-2</t>
  </si>
  <si>
    <t xml:space="preserve">BLR-BASAVANAPURA SS</t>
  </si>
  <si>
    <t xml:space="preserve">BLR-Banashankari Network</t>
  </si>
  <si>
    <t xml:space="preserve">BLR-Brookfield Network-2</t>
  </si>
  <si>
    <t xml:space="preserve">BLR-RICHMOND TOWN</t>
  </si>
  <si>
    <t xml:space="preserve">BLR-Richmond Town Network</t>
  </si>
  <si>
    <t xml:space="preserve">Kochi</t>
  </si>
  <si>
    <t xml:space="preserve">KOC-Kalamassery SS</t>
  </si>
  <si>
    <t xml:space="preserve">BLR-Soukya</t>
  </si>
  <si>
    <t xml:space="preserve">Coimbatore</t>
  </si>
  <si>
    <t xml:space="preserve">COI-Sundarapuram</t>
  </si>
  <si>
    <t xml:space="preserve">KOC-Thengod</t>
  </si>
  <si>
    <t xml:space="preserve">BLR-Abbigere</t>
  </si>
  <si>
    <t xml:space="preserve">BLR-Doddakannelli SS</t>
  </si>
  <si>
    <t xml:space="preserve">KOC-Thrippunithura</t>
  </si>
  <si>
    <t xml:space="preserve">BLR-Hope Farm New</t>
  </si>
  <si>
    <t xml:space="preserve">BLR-Pipeline road new</t>
  </si>
  <si>
    <t xml:space="preserve">BLR-RAGHAVENDRA LAYOUT</t>
  </si>
  <si>
    <t xml:space="preserve">BLR-SINGASANDRA NEW</t>
  </si>
  <si>
    <t xml:space="preserve">BLR-Thyagaraja Nagar</t>
  </si>
  <si>
    <t xml:space="preserve">BLR-Bellandur new</t>
  </si>
  <si>
    <t xml:space="preserve">BLR-Kamakshipalya</t>
  </si>
  <si>
    <t xml:space="preserve">BLR-Marathahalli New</t>
  </si>
  <si>
    <t xml:space="preserve">BLR-Whitefield Network-2</t>
  </si>
  <si>
    <t xml:space="preserve">BLR-Hadosiddapura</t>
  </si>
  <si>
    <t xml:space="preserve">BLR-Kengeri</t>
  </si>
  <si>
    <t xml:space="preserve">BLR-Peenya New</t>
  </si>
  <si>
    <t xml:space="preserve">BLR-Ramamurthy Nagar Network</t>
  </si>
  <si>
    <t xml:space="preserve">BLR-Vijay Nagar Network</t>
  </si>
  <si>
    <t xml:space="preserve">BLR-Bommanahalli</t>
  </si>
  <si>
    <t xml:space="preserve">BLR-CV Raman Nagar Network-2</t>
  </si>
  <si>
    <t xml:space="preserve">BLR-Cholayanakanalli</t>
  </si>
  <si>
    <t xml:space="preserve">BLR-Electronic City SS</t>
  </si>
  <si>
    <t xml:space="preserve">BLR-Mathikere</t>
  </si>
  <si>
    <t xml:space="preserve">BLR-Doddanekundi</t>
  </si>
  <si>
    <t xml:space="preserve">BLR-Kasturinagar New</t>
  </si>
  <si>
    <t xml:space="preserve">BLR-Silicon Town</t>
  </si>
  <si>
    <t xml:space="preserve">BLR-Singapura</t>
  </si>
  <si>
    <t xml:space="preserve">BLR-Malleshpalya</t>
  </si>
  <si>
    <t xml:space="preserve">BLR-JP Nagar Network-2</t>
  </si>
  <si>
    <t xml:space="preserve">BLR-BTM-2</t>
  </si>
  <si>
    <t xml:space="preserve">BLR-Vidyaranyapura</t>
  </si>
  <si>
    <t xml:space="preserve">KOC-Kakkanad</t>
  </si>
  <si>
    <t xml:space="preserve">BLR-Doomasandra</t>
  </si>
  <si>
    <t xml:space="preserve">BLR-Magadi Road</t>
  </si>
  <si>
    <t xml:space="preserve">KOC-Kalamassery</t>
  </si>
  <si>
    <t xml:space="preserve">BLR - Bhadrappa Layout</t>
  </si>
  <si>
    <t xml:space="preserve">BLR-Malagala</t>
  </si>
  <si>
    <t xml:space="preserve">BLR-Narayanapura</t>
  </si>
  <si>
    <t xml:space="preserve">BLR-Seegehalli</t>
  </si>
  <si>
    <t xml:space="preserve">COI-Race Course</t>
  </si>
  <si>
    <t xml:space="preserve">KOC-Fort</t>
  </si>
  <si>
    <t xml:space="preserve">BLR-Channasandra</t>
  </si>
  <si>
    <t xml:space="preserve">BLR-JC Nagar</t>
  </si>
  <si>
    <t xml:space="preserve">Hubballi</t>
  </si>
  <si>
    <t xml:space="preserve">HBL-Keshwapura</t>
  </si>
  <si>
    <t xml:space="preserve">BLR-BTM Layout Network-3</t>
  </si>
  <si>
    <t xml:space="preserve">BLR-CV Raman Nagar SS</t>
  </si>
  <si>
    <t xml:space="preserve">BLR-HEBBAL NEW</t>
  </si>
  <si>
    <t xml:space="preserve">BLR-Malleshwaram SS</t>
  </si>
  <si>
    <t xml:space="preserve">BLR-Brookfield Network</t>
  </si>
  <si>
    <t xml:space="preserve">BLR-Kalkere</t>
  </si>
  <si>
    <t xml:space="preserve">BLR-Narayanapura Network</t>
  </si>
  <si>
    <t xml:space="preserve">BLR-Nikoo home SS</t>
  </si>
  <si>
    <t xml:space="preserve">BLR-Teachers colony</t>
  </si>
  <si>
    <t xml:space="preserve">BLR-Banashankari New</t>
  </si>
  <si>
    <t xml:space="preserve">BLR-Malleshwaram new</t>
  </si>
  <si>
    <t xml:space="preserve">BLR-SHIVAJI NAGAR Network</t>
  </si>
  <si>
    <t xml:space="preserve">HBL-Saptapur</t>
  </si>
  <si>
    <t xml:space="preserve">BLR-Eldorado</t>
  </si>
  <si>
    <t xml:space="preserve">Tumkuru</t>
  </si>
  <si>
    <t xml:space="preserve">TUM-SS Puram</t>
  </si>
  <si>
    <t xml:space="preserve">BLR-Avalahalli Main</t>
  </si>
  <si>
    <t xml:space="preserve">BLR-BELLANDUR - 2</t>
  </si>
  <si>
    <t xml:space="preserve">BLR-Bellandur SS</t>
  </si>
  <si>
    <t xml:space="preserve">BLR-Bellandur-3</t>
  </si>
  <si>
    <t xml:space="preserve">BLR-RWF Yelahanka</t>
  </si>
  <si>
    <t xml:space="preserve">HBL-Gokul Road</t>
  </si>
  <si>
    <t xml:space="preserve">BLR-BTM-2 New</t>
  </si>
  <si>
    <t xml:space="preserve">BLR-HSR Layout New</t>
  </si>
  <si>
    <t xml:space="preserve">BLR-Singasandra Network</t>
  </si>
  <si>
    <t xml:space="preserve">BLR-JP Nagar SS</t>
  </si>
  <si>
    <t xml:space="preserve">BLR-Bannerghatta SS</t>
  </si>
  <si>
    <t xml:space="preserve">BLR-Manjunatha layout</t>
  </si>
  <si>
    <t xml:space="preserve">BLR-Nikoo Home New</t>
  </si>
  <si>
    <t xml:space="preserve">BLR-Silver County</t>
  </si>
  <si>
    <t xml:space="preserve">BLR-Bagalakunte</t>
  </si>
  <si>
    <t xml:space="preserve">BLR-Marathahalli-3</t>
  </si>
  <si>
    <t xml:space="preserve">BLR-TMC Layout</t>
  </si>
  <si>
    <t xml:space="preserve">BLR-Banjara Layout</t>
  </si>
  <si>
    <t xml:space="preserve">BLR-KALYAN NAGAR NEW</t>
  </si>
  <si>
    <t xml:space="preserve">BLR-Kambipura</t>
  </si>
  <si>
    <t xml:space="preserve">BLR-Peenya SS</t>
  </si>
  <si>
    <t xml:space="preserve">BLR-Vidyaranyapura SS</t>
  </si>
  <si>
    <t xml:space="preserve">BLR-Vijay Nagar SS</t>
  </si>
  <si>
    <t xml:space="preserve">BLR-Kadugodi</t>
  </si>
  <si>
    <t xml:space="preserve">BLR-Mico layout New</t>
  </si>
  <si>
    <t xml:space="preserve">COI-Parashakti nagar</t>
  </si>
  <si>
    <t xml:space="preserve">KOC-Kaloor</t>
  </si>
  <si>
    <t xml:space="preserve">BLR-BTM LAYOUT NEW</t>
  </si>
  <si>
    <t xml:space="preserve">Belgavi</t>
  </si>
  <si>
    <t xml:space="preserve">BEL-Sector 12</t>
  </si>
  <si>
    <t xml:space="preserve">BLR-Dasarahalli</t>
  </si>
  <si>
    <t xml:space="preserve">BLR-RAMAMURTHY NAGAR NEW</t>
  </si>
  <si>
    <t xml:space="preserve">BLR-Nagavara</t>
  </si>
  <si>
    <t xml:space="preserve">BLR-Nagondanahalli</t>
  </si>
  <si>
    <t xml:space="preserve">BLR-Sanjaynagar</t>
  </si>
  <si>
    <t xml:space="preserve">BLR-Sarjapur-2</t>
  </si>
  <si>
    <t xml:space="preserve">BLR-Siddapura</t>
  </si>
  <si>
    <t xml:space="preserve">BLR-Silver County  SS</t>
  </si>
  <si>
    <t xml:space="preserve">MYQ-Hudco</t>
  </si>
  <si>
    <t xml:space="preserve">BLR-Bannerghatta Network</t>
  </si>
  <si>
    <t xml:space="preserve">BLR-Goraguntepalya</t>
  </si>
  <si>
    <t xml:space="preserve">BLR-BANNERGHATTA</t>
  </si>
  <si>
    <t xml:space="preserve">COI-Peelamedu</t>
  </si>
  <si>
    <t xml:space="preserve">BLR-HSR-Flower-Shop-1</t>
  </si>
  <si>
    <t xml:space="preserve">BLR-Hegganahalli</t>
  </si>
  <si>
    <t xml:space="preserve">BLR-Peenya Network</t>
  </si>
  <si>
    <t xml:space="preserve">BEL-Khanapur Road</t>
  </si>
  <si>
    <t xml:space="preserve">BLR-Marathalli SS</t>
  </si>
  <si>
    <t xml:space="preserve">MYQ-Vani villas</t>
  </si>
  <si>
    <t xml:space="preserve">BLR-Agrahara Road</t>
  </si>
  <si>
    <t xml:space="preserve">BLR-BASAVANAPURA</t>
  </si>
  <si>
    <t xml:space="preserve">BLR-Golahalli</t>
  </si>
  <si>
    <t xml:space="preserve">BLR-HeadOffice-Cafe</t>
  </si>
  <si>
    <t xml:space="preserve">BLR-Jayanagar 9th block</t>
  </si>
  <si>
    <t xml:space="preserve">BLR-Junnasandra</t>
  </si>
  <si>
    <t xml:space="preserve">BLR-Yelahanka new town New</t>
  </si>
  <si>
    <t xml:space="preserve">BLR-Bidaraguppe</t>
  </si>
  <si>
    <t xml:space="preserve">BLR-Dooravani Nagar</t>
  </si>
  <si>
    <t xml:space="preserve">BLR-RR Nagar SS</t>
  </si>
  <si>
    <t xml:space="preserve">BLR-Yallapa Garden</t>
  </si>
  <si>
    <t xml:space="preserve">COI-Vadavalli 1</t>
  </si>
  <si>
    <t xml:space="preserve">KOC-Infopark</t>
  </si>
  <si>
    <t xml:space="preserve">MYQ-Kuvempu Nagar</t>
  </si>
  <si>
    <t xml:space="preserve">BLR-Sarjapur New</t>
  </si>
  <si>
    <t xml:space="preserve">BLR-BASAVANAPURA NETWORK 2</t>
  </si>
  <si>
    <t xml:space="preserve">BLR-JP Nagar New</t>
  </si>
  <si>
    <t xml:space="preserve">BLR-Mico layout network-2</t>
  </si>
  <si>
    <t xml:space="preserve">MYQ-Chamundi Vihar</t>
  </si>
  <si>
    <t xml:space="preserve">BLR-INDIRANAGAR NEW</t>
  </si>
  <si>
    <t xml:space="preserve">COI-Nehru Nagar</t>
  </si>
  <si>
    <t xml:space="preserve">BLR-Basavanapura Network</t>
  </si>
  <si>
    <t xml:space="preserve">BLR-Gunjur New</t>
  </si>
  <si>
    <t xml:space="preserve">BLR-Neo Town</t>
  </si>
  <si>
    <t xml:space="preserve">BLR-Sattava East</t>
  </si>
  <si>
    <t xml:space="preserve">BLR-Shivaji Nagar SS</t>
  </si>
  <si>
    <t xml:space="preserve">KOC-Friendship nagar</t>
  </si>
  <si>
    <t xml:space="preserve">BLR-Michael Palaya</t>
  </si>
  <si>
    <t xml:space="preserve">BLR-Nehru Nagar</t>
  </si>
  <si>
    <t xml:space="preserve">BLR-Yelenahalli</t>
  </si>
  <si>
    <t xml:space="preserve">BLR-Bellandur-5</t>
  </si>
  <si>
    <t xml:space="preserve">BLR-Challakere</t>
  </si>
  <si>
    <t xml:space="preserve">BLR-Kudlu</t>
  </si>
  <si>
    <t xml:space="preserve">BLR-New Gurappanya Palya</t>
  </si>
  <si>
    <t xml:space="preserve">BLR-Whitefield New</t>
  </si>
  <si>
    <t xml:space="preserve">MYQ-Vijayanagar</t>
  </si>
  <si>
    <t xml:space="preserve">BLR-BEML Layout</t>
  </si>
  <si>
    <t xml:space="preserve">BLR-Balagere SS</t>
  </si>
  <si>
    <t xml:space="preserve">BLR-Bommasandra</t>
  </si>
  <si>
    <t xml:space="preserve">BLR-HBR Layout</t>
  </si>
  <si>
    <t xml:space="preserve">BLR-Kumaraswamy Layout</t>
  </si>
  <si>
    <t xml:space="preserve">BLR-Sompura</t>
  </si>
  <si>
    <t xml:space="preserve">PAL-Pallipuram</t>
  </si>
  <si>
    <t xml:space="preserve">BLR-Bellandur 6</t>
  </si>
  <si>
    <t xml:space="preserve">BLR-JAYANAGAR New</t>
  </si>
  <si>
    <t xml:space="preserve">BLR-Mathikere New</t>
  </si>
  <si>
    <t xml:space="preserve">BLR-Choodasandra</t>
  </si>
  <si>
    <t xml:space="preserve">BLR-HSR-3</t>
  </si>
  <si>
    <t xml:space="preserve">BLR-Murugeshpalya</t>
  </si>
  <si>
    <t xml:space="preserve">HBL-Vidhya Nagar</t>
  </si>
  <si>
    <t xml:space="preserve">PAL-Kalpathy</t>
  </si>
  <si>
    <t xml:space="preserve">BLR-BHADRAPPA LAYOUT NETWORK</t>
  </si>
  <si>
    <t xml:space="preserve">BLR-Belathur</t>
  </si>
  <si>
    <t xml:space="preserve">BLR-Chamrajpet</t>
  </si>
  <si>
    <t xml:space="preserve">BLR-HSR SS</t>
  </si>
  <si>
    <t xml:space="preserve">BLR-Iggalur</t>
  </si>
  <si>
    <t xml:space="preserve">BLR-Jakkur Network</t>
  </si>
  <si>
    <t xml:space="preserve">BLR-Kasavanahalli</t>
  </si>
  <si>
    <t xml:space="preserve">COI-Ramnathapuram</t>
  </si>
  <si>
    <t xml:space="preserve">BLR-Nelmagala Town</t>
  </si>
  <si>
    <t xml:space="preserve">COI-Singanallur</t>
  </si>
  <si>
    <t xml:space="preserve">BLR-Carmelaram</t>
  </si>
  <si>
    <t xml:space="preserve">BLR-Kannika Nagar</t>
  </si>
  <si>
    <t xml:space="preserve">BLR-Marathahalli-4</t>
  </si>
  <si>
    <t xml:space="preserve">BLR-Anjanapura</t>
  </si>
  <si>
    <t xml:space="preserve">BLR-Electronic City Network-2</t>
  </si>
  <si>
    <t xml:space="preserve">BLR-Kothnur New</t>
  </si>
  <si>
    <t xml:space="preserve">BLR- Brookefield SS</t>
  </si>
  <si>
    <t xml:space="preserve">BLR-RK Hegde Nagar</t>
  </si>
  <si>
    <t xml:space="preserve">Davanagere</t>
  </si>
  <si>
    <t xml:space="preserve">DEV-MCC</t>
  </si>
  <si>
    <t xml:space="preserve">KOC-Vallathol Padi</t>
  </si>
  <si>
    <t xml:space="preserve">BLR- Sonnenahalli New</t>
  </si>
  <si>
    <t xml:space="preserve">BLR-Aswath Nagar</t>
  </si>
  <si>
    <t xml:space="preserve">BLR-Dooravani Nagar SS</t>
  </si>
  <si>
    <t xml:space="preserve">BLR-Garudachar Palya</t>
  </si>
  <si>
    <t xml:space="preserve">BLR-Rajarajeshwari Nagar</t>
  </si>
  <si>
    <t xml:space="preserve">BLR-Electronic city network</t>
  </si>
  <si>
    <t xml:space="preserve">BLR-Nagdevanahalli</t>
  </si>
  <si>
    <t xml:space="preserve">DEV-Jayanagara</t>
  </si>
  <si>
    <t xml:space="preserve">BLR-CV RAMAN NAGAR NEW</t>
  </si>
  <si>
    <t xml:space="preserve">BLR-Devasandra Extension</t>
  </si>
  <si>
    <t xml:space="preserve">BLR-Hope Farm SS</t>
  </si>
  <si>
    <t xml:space="preserve">BLR-Kannamangala</t>
  </si>
  <si>
    <t xml:space="preserve">MYQ-Chamrajpura</t>
  </si>
  <si>
    <t xml:space="preserve">BLR-Chikkanagamangala</t>
  </si>
  <si>
    <t xml:space="preserve">BLR-ITPL Layout</t>
  </si>
  <si>
    <t xml:space="preserve">BLR-Kogilu Road</t>
  </si>
  <si>
    <t xml:space="preserve">BLR-Sunrise Layout</t>
  </si>
  <si>
    <t xml:space="preserve">BLR-Varthur</t>
  </si>
  <si>
    <t xml:space="preserve">BLR-YESHWANTPUR</t>
  </si>
  <si>
    <t xml:space="preserve">COI-R S Puram</t>
  </si>
  <si>
    <t xml:space="preserve">BLR-Arekere</t>
  </si>
  <si>
    <t xml:space="preserve">BLR-Yelahanka Network</t>
  </si>
  <si>
    <t xml:space="preserve">BLR-Jakkur New</t>
  </si>
  <si>
    <t xml:space="preserve">BLR-RAGHAVENDRA LAYOUT NETWORK</t>
  </si>
  <si>
    <t xml:space="preserve">KOC-Aluva</t>
  </si>
  <si>
    <t xml:space="preserve">BLR-BTM-3</t>
  </si>
  <si>
    <t xml:space="preserve">BLR-Chandapura</t>
  </si>
  <si>
    <t xml:space="preserve">BLR-Doddakannelli</t>
  </si>
  <si>
    <t xml:space="preserve">COI-Sai baba colony</t>
  </si>
  <si>
    <t xml:space="preserve">Hosur</t>
  </si>
  <si>
    <t xml:space="preserve">HOS-Hosur</t>
  </si>
  <si>
    <t xml:space="preserve">BLR-Kadarenahalli</t>
  </si>
  <si>
    <t xml:space="preserve">BLR-Kalyan Nagar Network</t>
  </si>
  <si>
    <t xml:space="preserve">BLR-Marathahalli 2</t>
  </si>
  <si>
    <t xml:space="preserve">BLR-Sattava East SS</t>
  </si>
  <si>
    <t xml:space="preserve">KOC-PALLURTHY</t>
  </si>
  <si>
    <t xml:space="preserve">BLR-Chickpet New</t>
  </si>
  <si>
    <t xml:space="preserve">BLR-Singasandra SS</t>
  </si>
  <si>
    <t xml:space="preserve">MYQ-Mahadevpura</t>
  </si>
  <si>
    <t xml:space="preserve">BLR-Bagalur</t>
  </si>
  <si>
    <t xml:space="preserve">BLR-Budigere Cross</t>
  </si>
  <si>
    <t xml:space="preserve">BLR-Kadarenahalli SS</t>
  </si>
  <si>
    <t xml:space="preserve">BLR-Shivaji nagar New</t>
  </si>
  <si>
    <t xml:space="preserve">BLR-VIJAY NAGAR</t>
  </si>
  <si>
    <t xml:space="preserve">BLR-Hennur New</t>
  </si>
  <si>
    <t xml:space="preserve">BLR-Bannerghatta Network 2</t>
  </si>
  <si>
    <t xml:space="preserve">BLR-CV Raman Nagar Network</t>
  </si>
  <si>
    <t xml:space="preserve">BLR-Devanahalli</t>
  </si>
  <si>
    <t xml:space="preserve">BLR-Doddathoguru</t>
  </si>
  <si>
    <t xml:space="preserve">BLR-Hennur Main</t>
  </si>
  <si>
    <t xml:space="preserve">KOC-Edappally</t>
  </si>
  <si>
    <t xml:space="preserve">MYQ-Rajendra Nagar</t>
  </si>
  <si>
    <t xml:space="preserve">Kozhikode</t>
  </si>
  <si>
    <t xml:space="preserve">KZD-Nadakkave</t>
  </si>
  <si>
    <t xml:space="preserve">BLR-Chikkajala</t>
  </si>
  <si>
    <t xml:space="preserve">BLR-Koramangala Network</t>
  </si>
  <si>
    <t xml:space="preserve">BLR-Pipeline Road</t>
  </si>
  <si>
    <t xml:space="preserve">store_name</t>
  </si>
  <si>
    <t xml:space="preserve">sub_store_type</t>
  </si>
  <si>
    <t xml:space="preserve">planogram_enabled_flag</t>
  </si>
  <si>
    <t xml:space="preserve">city_name</t>
  </si>
  <si>
    <t xml:space="preserve">Total Bins</t>
  </si>
  <si>
    <t xml:space="preserve">CC MTD %</t>
  </si>
  <si>
    <t xml:space="preserve">BA MTD %</t>
  </si>
  <si>
    <t xml:space="preserve">IA MTD %</t>
  </si>
  <si>
    <t xml:space="preserve">CC ACC %</t>
  </si>
  <si>
    <t xml:space="preserve">No</t>
  </si>
  <si>
    <t xml:space="preserve">Yes</t>
  </si>
  <si>
    <t xml:space="preserve">BLR-BROOKEFIELD</t>
  </si>
  <si>
    <t xml:space="preserve">BLR-Silver County SS</t>
  </si>
  <si>
    <t xml:space="preserve">Store Names</t>
  </si>
  <si>
    <t xml:space="preserve">CLM Updated</t>
  </si>
  <si>
    <t xml:space="preserve">New IM Mapping</t>
  </si>
  <si>
    <t xml:space="preserve">Saddam Hussain</t>
  </si>
  <si>
    <t xml:space="preserve">Un Mapped</t>
  </si>
  <si>
    <t xml:space="preserve">Sundaresh S</t>
  </si>
  <si>
    <t xml:space="preserve">Rizwan Ahmed</t>
  </si>
  <si>
    <t xml:space="preserve">Girish N</t>
  </si>
  <si>
    <t xml:space="preserve">Manjunatha V</t>
  </si>
  <si>
    <t xml:space="preserve">Keshav G</t>
  </si>
  <si>
    <t xml:space="preserve">BLR-GUNJUR</t>
  </si>
  <si>
    <t xml:space="preserve">Akshay P</t>
  </si>
  <si>
    <t xml:space="preserve">Srittam Dhal</t>
  </si>
  <si>
    <t xml:space="preserve">Manoj Kj</t>
  </si>
  <si>
    <t xml:space="preserve">Arun Raj</t>
  </si>
  <si>
    <t xml:space="preserve">Simon Manoharan</t>
  </si>
  <si>
    <t xml:space="preserve">Basil Scariya</t>
  </si>
  <si>
    <t xml:space="preserve">Prakash BS</t>
  </si>
  <si>
    <t xml:space="preserve">Raghavendra Vernekar</t>
  </si>
  <si>
    <t xml:space="preserve">BLR-KOTHNUR New</t>
  </si>
  <si>
    <t xml:space="preserve">Adhavan Subramani</t>
  </si>
  <si>
    <t xml:space="preserve">Mohammed Akbar</t>
  </si>
  <si>
    <t xml:space="preserve">Balaji G</t>
  </si>
  <si>
    <t xml:space="preserve">BLR-SINGASANDRA</t>
  </si>
  <si>
    <t xml:space="preserve">Mohaideen DH</t>
  </si>
  <si>
    <t xml:space="preserve">MH</t>
  </si>
  <si>
    <t xml:space="preserve">Bangareppa CS</t>
  </si>
  <si>
    <t xml:space="preserve">Kishor K</t>
  </si>
  <si>
    <t xml:space="preserve">Narasimhamurthy R</t>
  </si>
  <si>
    <t xml:space="preserve">Ravishankar gowda</t>
  </si>
  <si>
    <t xml:space="preserve">Majid Kakatikar</t>
  </si>
  <si>
    <t xml:space="preserve">Richard Harris</t>
  </si>
  <si>
    <t xml:space="preserve">Kantha Kumar</t>
  </si>
  <si>
    <t xml:space="preserve">Ashwath S</t>
  </si>
  <si>
    <t xml:space="preserve">Vijay M</t>
  </si>
  <si>
    <t xml:space="preserve">BLR-SHIVAJI NAGAR New</t>
  </si>
  <si>
    <t xml:space="preserve">BLR-Margosa Road</t>
  </si>
  <si>
    <t xml:space="preserve">Silambarasan E</t>
  </si>
  <si>
    <t xml:space="preserve">Arivind S</t>
  </si>
  <si>
    <t xml:space="preserve">Vishnu V</t>
  </si>
  <si>
    <t xml:space="preserve">Suhas N</t>
  </si>
  <si>
    <t xml:space="preserve">Aravind S</t>
  </si>
  <si>
    <t xml:space="preserve">John Britto</t>
  </si>
  <si>
    <t xml:space="preserve">Santhosha M</t>
  </si>
  <si>
    <t xml:space="preserve">BLR-BANASHANKARI New</t>
  </si>
  <si>
    <t xml:space="preserve">TIR-KPN Colony</t>
  </si>
  <si>
    <t xml:space="preserve">TIR-Thiru VK Nagar Road</t>
  </si>
  <si>
    <t xml:space="preserve">Row Labels</t>
  </si>
  <si>
    <t xml:space="preserve">DAMAGEBIN</t>
  </si>
  <si>
    <t xml:space="preserve">EXPIRYBIN</t>
  </si>
  <si>
    <t xml:space="preserve">QUALITYBIN</t>
  </si>
  <si>
    <t xml:space="preserve">REINVENTORY-DAMAGEBIN</t>
  </si>
  <si>
    <t xml:space="preserve">REINVENTORY-QUALITYBIN</t>
  </si>
  <si>
    <t xml:space="preserve">SCRAPBIN</t>
  </si>
  <si>
    <t xml:space="preserve">Grand Total</t>
  </si>
  <si>
    <t xml:space="preserve">Created_last_24_hours</t>
  </si>
  <si>
    <t xml:space="preserve">c) 48-72 hr</t>
  </si>
  <si>
    <t xml:space="preserve">d) 72-96 hr</t>
  </si>
  <si>
    <t xml:space="preserve">e) &gt;96 hr</t>
  </si>
  <si>
    <t xml:space="preserve">24-48 hrs</t>
  </si>
  <si>
    <t xml:space="preserve">48-72 hrs</t>
  </si>
  <si>
    <t xml:space="preserve">72-96 hrs</t>
  </si>
  <si>
    <t xml:space="preserve">&gt;96 hrs</t>
  </si>
  <si>
    <t xml:space="preserve">A2P</t>
  </si>
  <si>
    <t xml:space="preserve">P2D</t>
  </si>
  <si>
    <t xml:space="preserve">Store</t>
  </si>
  <si>
    <t xml:space="preserve">Total PP</t>
  </si>
  <si>
    <t xml:space="preserve">0-8 Hrs</t>
  </si>
  <si>
    <t xml:space="preserve">8-16 Hrs</t>
  </si>
  <si>
    <t xml:space="preserve">16-24 Hrs</t>
  </si>
  <si>
    <t xml:space="preserve">24-36 Hrs</t>
  </si>
  <si>
    <t xml:space="preserve">36- 48 Hrs</t>
  </si>
  <si>
    <t xml:space="preserve">48+ Hrs</t>
  </si>
  <si>
    <t xml:space="preserve">Critical PP</t>
  </si>
  <si>
    <t xml:space="preserve">AGR-Rakabganj</t>
  </si>
  <si>
    <t xml:space="preserve">AGR-Bain Bazaar</t>
  </si>
  <si>
    <t xml:space="preserve">AGR-Tajganj</t>
  </si>
  <si>
    <t xml:space="preserve">AGR-Jaipur House</t>
  </si>
  <si>
    <t xml:space="preserve">AGR-Kandhari</t>
  </si>
  <si>
    <t xml:space="preserve">AGR-Dayalbagh</t>
  </si>
  <si>
    <t xml:space="preserve">AGR-Sikandara</t>
  </si>
  <si>
    <t xml:space="preserve">AHM-Sola</t>
  </si>
  <si>
    <t xml:space="preserve">AHM-New North Bopal</t>
  </si>
  <si>
    <t xml:space="preserve">AHM-Tragad</t>
  </si>
  <si>
    <t xml:space="preserve">AHM-Old Ranip</t>
  </si>
  <si>
    <t xml:space="preserve">AHM-Nirma University</t>
  </si>
  <si>
    <t xml:space="preserve">AHM-Paldi</t>
  </si>
  <si>
    <t xml:space="preserve">AHM-New Ranip</t>
  </si>
  <si>
    <t xml:space="preserve">AHM-Vastral</t>
  </si>
  <si>
    <t xml:space="preserve">AHM-South Bopal</t>
  </si>
  <si>
    <t xml:space="preserve">AHM-Thaltej</t>
  </si>
  <si>
    <t xml:space="preserve">AHM-Hansol</t>
  </si>
  <si>
    <t xml:space="preserve">AHM-Nikol New</t>
  </si>
  <si>
    <t xml:space="preserve">AHM-Motera</t>
  </si>
  <si>
    <t xml:space="preserve">AHM-Raysan</t>
  </si>
  <si>
    <t xml:space="preserve">AHM-Kankaria Lake</t>
  </si>
  <si>
    <t xml:space="preserve">AHM-Sector 28 Gandhinagar</t>
  </si>
  <si>
    <t xml:space="preserve">AHM-Chanakyapuri</t>
  </si>
  <si>
    <t xml:space="preserve">AHM-Ghatlodia</t>
  </si>
  <si>
    <t xml:space="preserve">AHM-Navrangpura New</t>
  </si>
  <si>
    <t xml:space="preserve">AHM-Gandhinagar</t>
  </si>
  <si>
    <t xml:space="preserve">AHM-Sundar Nagar</t>
  </si>
  <si>
    <t xml:space="preserve">AHM-Shahibaug</t>
  </si>
  <si>
    <t xml:space="preserve">AHM-Chandkheda</t>
  </si>
  <si>
    <t xml:space="preserve">AHM-Tragad SS</t>
  </si>
  <si>
    <t xml:space="preserve">AHM-Vavol</t>
  </si>
  <si>
    <t xml:space="preserve">AHM-Shantigram</t>
  </si>
  <si>
    <t xml:space="preserve">AHM-Makarba</t>
  </si>
  <si>
    <t xml:space="preserve">AHM-Nandanbaug</t>
  </si>
  <si>
    <t xml:space="preserve">AHM-Sunrise Park</t>
  </si>
  <si>
    <t xml:space="preserve">AHM-Gota</t>
  </si>
  <si>
    <t xml:space="preserve">AHM-Nana Chiloda</t>
  </si>
  <si>
    <t xml:space="preserve">AHM-Jagatpur</t>
  </si>
  <si>
    <t xml:space="preserve">AHM-Vraj Vihar 3</t>
  </si>
  <si>
    <t xml:space="preserve">AHM-Bapunagar</t>
  </si>
  <si>
    <t xml:space="preserve">AHM-Nadiad</t>
  </si>
  <si>
    <t xml:space="preserve">AHM-New Vatva</t>
  </si>
  <si>
    <t xml:space="preserve">AJM-Chandra Vardai Nagar</t>
  </si>
  <si>
    <t xml:space="preserve">AGH-Bypass Road</t>
  </si>
  <si>
    <t xml:space="preserve">AGH-Bannadevi</t>
  </si>
  <si>
    <t xml:space="preserve">ALW-Moti Doongri</t>
  </si>
  <si>
    <t xml:space="preserve">AMB-Arya Nagar</t>
  </si>
  <si>
    <t xml:space="preserve">AMB-Sector 7</t>
  </si>
  <si>
    <t xml:space="preserve">ATQ-Chatiwind Gate</t>
  </si>
  <si>
    <t xml:space="preserve">ATQ-Gumtala</t>
  </si>
  <si>
    <t xml:space="preserve">ATQ-Friends colony</t>
  </si>
  <si>
    <t xml:space="preserve">ATQ-Mohan Nagar</t>
  </si>
  <si>
    <t xml:space="preserve">ATQ-White Avenue</t>
  </si>
  <si>
    <t xml:space="preserve">ATQ-Sandhu Colony</t>
  </si>
  <si>
    <t xml:space="preserve">AND-Mota Bazar</t>
  </si>
  <si>
    <t xml:space="preserve">ASN-Shristinagar</t>
  </si>
  <si>
    <t xml:space="preserve">ASN-Ushagram</t>
  </si>
  <si>
    <t xml:space="preserve">BDG-Sector 9</t>
  </si>
  <si>
    <t xml:space="preserve">BDG-Town B</t>
  </si>
  <si>
    <t xml:space="preserve">BDG-Sector 2</t>
  </si>
  <si>
    <t xml:space="preserve">BDM-Ichlabad</t>
  </si>
  <si>
    <t xml:space="preserve">BDM-Kantapukur</t>
  </si>
  <si>
    <t xml:space="preserve">BEK-Mahanagar Colony</t>
  </si>
  <si>
    <t xml:space="preserve">BEK-Green Park Colony</t>
  </si>
  <si>
    <t xml:space="preserve">BEK-Rampur Garden</t>
  </si>
  <si>
    <t xml:space="preserve">BEK-Janakpuri</t>
  </si>
  <si>
    <t xml:space="preserve">BWD-Milkapur</t>
  </si>
  <si>
    <t xml:space="preserve">BWD-Thara</t>
  </si>
  <si>
    <t xml:space="preserve">BPL-AIIMS</t>
  </si>
  <si>
    <t xml:space="preserve">BBS-Jharpada</t>
  </si>
  <si>
    <t xml:space="preserve">CHD-Nayagaon</t>
  </si>
  <si>
    <t xml:space="preserve">CHD-Sector 34</t>
  </si>
  <si>
    <t xml:space="preserve">CHD-Sector 17</t>
  </si>
  <si>
    <t xml:space="preserve">CHD-Sector 26</t>
  </si>
  <si>
    <t xml:space="preserve">CHD-Manimajra</t>
  </si>
  <si>
    <t xml:space="preserve">CHD-Sector 54 Phase 2</t>
  </si>
  <si>
    <t xml:space="preserve">CSN-Satara Parisar</t>
  </si>
  <si>
    <t xml:space="preserve">CSN-Nageshwarwadi</t>
  </si>
  <si>
    <t xml:space="preserve">CSN-CIDCO</t>
  </si>
  <si>
    <t xml:space="preserve">CHN-Perungudi SS</t>
  </si>
  <si>
    <t xml:space="preserve">CHN-Vanagram</t>
  </si>
  <si>
    <t xml:space="preserve">CHN-Anna Nagar SS</t>
  </si>
  <si>
    <t xml:space="preserve">CHN-Medavakkam Network</t>
  </si>
  <si>
    <t xml:space="preserve">CHN-Vanagram SS</t>
  </si>
  <si>
    <t xml:space="preserve">CHN-Vyasarpadi SS</t>
  </si>
  <si>
    <t xml:space="preserve">CHN-Navalur New</t>
  </si>
  <si>
    <t xml:space="preserve">CHN-Velachery New</t>
  </si>
  <si>
    <t xml:space="preserve">CHN-Nungambakkam new</t>
  </si>
  <si>
    <t xml:space="preserve">CHN-TNHB Layout</t>
  </si>
  <si>
    <t xml:space="preserve">CHN-OTTERI</t>
  </si>
  <si>
    <t xml:space="preserve">CHN-Manivakkam</t>
  </si>
  <si>
    <t xml:space="preserve">CHN-KELAMBAKKAM New</t>
  </si>
  <si>
    <t xml:space="preserve">MADAMBAKKAM</t>
  </si>
  <si>
    <t xml:space="preserve">CHN-KKR Nagar</t>
  </si>
  <si>
    <t xml:space="preserve">CHN-Navalur SS</t>
  </si>
  <si>
    <t xml:space="preserve">CHN-Sholinganallur New</t>
  </si>
  <si>
    <t xml:space="preserve">CHN-Ashok Nagar</t>
  </si>
  <si>
    <t xml:space="preserve">CHN-MYLAPORE New</t>
  </si>
  <si>
    <t xml:space="preserve">CHN-Mudichur SS</t>
  </si>
  <si>
    <t xml:space="preserve">CHN-Anna Nagar New</t>
  </si>
  <si>
    <t xml:space="preserve">CHN-PERAMBUR NEW</t>
  </si>
  <si>
    <t xml:space="preserve">CHN-Madhanandapuram</t>
  </si>
  <si>
    <t xml:space="preserve">CHN-Avadi</t>
  </si>
  <si>
    <t xml:space="preserve">CHN-Pammal SS</t>
  </si>
  <si>
    <t xml:space="preserve">CHN-Irumbuliyur</t>
  </si>
  <si>
    <t xml:space="preserve">CHN-Perumbakkam Network</t>
  </si>
  <si>
    <t xml:space="preserve">CHN-Pammal Network 2</t>
  </si>
  <si>
    <t xml:space="preserve">CHN-ADYAR NETWORK</t>
  </si>
  <si>
    <t xml:space="preserve">CHN-VGM Street</t>
  </si>
  <si>
    <t xml:space="preserve">CHN-Anna Nagar Network</t>
  </si>
  <si>
    <t xml:space="preserve">CHN-VANDALUR</t>
  </si>
  <si>
    <t xml:space="preserve">CHN-Ayanavaram</t>
  </si>
  <si>
    <t xml:space="preserve">CHN-TNAGAR Network</t>
  </si>
  <si>
    <t xml:space="preserve">CHN-KK Nagar Network New</t>
  </si>
  <si>
    <t xml:space="preserve">CHN-Nandambakam New</t>
  </si>
  <si>
    <t xml:space="preserve">CHN-VANDALUR NETWORK</t>
  </si>
  <si>
    <t xml:space="preserve">CHN-Sithalapakkam</t>
  </si>
  <si>
    <t xml:space="preserve">CHN-Ambattur Network</t>
  </si>
  <si>
    <t xml:space="preserve">CHN-Puthagram</t>
  </si>
  <si>
    <t xml:space="preserve">CHN-AMBATTUR NEW</t>
  </si>
  <si>
    <t xml:space="preserve">CHN-Porur</t>
  </si>
  <si>
    <t xml:space="preserve">CHN-Vyasarpadi</t>
  </si>
  <si>
    <t xml:space="preserve">CHN-ECR</t>
  </si>
  <si>
    <t xml:space="preserve">CHN-Thousand lights</t>
  </si>
  <si>
    <t xml:space="preserve">CHN-Madambakkam Network-2</t>
  </si>
  <si>
    <t xml:space="preserve">CHN-Noothencheri</t>
  </si>
  <si>
    <t xml:space="preserve">CHN-Santosh Nagar</t>
  </si>
  <si>
    <t xml:space="preserve">CHN-Guduvancheri lake</t>
  </si>
  <si>
    <t xml:space="preserve">CHN-Kolathur</t>
  </si>
  <si>
    <t xml:space="preserve">CHN-Mount Road</t>
  </si>
  <si>
    <t xml:space="preserve">CHN-Anakaputhur</t>
  </si>
  <si>
    <t xml:space="preserve">CHN-Sakthi Avenue</t>
  </si>
  <si>
    <t xml:space="preserve">CHN-Navalur Network</t>
  </si>
  <si>
    <t xml:space="preserve">CHN-Nungabakkam SS</t>
  </si>
  <si>
    <t xml:space="preserve">CHN-Mylapore Network-2</t>
  </si>
  <si>
    <t xml:space="preserve">CHN-PALLAVARAM</t>
  </si>
  <si>
    <t xml:space="preserve">CHN-Tirumudivakkam</t>
  </si>
  <si>
    <t xml:space="preserve">CHN-Adyar SS</t>
  </si>
  <si>
    <t xml:space="preserve">CHN-KUMANANCHAVADI</t>
  </si>
  <si>
    <t xml:space="preserve">CHN-Sathyavani</t>
  </si>
  <si>
    <t xml:space="preserve">CHN-Thoraipakkam New</t>
  </si>
  <si>
    <t xml:space="preserve">CHN-Sivan Nagar</t>
  </si>
  <si>
    <t xml:space="preserve">TAMBARAM</t>
  </si>
  <si>
    <t xml:space="preserve">CHN-Guduvancheri</t>
  </si>
  <si>
    <t xml:space="preserve">CHN-Velachery Network</t>
  </si>
  <si>
    <t xml:space="preserve">CHN-Mudichur Network</t>
  </si>
  <si>
    <t xml:space="preserve">CHN-Thirunagar</t>
  </si>
  <si>
    <t xml:space="preserve">CHN-Mogappair New</t>
  </si>
  <si>
    <t xml:space="preserve">CHN-Narayanapuram SS</t>
  </si>
  <si>
    <t xml:space="preserve">CHN-CHITLAPAKKAM</t>
  </si>
  <si>
    <t xml:space="preserve">CHN-Madambakkam SS</t>
  </si>
  <si>
    <t xml:space="preserve">CHN-Gerugambakkam SS</t>
  </si>
  <si>
    <t xml:space="preserve">CHN-Sothupakkam</t>
  </si>
  <si>
    <t xml:space="preserve">CHN-TNAGAR NEW</t>
  </si>
  <si>
    <t xml:space="preserve">CHN-Mogappair Network</t>
  </si>
  <si>
    <t xml:space="preserve">CHN-Maraimalai Nagar</t>
  </si>
  <si>
    <t xml:space="preserve">CHN-Saidapet</t>
  </si>
  <si>
    <t xml:space="preserve">CHN-KK Nagar Network-2</t>
  </si>
  <si>
    <t xml:space="preserve">CHN-Thazhambur</t>
  </si>
  <si>
    <t xml:space="preserve">CHN-Virugambakkam</t>
  </si>
  <si>
    <t xml:space="preserve">CHN-Nanganallur New</t>
  </si>
  <si>
    <t xml:space="preserve">CHN-Pammal new</t>
  </si>
  <si>
    <t xml:space="preserve">CHN-Semmancheri</t>
  </si>
  <si>
    <t xml:space="preserve">CHN-MEDAVAKKAM MAIN</t>
  </si>
  <si>
    <t xml:space="preserve">CHN-Villivakkam</t>
  </si>
  <si>
    <t xml:space="preserve">CHN-Iyyappanthangal</t>
  </si>
  <si>
    <t xml:space="preserve">CHN-Perungudi</t>
  </si>
  <si>
    <t xml:space="preserve">CHN-Nolambur</t>
  </si>
  <si>
    <t xml:space="preserve">CHN-Vandalur SS</t>
  </si>
  <si>
    <t xml:space="preserve">CHN-Chromepet</t>
  </si>
  <si>
    <t xml:space="preserve">CHN-Kelambakkam Network</t>
  </si>
  <si>
    <t xml:space="preserve">CHN-Nanganallur Network</t>
  </si>
  <si>
    <t xml:space="preserve">CHN-Narayanapuram</t>
  </si>
  <si>
    <t xml:space="preserve">CHN-Kovilambakkam</t>
  </si>
  <si>
    <t xml:space="preserve">CHN-Mylapore Network</t>
  </si>
  <si>
    <t xml:space="preserve">CHN-Parrys</t>
  </si>
  <si>
    <t xml:space="preserve">CHN-Moolakazhani</t>
  </si>
  <si>
    <t xml:space="preserve">CHN-Selaiyur</t>
  </si>
  <si>
    <t xml:space="preserve">CHN-GERUGAMBAKKAM NETWORK</t>
  </si>
  <si>
    <t xml:space="preserve">CHN-Elcot SEZ</t>
  </si>
  <si>
    <t xml:space="preserve">CHN-ADYAR</t>
  </si>
  <si>
    <t xml:space="preserve">CHN-Keelkattalai</t>
  </si>
  <si>
    <t xml:space="preserve">CHN-Mahindra World City</t>
  </si>
  <si>
    <t xml:space="preserve">CHN-Palavanthangal</t>
  </si>
  <si>
    <t xml:space="preserve">CHN-KK Thazhai</t>
  </si>
  <si>
    <t xml:space="preserve">CHN-KKNAGAR NEW</t>
  </si>
  <si>
    <t xml:space="preserve">CHN-Perumbakkam SS</t>
  </si>
  <si>
    <t xml:space="preserve">CHN-Govarthanagiri</t>
  </si>
  <si>
    <t xml:space="preserve">CHN-Thangam Colony</t>
  </si>
  <si>
    <t xml:space="preserve">CHN-Thiruverkadu</t>
  </si>
  <si>
    <t xml:space="preserve">CHN-Tondiarpet</t>
  </si>
  <si>
    <t xml:space="preserve">CTK-Chauliaganj</t>
  </si>
  <si>
    <t xml:space="preserve">DED-Subhash Nagar</t>
  </si>
  <si>
    <t xml:space="preserve">DED-Dharampur Chowk</t>
  </si>
  <si>
    <t xml:space="preserve">DED-Badripur</t>
  </si>
  <si>
    <t xml:space="preserve">DED-Kulhan</t>
  </si>
  <si>
    <t xml:space="preserve">DED-Majra</t>
  </si>
  <si>
    <t xml:space="preserve">DED-Adhowala</t>
  </si>
  <si>
    <t xml:space="preserve">DED-Balliwala</t>
  </si>
  <si>
    <t xml:space="preserve">DED-Prem Nagar</t>
  </si>
  <si>
    <t xml:space="preserve">DED-Kargi</t>
  </si>
  <si>
    <t xml:space="preserve">DEL-Anand Vihar Network</t>
  </si>
  <si>
    <t xml:space="preserve">DEL-Rohini Sec 21 SS</t>
  </si>
  <si>
    <t xml:space="preserve">DEL-Tri Nagar</t>
  </si>
  <si>
    <t xml:space="preserve">DEL - East of Kailash</t>
  </si>
  <si>
    <t xml:space="preserve">DEL-Qutub Vihar</t>
  </si>
  <si>
    <t xml:space="preserve">DEL-ROHINI SECTOR 3</t>
  </si>
  <si>
    <t xml:space="preserve">DEL-Samaypur</t>
  </si>
  <si>
    <t xml:space="preserve">DEL-UTTAM NAGAR NETWORK</t>
  </si>
  <si>
    <t xml:space="preserve">DEL-Model Town SS</t>
  </si>
  <si>
    <t xml:space="preserve">DEL-PITAMPURA NEW</t>
  </si>
  <si>
    <t xml:space="preserve">DEL-Azad Nagar</t>
  </si>
  <si>
    <t xml:space="preserve">DEL-Neb Sarai</t>
  </si>
  <si>
    <t xml:space="preserve">DEL-Ghitorni</t>
  </si>
  <si>
    <t xml:space="preserve">DEL-Sultanpuri</t>
  </si>
  <si>
    <t xml:space="preserve">DEL-Dwarka New SS</t>
  </si>
  <si>
    <t xml:space="preserve">DEL-KAROL BAGH NEW</t>
  </si>
  <si>
    <t xml:space="preserve">DEL-Narela</t>
  </si>
  <si>
    <t xml:space="preserve">DEL-Nangloi Extension</t>
  </si>
  <si>
    <t xml:space="preserve">DEL-SHAKTI NAGAR</t>
  </si>
  <si>
    <t xml:space="preserve">DEL-Dilshad Garden SS</t>
  </si>
  <si>
    <t xml:space="preserve">DEL-Mangolpuri</t>
  </si>
  <si>
    <t xml:space="preserve">DEL-Pitampura network</t>
  </si>
  <si>
    <t xml:space="preserve">DEL-Palam</t>
  </si>
  <si>
    <t xml:space="preserve">DEL-JANAKPURI</t>
  </si>
  <si>
    <t xml:space="preserve">DEL-Nangloi</t>
  </si>
  <si>
    <t xml:space="preserve">DEL-Punjabi Bagh</t>
  </si>
  <si>
    <t xml:space="preserve">DEL-Keshopur</t>
  </si>
  <si>
    <t xml:space="preserve">DEL-West Patel Nagar</t>
  </si>
  <si>
    <t xml:space="preserve">DEL-Neb Sarai SS</t>
  </si>
  <si>
    <t xml:space="preserve">DEL-Sarita Vihar</t>
  </si>
  <si>
    <t xml:space="preserve">Del-Dwarka Sector 19 New</t>
  </si>
  <si>
    <t xml:space="preserve">DEL-Mahipalpur</t>
  </si>
  <si>
    <t xml:space="preserve">DEL-Santnagar</t>
  </si>
  <si>
    <t xml:space="preserve">DEL-Najafgarh</t>
  </si>
  <si>
    <t xml:space="preserve">DEL-Begumpur</t>
  </si>
  <si>
    <t xml:space="preserve">DEL-Bagdola</t>
  </si>
  <si>
    <t xml:space="preserve">DEL-Dwarka Sec 17</t>
  </si>
  <si>
    <t xml:space="preserve">DEL-Durgapuri</t>
  </si>
  <si>
    <t xml:space="preserve">DEL-Vishnu Garden</t>
  </si>
  <si>
    <t xml:space="preserve">DEL-Greater Kailash</t>
  </si>
  <si>
    <t xml:space="preserve">DEL-MAYUR VIHAR</t>
  </si>
  <si>
    <t xml:space="preserve">DEL-Maurya Enclave</t>
  </si>
  <si>
    <t xml:space="preserve">DEL-Mehrauli</t>
  </si>
  <si>
    <t xml:space="preserve">DEL-Rajauri Garden Network</t>
  </si>
  <si>
    <t xml:space="preserve">DEL-Rohini Sector 21</t>
  </si>
  <si>
    <t xml:space="preserve">DEL-IGNOU main road</t>
  </si>
  <si>
    <t xml:space="preserve">DEL-Munirka</t>
  </si>
  <si>
    <t xml:space="preserve">DEL-South Extension New</t>
  </si>
  <si>
    <t xml:space="preserve">DEL-KIRTI NAGAR</t>
  </si>
  <si>
    <t xml:space="preserve">DEL-Dwarka Mor</t>
  </si>
  <si>
    <t xml:space="preserve">DEL-Chattarpur Enclave</t>
  </si>
  <si>
    <t xml:space="preserve">DEL-Model Town Network</t>
  </si>
  <si>
    <t xml:space="preserve">DEL-Rohini SS</t>
  </si>
  <si>
    <t xml:space="preserve">DEL-Rohini Sector 3 SS</t>
  </si>
  <si>
    <t xml:space="preserve">DEL-Khizrabad</t>
  </si>
  <si>
    <t xml:space="preserve">DEL-Krishna Market</t>
  </si>
  <si>
    <t xml:space="preserve">DEL-Nirman Vihar</t>
  </si>
  <si>
    <t xml:space="preserve">DEL-Baprola</t>
  </si>
  <si>
    <t xml:space="preserve">DEL-Green park</t>
  </si>
  <si>
    <t xml:space="preserve">DEL-Vikaspuri SS</t>
  </si>
  <si>
    <t xml:space="preserve">DEL-Janta Market</t>
  </si>
  <si>
    <t xml:space="preserve">DEL-Rohini Sector 23</t>
  </si>
  <si>
    <t xml:space="preserve">DEL-Roshanara Garden</t>
  </si>
  <si>
    <t xml:space="preserve">DEL-Trilokpuri</t>
  </si>
  <si>
    <t xml:space="preserve">DEL-IP Extension SS</t>
  </si>
  <si>
    <t xml:space="preserve">DEL-Mayapuri</t>
  </si>
  <si>
    <t xml:space="preserve">DEL-Kalyan Vihar</t>
  </si>
  <si>
    <t xml:space="preserve">DEL-South Extension Network</t>
  </si>
  <si>
    <t xml:space="preserve">DEL-Burari</t>
  </si>
  <si>
    <t xml:space="preserve">DEL-ANAND VIHAR New</t>
  </si>
  <si>
    <t xml:space="preserve">DEL-Dwarka Sector 12 Network</t>
  </si>
  <si>
    <t xml:space="preserve">DEL-Jaitpur</t>
  </si>
  <si>
    <t xml:space="preserve">DEL-New Mustafabad</t>
  </si>
  <si>
    <t xml:space="preserve">DEL-Babarpur</t>
  </si>
  <si>
    <t xml:space="preserve">DEL-Sanjay Lake</t>
  </si>
  <si>
    <t xml:space="preserve">DEL-WAZIRPUR New</t>
  </si>
  <si>
    <t xml:space="preserve">DEL-Dwarka Sector 10 New</t>
  </si>
  <si>
    <t xml:space="preserve">DEL-Laxmi nagar</t>
  </si>
  <si>
    <t xml:space="preserve">DEL-Mangol Pur Kalan</t>
  </si>
  <si>
    <t xml:space="preserve">DEL-Om Vihar</t>
  </si>
  <si>
    <t xml:space="preserve">DEL-Dwarka Sector 10 Network-4</t>
  </si>
  <si>
    <t xml:space="preserve">DEL-Mayapuri SS</t>
  </si>
  <si>
    <t xml:space="preserve">DEL-RAJOURI GARDEN NEW</t>
  </si>
  <si>
    <t xml:space="preserve">DEL-Vasantkunj SS</t>
  </si>
  <si>
    <t xml:space="preserve">DEL-Kirti Nagar SS</t>
  </si>
  <si>
    <t xml:space="preserve">DEL-Kalkaji SS</t>
  </si>
  <si>
    <t xml:space="preserve">DEL-Kirti Nagar Network-2</t>
  </si>
  <si>
    <t xml:space="preserve">DEL-Shahdara</t>
  </si>
  <si>
    <t xml:space="preserve">DEL-Connaught Place</t>
  </si>
  <si>
    <t xml:space="preserve">DEL-Kalkaji Network</t>
  </si>
  <si>
    <t xml:space="preserve">DEL-Wazirabad</t>
  </si>
  <si>
    <t xml:space="preserve">DEL-MAHAVIR ENCLAVE</t>
  </si>
  <si>
    <t xml:space="preserve">DEL-South Ext SS</t>
  </si>
  <si>
    <t xml:space="preserve">DEL-Nilothi</t>
  </si>
  <si>
    <t xml:space="preserve">DEL-Vasant Kunj 2</t>
  </si>
  <si>
    <t xml:space="preserve">DEL-Rajinder Nagar</t>
  </si>
  <si>
    <t xml:space="preserve">DEL-Rajapur Khurd</t>
  </si>
  <si>
    <t xml:space="preserve">DEL-Janakpuri Network</t>
  </si>
  <si>
    <t xml:space="preserve">DEL-KIRTI NAGAR NETWORK</t>
  </si>
  <si>
    <t xml:space="preserve">DEL-IP EXTENSION</t>
  </si>
  <si>
    <t xml:space="preserve">DEL-Khanpur</t>
  </si>
  <si>
    <t xml:space="preserve">DEL-Rajapuri</t>
  </si>
  <si>
    <t xml:space="preserve">DEL-Uttam Nagar New</t>
  </si>
  <si>
    <t xml:space="preserve">DEL-Malviya Nagar Network</t>
  </si>
  <si>
    <t xml:space="preserve">DEL-Fatehpur Beri</t>
  </si>
  <si>
    <t xml:space="preserve">DEL-RK PURAM</t>
  </si>
  <si>
    <t xml:space="preserve">DEL-Shalimar Bagh</t>
  </si>
  <si>
    <t xml:space="preserve">DEL-Karol Bagh Main New</t>
  </si>
  <si>
    <t xml:space="preserve">DEL-VASANT KUNJ</t>
  </si>
  <si>
    <t xml:space="preserve">DEL-Paschim Vihar</t>
  </si>
  <si>
    <t xml:space="preserve">DEL-ANAND VIHAR</t>
  </si>
  <si>
    <t xml:space="preserve">DEL-Vijay Vihar Phase 2</t>
  </si>
  <si>
    <t xml:space="preserve">DEL-Kondli</t>
  </si>
  <si>
    <t xml:space="preserve">DEL-Civil Lines</t>
  </si>
  <si>
    <t xml:space="preserve">DEL-MALVIYA NAGAR NEW</t>
  </si>
  <si>
    <t xml:space="preserve">DEL-Kalkaji New</t>
  </si>
  <si>
    <t xml:space="preserve">DEL-Model Town New</t>
  </si>
  <si>
    <t xml:space="preserve">DEL-ROHINI Sector 15 Network</t>
  </si>
  <si>
    <t xml:space="preserve">DEL-Dilshad Garden New</t>
  </si>
  <si>
    <t xml:space="preserve">DEL-JASOLA VIHAR New</t>
  </si>
  <si>
    <t xml:space="preserve">DEL-Sagarpur</t>
  </si>
  <si>
    <t xml:space="preserve">DEL-Vikaspuri</t>
  </si>
  <si>
    <t xml:space="preserve">DEL-CHATTARPUR</t>
  </si>
  <si>
    <t xml:space="preserve">DEL-Dwarka sector 7</t>
  </si>
  <si>
    <t xml:space="preserve">DEL-Mahavir Enclave Network</t>
  </si>
  <si>
    <t xml:space="preserve">DEL-ROHINI Sector 15</t>
  </si>
  <si>
    <t xml:space="preserve">DEL-Wazirpur Network</t>
  </si>
  <si>
    <t xml:space="preserve">DEL-Sadar Bazar</t>
  </si>
  <si>
    <t xml:space="preserve">DEL-East Of Kailash Network</t>
  </si>
  <si>
    <t xml:space="preserve">DEL-Rohini sector 7</t>
  </si>
  <si>
    <t xml:space="preserve">DEL-Haibutpur</t>
  </si>
  <si>
    <t xml:space="preserve">DEL-SECTOR 12 DWARKA New</t>
  </si>
  <si>
    <t xml:space="preserve">DHN-City centre</t>
  </si>
  <si>
    <t xml:space="preserve">FBD-Sector 31</t>
  </si>
  <si>
    <t xml:space="preserve">FBD-Sector 55 Huda</t>
  </si>
  <si>
    <t xml:space="preserve">FBD-Sector-21</t>
  </si>
  <si>
    <t xml:space="preserve">FBD-Sainik Colony</t>
  </si>
  <si>
    <t xml:space="preserve">FBD-Sector 79</t>
  </si>
  <si>
    <t xml:space="preserve">FBD- Sector-16</t>
  </si>
  <si>
    <t xml:space="preserve">FBD-Sector 37</t>
  </si>
  <si>
    <t xml:space="preserve">FBD-Charmswood</t>
  </si>
  <si>
    <t xml:space="preserve">FBD-Palwal</t>
  </si>
  <si>
    <t xml:space="preserve">FBD-Ballabgarh</t>
  </si>
  <si>
    <t xml:space="preserve">FBD- NIT</t>
  </si>
  <si>
    <t xml:space="preserve">FBD-Greenfield</t>
  </si>
  <si>
    <t xml:space="preserve">FBD-Sector 10 New</t>
  </si>
  <si>
    <t xml:space="preserve">FBD-Sector-86 New</t>
  </si>
  <si>
    <t xml:space="preserve">FBD-Saini Mohalla</t>
  </si>
  <si>
    <t xml:space="preserve">FBD-NIT 2</t>
  </si>
  <si>
    <t xml:space="preserve">GZB-Loni Road</t>
  </si>
  <si>
    <t xml:space="preserve">GZB-Vasundhara</t>
  </si>
  <si>
    <t xml:space="preserve">GZB-Patel Nagar 3</t>
  </si>
  <si>
    <t xml:space="preserve">GZB-Sector 2</t>
  </si>
  <si>
    <t xml:space="preserve">GZB-INDIRAPURAM Network 2 New</t>
  </si>
  <si>
    <t xml:space="preserve">GZB-Gagan Vihar</t>
  </si>
  <si>
    <t xml:space="preserve">GZB-MADHUBAN BAPUDHAM</t>
  </si>
  <si>
    <t xml:space="preserve">GZB-Sanjay Nagar</t>
  </si>
  <si>
    <t xml:space="preserve">GZB-Kaushambi</t>
  </si>
  <si>
    <t xml:space="preserve">GZB-Gyan Khand</t>
  </si>
  <si>
    <t xml:space="preserve">GZB-Ashiana Palms</t>
  </si>
  <si>
    <t xml:space="preserve">GZB-Niti Khand II</t>
  </si>
  <si>
    <t xml:space="preserve">GZB-Indirapuram SS</t>
  </si>
  <si>
    <t xml:space="preserve">GZB-New Gandhi Nagar</t>
  </si>
  <si>
    <t xml:space="preserve">GZB-Sector 12</t>
  </si>
  <si>
    <t xml:space="preserve">GZB-Shastri nagar</t>
  </si>
  <si>
    <t xml:space="preserve">GZB-Rajnagar SS</t>
  </si>
  <si>
    <t xml:space="preserve">GZB- Nyay Khand</t>
  </si>
  <si>
    <t xml:space="preserve">GZB-Jalalabad</t>
  </si>
  <si>
    <t xml:space="preserve">GZB-Sector 16C Gaur city</t>
  </si>
  <si>
    <t xml:space="preserve">GZB-Gaur City Network</t>
  </si>
  <si>
    <t xml:space="preserve">GZB-Indirapuram Network-4</t>
  </si>
  <si>
    <t xml:space="preserve">GZB-Loni</t>
  </si>
  <si>
    <t xml:space="preserve">GZB-Crossing Republic SS</t>
  </si>
  <si>
    <t xml:space="preserve">GZB-Lal Kuah</t>
  </si>
  <si>
    <t xml:space="preserve">GZB-Wave City</t>
  </si>
  <si>
    <t xml:space="preserve">GZB-RAJ NAGAR</t>
  </si>
  <si>
    <t xml:space="preserve">GZB-Sahibabad New</t>
  </si>
  <si>
    <t xml:space="preserve">GZB-Indirapuram Network-3</t>
  </si>
  <si>
    <t xml:space="preserve">GZB-Krishna Vihar</t>
  </si>
  <si>
    <t xml:space="preserve">GZB- Harson</t>
  </si>
  <si>
    <t xml:space="preserve">GZB-Crossing Republic</t>
  </si>
  <si>
    <t xml:space="preserve">GZB-Sehani Khurd</t>
  </si>
  <si>
    <t xml:space="preserve">GZB-Shalimar Garden</t>
  </si>
  <si>
    <t xml:space="preserve">GZB-Shyam Park</t>
  </si>
  <si>
    <t xml:space="preserve">GZB-GAUR CITY</t>
  </si>
  <si>
    <t xml:space="preserve">GZB-Pratap Vihar</t>
  </si>
  <si>
    <t xml:space="preserve">GZB-VAISHALI</t>
  </si>
  <si>
    <t xml:space="preserve">GZB-Nandgram</t>
  </si>
  <si>
    <t xml:space="preserve">GOP-Avas vikas Colony</t>
  </si>
  <si>
    <t xml:space="preserve">GOP-Taramandal</t>
  </si>
  <si>
    <t xml:space="preserve">GOP-Rail Vihar</t>
  </si>
  <si>
    <t xml:space="preserve">GOP-Gorakhnath</t>
  </si>
  <si>
    <t xml:space="preserve">GTR-Brindavan Gardens</t>
  </si>
  <si>
    <t xml:space="preserve">GTR-Lalapet</t>
  </si>
  <si>
    <t xml:space="preserve">GGN-Sector 95</t>
  </si>
  <si>
    <t xml:space="preserve">GGN-Sector-45</t>
  </si>
  <si>
    <t xml:space="preserve">GGN-New Palam Vihar</t>
  </si>
  <si>
    <t xml:space="preserve">GGN-Udyog Vihar New</t>
  </si>
  <si>
    <t xml:space="preserve">GGN-Nathupur SS</t>
  </si>
  <si>
    <t xml:space="preserve">GGN-Sector 64 SS</t>
  </si>
  <si>
    <t xml:space="preserve">GGN-Sector 12 SS</t>
  </si>
  <si>
    <t xml:space="preserve">GGN-Sector 48</t>
  </si>
  <si>
    <t xml:space="preserve">GGN-Sector 14 New</t>
  </si>
  <si>
    <t xml:space="preserve">GGN- Hayatpur</t>
  </si>
  <si>
    <t xml:space="preserve">GGN-Sector 27 new</t>
  </si>
  <si>
    <t xml:space="preserve">GGN-Sector 37D</t>
  </si>
  <si>
    <t xml:space="preserve">GGN-SECTOR 39 NETWORK-3</t>
  </si>
  <si>
    <t xml:space="preserve">GGN-SECTOR 53</t>
  </si>
  <si>
    <t xml:space="preserve">GGN-Sohna</t>
  </si>
  <si>
    <t xml:space="preserve">GGN-Sector 102 SS</t>
  </si>
  <si>
    <t xml:space="preserve">GGN-Sector 8</t>
  </si>
  <si>
    <t xml:space="preserve">GGN-SECTOR 38</t>
  </si>
  <si>
    <t xml:space="preserve">GGN-Sector 83</t>
  </si>
  <si>
    <t xml:space="preserve">GGN-Gwal Pahari</t>
  </si>
  <si>
    <t xml:space="preserve">GGN-Badshahpur</t>
  </si>
  <si>
    <t xml:space="preserve">GGN-Dhunela</t>
  </si>
  <si>
    <t xml:space="preserve">GGN-Maruti Kunj</t>
  </si>
  <si>
    <t xml:space="preserve">GGN-Palam Vihar extension</t>
  </si>
  <si>
    <t xml:space="preserve">GGN-SECTOR 49</t>
  </si>
  <si>
    <t xml:space="preserve">GGN-Sector 41 New</t>
  </si>
  <si>
    <t xml:space="preserve">GGN-Manesar</t>
  </si>
  <si>
    <t xml:space="preserve">GGN-Palam Vihar Network</t>
  </si>
  <si>
    <t xml:space="preserve">GGN-Daruherra</t>
  </si>
  <si>
    <t xml:space="preserve">GGN-Sector 14</t>
  </si>
  <si>
    <t xml:space="preserve">GGN-Sector 12 network</t>
  </si>
  <si>
    <t xml:space="preserve">GGN-Sector 28 New</t>
  </si>
  <si>
    <t xml:space="preserve">GGN-Vatika City</t>
  </si>
  <si>
    <t xml:space="preserve">GGN-Sector 66 Network</t>
  </si>
  <si>
    <t xml:space="preserve">GGN-Sector 79</t>
  </si>
  <si>
    <t xml:space="preserve">GGN-Sector 86</t>
  </si>
  <si>
    <t xml:space="preserve">GGN-Carterpuri</t>
  </si>
  <si>
    <t xml:space="preserve">GGN-Ardee City NEW</t>
  </si>
  <si>
    <t xml:space="preserve">GGN-Sector 102</t>
  </si>
  <si>
    <t xml:space="preserve">GGN - SUN CITY</t>
  </si>
  <si>
    <t xml:space="preserve">GGN-Sector 24 New</t>
  </si>
  <si>
    <t xml:space="preserve">GGN-Sector 69 New</t>
  </si>
  <si>
    <t xml:space="preserve">GGN-Sector 39 NETWORK-4</t>
  </si>
  <si>
    <t xml:space="preserve">GGN-Sector 57</t>
  </si>
  <si>
    <t xml:space="preserve">GGN-Sushant Lok</t>
  </si>
  <si>
    <t xml:space="preserve">GGN-Ardee City SS</t>
  </si>
  <si>
    <t xml:space="preserve">GGN-Sector 37</t>
  </si>
  <si>
    <t xml:space="preserve">GGN-Sector 51 New</t>
  </si>
  <si>
    <t xml:space="preserve">GGN-Sector 82 SS</t>
  </si>
  <si>
    <t xml:space="preserve">GGN-Sector 62</t>
  </si>
  <si>
    <t xml:space="preserve">GGN-Sector 39 SS</t>
  </si>
  <si>
    <t xml:space="preserve">GGN-Nathupur</t>
  </si>
  <si>
    <t xml:space="preserve">GGN-Sector 12 Network-2</t>
  </si>
  <si>
    <t xml:space="preserve">GGN-Sector 4</t>
  </si>
  <si>
    <t xml:space="preserve">GGN-SECTOR 71</t>
  </si>
  <si>
    <t xml:space="preserve">GGN-Sector 52</t>
  </si>
  <si>
    <t xml:space="preserve">GGN-Sector-12 New</t>
  </si>
  <si>
    <t xml:space="preserve">GGN-Sector 112</t>
  </si>
  <si>
    <t xml:space="preserve">GGN-Sector 70 A</t>
  </si>
  <si>
    <t xml:space="preserve">GGN-Palam Vihar</t>
  </si>
  <si>
    <t xml:space="preserve">GGN-Palam Vihar SS</t>
  </si>
  <si>
    <t xml:space="preserve">GGN-Sector 104</t>
  </si>
  <si>
    <t xml:space="preserve">GGN-Sector66</t>
  </si>
  <si>
    <t xml:space="preserve">GGN-Sector 10A</t>
  </si>
  <si>
    <t xml:space="preserve">GGN-Malibu Town SS</t>
  </si>
  <si>
    <t xml:space="preserve">GGN-Sector 88</t>
  </si>
  <si>
    <t xml:space="preserve">GGN-SECTOR 39 NEW</t>
  </si>
  <si>
    <t xml:space="preserve">GGN-Sector 108</t>
  </si>
  <si>
    <t xml:space="preserve">GGN-Sector 77</t>
  </si>
  <si>
    <t xml:space="preserve">HPR-Ganga Nagar</t>
  </si>
  <si>
    <t xml:space="preserve">HAR-Haripur Kalan</t>
  </si>
  <si>
    <t xml:space="preserve">HAR-Jwalapur</t>
  </si>
  <si>
    <t xml:space="preserve">HAR-Ranipur</t>
  </si>
  <si>
    <t xml:space="preserve">HAR-Sidcul</t>
  </si>
  <si>
    <t xml:space="preserve">HSS-Krishna Nagar Colony</t>
  </si>
  <si>
    <t xml:space="preserve">HYD-Gundlapochampally</t>
  </si>
  <si>
    <t xml:space="preserve">HYD-Kushaiguda</t>
  </si>
  <si>
    <t xml:space="preserve">HYD-Borabanda</t>
  </si>
  <si>
    <t xml:space="preserve">HYD-Jalvayu Vihar</t>
  </si>
  <si>
    <t xml:space="preserve">HYD-BOLARUM</t>
  </si>
  <si>
    <t xml:space="preserve">HYD-Bairaghiguda</t>
  </si>
  <si>
    <t xml:space="preserve">HYD-Hitech City Network</t>
  </si>
  <si>
    <t xml:space="preserve">HYD-MEHDIPATNAM</t>
  </si>
  <si>
    <t xml:space="preserve">HYD-RAMANTHAPUR</t>
  </si>
  <si>
    <t xml:space="preserve">HYD-Shaikpet</t>
  </si>
  <si>
    <t xml:space="preserve">HYD-Yosufguda</t>
  </si>
  <si>
    <t xml:space="preserve">HYD-Singapore Town Ship</t>
  </si>
  <si>
    <t xml:space="preserve">HYD-Kowkoor</t>
  </si>
  <si>
    <t xml:space="preserve">HYD-Shaheen Nagar</t>
  </si>
  <si>
    <t xml:space="preserve">HYD_MIYAPUR</t>
  </si>
  <si>
    <t xml:space="preserve">HYD-Gudimalkapur SS</t>
  </si>
  <si>
    <t xml:space="preserve">HYD-TARNAKA New</t>
  </si>
  <si>
    <t xml:space="preserve">HYD-Domalguda</t>
  </si>
  <si>
    <t xml:space="preserve">HYD-Gachibowli SS</t>
  </si>
  <si>
    <t xml:space="preserve">HYD-JUBLEEHILLS</t>
  </si>
  <si>
    <t xml:space="preserve">HYD-KOTHAPET NETWORK-2</t>
  </si>
  <si>
    <t xml:space="preserve">HYD-Sumitra Nagar Colony</t>
  </si>
  <si>
    <t xml:space="preserve">HYD-Venkat Ramana colony</t>
  </si>
  <si>
    <t xml:space="preserve">HYD-Hitech City</t>
  </si>
  <si>
    <t xml:space="preserve">HYD-Medipalli SS</t>
  </si>
  <si>
    <t xml:space="preserve">HYD-PRAGATHI NAGAR</t>
  </si>
  <si>
    <t xml:space="preserve">HYD-JV Hill</t>
  </si>
  <si>
    <t xml:space="preserve">HYD-Prasanth Nagar</t>
  </si>
  <si>
    <t xml:space="preserve">HYD-Sainikpuri SS</t>
  </si>
  <si>
    <t xml:space="preserve">HYD-Vanasthalipuram SS</t>
  </si>
  <si>
    <t xml:space="preserve">HYD-Vittal Rao Nagar</t>
  </si>
  <si>
    <t xml:space="preserve">HYD-APCO Colony</t>
  </si>
  <si>
    <t xml:space="preserve">HYD-Tellapur</t>
  </si>
  <si>
    <t xml:space="preserve">HYD-Bachupally SS</t>
  </si>
  <si>
    <t xml:space="preserve">HYD-Indis Pble City</t>
  </si>
  <si>
    <t xml:space="preserve">HYD-RC Puram New</t>
  </si>
  <si>
    <t xml:space="preserve">HYD-Bolaram Industrial Area</t>
  </si>
  <si>
    <t xml:space="preserve">HYD- BEGUMPET</t>
  </si>
  <si>
    <t xml:space="preserve">HYD-Ganesh Nagar</t>
  </si>
  <si>
    <t xml:space="preserve">HYD-Ameenpur</t>
  </si>
  <si>
    <t xml:space="preserve">HYD-Attapur</t>
  </si>
  <si>
    <t xml:space="preserve">HYD-Bhola Nagar</t>
  </si>
  <si>
    <t xml:space="preserve">HYD-Hill County</t>
  </si>
  <si>
    <t xml:space="preserve">HYD-Chanda Naik Nagar</t>
  </si>
  <si>
    <t xml:space="preserve">HYD-Chengicherla</t>
  </si>
  <si>
    <t xml:space="preserve">HYD-Vinobha Nagar Colony</t>
  </si>
  <si>
    <t xml:space="preserve">HYD-Dulapally SS</t>
  </si>
  <si>
    <t xml:space="preserve">HYD-Izzathnagar</t>
  </si>
  <si>
    <t xml:space="preserve">HYD-SR Nagar</t>
  </si>
  <si>
    <t xml:space="preserve">HYD-Chintalmet</t>
  </si>
  <si>
    <t xml:space="preserve">HYD-Nizampet SS</t>
  </si>
  <si>
    <t xml:space="preserve">HYD-Alwal New</t>
  </si>
  <si>
    <t xml:space="preserve">HYD-Chandrayangutta</t>
  </si>
  <si>
    <t xml:space="preserve">HYD-Uppal Network</t>
  </si>
  <si>
    <t xml:space="preserve">HYD-Dulapally</t>
  </si>
  <si>
    <t xml:space="preserve">HYD-Medipalli</t>
  </si>
  <si>
    <t xml:space="preserve">HYD-Habsiguda</t>
  </si>
  <si>
    <t xml:space="preserve">HYD-Manikonda SS</t>
  </si>
  <si>
    <t xml:space="preserve">HYD-Nallagandla 2</t>
  </si>
  <si>
    <t xml:space="preserve">HYD-Kokapet</t>
  </si>
  <si>
    <t xml:space="preserve">HYD-Kothapet SS</t>
  </si>
  <si>
    <t xml:space="preserve">HYD-Stella Nagaram</t>
  </si>
  <si>
    <t xml:space="preserve">HYD-Champapet</t>
  </si>
  <si>
    <t xml:space="preserve">HYD-Hitech City SS</t>
  </si>
  <si>
    <t xml:space="preserve">HYD-MEHDIPATNAM Network 1</t>
  </si>
  <si>
    <t xml:space="preserve">HYD-MUSHEERABAD NEW</t>
  </si>
  <si>
    <t xml:space="preserve">HYD-ALWAL</t>
  </si>
  <si>
    <t xml:space="preserve">HYD-Meerpet</t>
  </si>
  <si>
    <t xml:space="preserve">HYD-Kings colony</t>
  </si>
  <si>
    <t xml:space="preserve">HYD-Kukatpally new</t>
  </si>
  <si>
    <t xml:space="preserve">HYD-Mallapur</t>
  </si>
  <si>
    <t xml:space="preserve">HYD-Financial District</t>
  </si>
  <si>
    <t xml:space="preserve">HYD-Moosapet Network 2</t>
  </si>
  <si>
    <t xml:space="preserve">HYD-LB Nagar</t>
  </si>
  <si>
    <t xml:space="preserve">HYD-Moti Nagar Phase III</t>
  </si>
  <si>
    <t xml:space="preserve">HYD-Hayathnagar Khalsa</t>
  </si>
  <si>
    <t xml:space="preserve">HYD-HimayatNagar New</t>
  </si>
  <si>
    <t xml:space="preserve">HYD-Kothapet Network New</t>
  </si>
  <si>
    <t xml:space="preserve">HYD-Manikonda Network</t>
  </si>
  <si>
    <t xml:space="preserve">HYD-UPPAL New</t>
  </si>
  <si>
    <t xml:space="preserve">HYD-Chandanagar New</t>
  </si>
  <si>
    <t xml:space="preserve">HYD-Kachiguda</t>
  </si>
  <si>
    <t xml:space="preserve">HYD-NCB Masjid Banda</t>
  </si>
  <si>
    <t xml:space="preserve">HYD-Napier Lines</t>
  </si>
  <si>
    <t xml:space="preserve">HYD-Begumpet Network</t>
  </si>
  <si>
    <t xml:space="preserve">HYD-Bharat Nagar</t>
  </si>
  <si>
    <t xml:space="preserve">HYD-KOTHAPET New</t>
  </si>
  <si>
    <t xml:space="preserve">HYD-Santosh Nagar</t>
  </si>
  <si>
    <t xml:space="preserve">HYD-BAIRAMALGUDA</t>
  </si>
  <si>
    <t xml:space="preserve">HYD-Bowenpally New</t>
  </si>
  <si>
    <t xml:space="preserve">HYD-Sri Ram Nagar</t>
  </si>
  <si>
    <t xml:space="preserve">HYD-Miyapur Network</t>
  </si>
  <si>
    <t xml:space="preserve">HYD-Naseeb Nagar</t>
  </si>
  <si>
    <t xml:space="preserve">HYD-Nizampet New</t>
  </si>
  <si>
    <t xml:space="preserve">HYD-Vanasthalipuram</t>
  </si>
  <si>
    <t xml:space="preserve">HYD-Madeenaguda</t>
  </si>
  <si>
    <t xml:space="preserve">HYD-Moosapet SS</t>
  </si>
  <si>
    <t xml:space="preserve">HYD-Secunderabad Network</t>
  </si>
  <si>
    <t xml:space="preserve">HYD-Ameerpet New</t>
  </si>
  <si>
    <t xml:space="preserve">HYD-MADHAPUR NETWORK</t>
  </si>
  <si>
    <t xml:space="preserve">HYD-RTC Colony</t>
  </si>
  <si>
    <t xml:space="preserve">HYD-Kukatpally SS</t>
  </si>
  <si>
    <t xml:space="preserve">HYD-Western hills kukatpally</t>
  </si>
  <si>
    <t xml:space="preserve">HYD-Kanajiguda</t>
  </si>
  <si>
    <t xml:space="preserve">HYD-Alkapur township</t>
  </si>
  <si>
    <t xml:space="preserve">HYD-KONDAPUR NETWORK 2</t>
  </si>
  <si>
    <t xml:space="preserve">HYD-Kompally</t>
  </si>
  <si>
    <t xml:space="preserve">HYD-Nagole</t>
  </si>
  <si>
    <t xml:space="preserve">HYD-Mallampet</t>
  </si>
  <si>
    <t xml:space="preserve">HYD-Old Alwal</t>
  </si>
  <si>
    <t xml:space="preserve">HYD-Suchitra New</t>
  </si>
  <si>
    <t xml:space="preserve">HYD-Begumpet SS</t>
  </si>
  <si>
    <t xml:space="preserve">HYD-PJR Layout SS</t>
  </si>
  <si>
    <t xml:space="preserve">HYD-Saroor Nagar</t>
  </si>
  <si>
    <t xml:space="preserve">HYD-Bandlaguda</t>
  </si>
  <si>
    <t xml:space="preserve">HYD-Katedan</t>
  </si>
  <si>
    <t xml:space="preserve">HYD-Chanchalguda</t>
  </si>
  <si>
    <t xml:space="preserve">HYD-DAMMAIGUDA</t>
  </si>
  <si>
    <t xml:space="preserve">HYD-Mayuri Nagar</t>
  </si>
  <si>
    <t xml:space="preserve">HYD-Vivekanand Nagar Network</t>
  </si>
  <si>
    <t xml:space="preserve">HYD-Boduppal</t>
  </si>
  <si>
    <t xml:space="preserve">HYD-Gudimalkapur</t>
  </si>
  <si>
    <t xml:space="preserve">HYD-KONDAPUR NEW</t>
  </si>
  <si>
    <t xml:space="preserve">HYD-Ramnagar</t>
  </si>
  <si>
    <t xml:space="preserve">HYD-HimayatNagar SS</t>
  </si>
  <si>
    <t xml:space="preserve">HYD-Jeedimetla</t>
  </si>
  <si>
    <t xml:space="preserve">HYD-Sai Nagar Colony</t>
  </si>
  <si>
    <t xml:space="preserve">HYD-Toli Chowki</t>
  </si>
  <si>
    <t xml:space="preserve">HYD-Moosapet New</t>
  </si>
  <si>
    <t xml:space="preserve">HYD-Vivekananda nagar New</t>
  </si>
  <si>
    <t xml:space="preserve">HYD-Kavuri Hills</t>
  </si>
  <si>
    <t xml:space="preserve">HYD-NALLAGANDLA NEW</t>
  </si>
  <si>
    <t xml:space="preserve">HYD-Jagathgiri Gutta</t>
  </si>
  <si>
    <t xml:space="preserve">HYD-SECUNDERABAD</t>
  </si>
  <si>
    <t xml:space="preserve">HYD-Mahadevpur Colony</t>
  </si>
  <si>
    <t xml:space="preserve">Hyd-Nanakramguda</t>
  </si>
  <si>
    <t xml:space="preserve">HYD-Kapra</t>
  </si>
  <si>
    <t xml:space="preserve">HYD-Sangareddy</t>
  </si>
  <si>
    <t xml:space="preserve">HYD-NIZAMPET NETWORK 2</t>
  </si>
  <si>
    <t xml:space="preserve">HYD-NCB Enclave</t>
  </si>
  <si>
    <t xml:space="preserve">HYD-Nampally</t>
  </si>
  <si>
    <t xml:space="preserve">HYD-Charminar</t>
  </si>
  <si>
    <t xml:space="preserve">HYD-Bachupally New</t>
  </si>
  <si>
    <t xml:space="preserve">HYD-Manikonda New</t>
  </si>
  <si>
    <t xml:space="preserve">HYD-Vijayapuri colony</t>
  </si>
  <si>
    <t xml:space="preserve">HYD-Tappachabutra</t>
  </si>
  <si>
    <t xml:space="preserve">HYD-PJR Layout</t>
  </si>
  <si>
    <t xml:space="preserve">HYD-Malkajgiri</t>
  </si>
  <si>
    <t xml:space="preserve">HYD-Serilingampalle</t>
  </si>
  <si>
    <t xml:space="preserve">HYD-Tarnaka SS</t>
  </si>
  <si>
    <t xml:space="preserve">HYD-Shamshabad</t>
  </si>
  <si>
    <t xml:space="preserve">HYD-Bowenpally SS</t>
  </si>
  <si>
    <t xml:space="preserve">HYD-ECIL New</t>
  </si>
  <si>
    <t xml:space="preserve">HYD-Manikonda Network 2</t>
  </si>
  <si>
    <t xml:space="preserve">HYD-Neknampur</t>
  </si>
  <si>
    <t xml:space="preserve">HYD-Banjara Hills new</t>
  </si>
  <si>
    <t xml:space="preserve">HYD-KPHB Phase 6</t>
  </si>
  <si>
    <t xml:space="preserve">HYD- Sainikpuri New</t>
  </si>
  <si>
    <t xml:space="preserve">HYD-Coca cola Road</t>
  </si>
  <si>
    <t xml:space="preserve">IDR-Sangam Nagar</t>
  </si>
  <si>
    <t xml:space="preserve">IDR-Bicholi</t>
  </si>
  <si>
    <t xml:space="preserve">IDR-Niranjanpur</t>
  </si>
  <si>
    <t xml:space="preserve">IDR-LIG Colony</t>
  </si>
  <si>
    <t xml:space="preserve">IDR-Tilak Nagar</t>
  </si>
  <si>
    <t xml:space="preserve">IDR-Nipania</t>
  </si>
  <si>
    <t xml:space="preserve">IDR-Navlakha</t>
  </si>
  <si>
    <t xml:space="preserve">IDR-Sahakar Nagar</t>
  </si>
  <si>
    <t xml:space="preserve">IDR-Chandan Nagar</t>
  </si>
  <si>
    <t xml:space="preserve">IDR-Scheme 54</t>
  </si>
  <si>
    <t xml:space="preserve">JBP-Janki Nagar</t>
  </si>
  <si>
    <t xml:space="preserve">JAI-Nirman Nagar</t>
  </si>
  <si>
    <t xml:space="preserve">JAI-Mansarovar</t>
  </si>
  <si>
    <t xml:space="preserve">JAI-Kalyanpura</t>
  </si>
  <si>
    <t xml:space="preserve">JAI-Railway Colony SS</t>
  </si>
  <si>
    <t xml:space="preserve">JAI-Tonk Phatak</t>
  </si>
  <si>
    <t xml:space="preserve">JAI-Bani Park</t>
  </si>
  <si>
    <t xml:space="preserve">JAI-Adarsh Nagar</t>
  </si>
  <si>
    <t xml:space="preserve">JAI-Hawasadak</t>
  </si>
  <si>
    <t xml:space="preserve">JAI-Pratap Nagar</t>
  </si>
  <si>
    <t xml:space="preserve">JAI-Vidhya Nagar</t>
  </si>
  <si>
    <t xml:space="preserve">JAI-Railway Colony</t>
  </si>
  <si>
    <t xml:space="preserve">JAI-Govindpura</t>
  </si>
  <si>
    <t xml:space="preserve">JAI-Gangapur city</t>
  </si>
  <si>
    <t xml:space="preserve">JAI-Suraj Nagar</t>
  </si>
  <si>
    <t xml:space="preserve">JAI-Jotwara</t>
  </si>
  <si>
    <t xml:space="preserve">JAI-Krishna Nagar</t>
  </si>
  <si>
    <t xml:space="preserve">JAI-C Sceme</t>
  </si>
  <si>
    <t xml:space="preserve">JAI-Sanganer</t>
  </si>
  <si>
    <t xml:space="preserve">JAI-Govind Nagar West</t>
  </si>
  <si>
    <t xml:space="preserve">JAI-Murlipura Scheme</t>
  </si>
  <si>
    <t xml:space="preserve">JAI-Indira Gandhi Nagar</t>
  </si>
  <si>
    <t xml:space="preserve">JAI-Ramnagariya</t>
  </si>
  <si>
    <t xml:space="preserve">JAI-Kalyanpura SS</t>
  </si>
  <si>
    <t xml:space="preserve">JAI-Mahesh Nagar</t>
  </si>
  <si>
    <t xml:space="preserve">JAI-Malviya Nagar</t>
  </si>
  <si>
    <t xml:space="preserve">JAI-Chordia City</t>
  </si>
  <si>
    <t xml:space="preserve">JAI-Jagatpura</t>
  </si>
  <si>
    <t xml:space="preserve">JAI-Patrika Gate</t>
  </si>
  <si>
    <t xml:space="preserve">JAI-Chitrakoot</t>
  </si>
  <si>
    <t xml:space="preserve">JAI-Kankha Di Dhani</t>
  </si>
  <si>
    <t xml:space="preserve">JLR-Tower Enclave</t>
  </si>
  <si>
    <t xml:space="preserve">JLR-Phagwara Hargobind Nagar</t>
  </si>
  <si>
    <t xml:space="preserve">JLR-BMC Chowk</t>
  </si>
  <si>
    <t xml:space="preserve">JLR-Kapurthala</t>
  </si>
  <si>
    <t xml:space="preserve">JLR-Sunny Enclave</t>
  </si>
  <si>
    <t xml:space="preserve">JLR-Golden Colony</t>
  </si>
  <si>
    <t xml:space="preserve">JLR-Jalandhar Heights</t>
  </si>
  <si>
    <t xml:space="preserve">JLR-Bhagat Singh Colony</t>
  </si>
  <si>
    <t xml:space="preserve">JLR-JP Nagar Road</t>
  </si>
  <si>
    <t xml:space="preserve">JMU-Talab Tillo</t>
  </si>
  <si>
    <t xml:space="preserve">JMU-Sainik Colony</t>
  </si>
  <si>
    <t xml:space="preserve">JMU-Bathindi</t>
  </si>
  <si>
    <t xml:space="preserve">JSP-Mango</t>
  </si>
  <si>
    <t xml:space="preserve">JSP-Kapali</t>
  </si>
  <si>
    <t xml:space="preserve">JHS-Civil Lines</t>
  </si>
  <si>
    <t xml:space="preserve">JHS-Sipri Bazar</t>
  </si>
  <si>
    <t xml:space="preserve">JDH-Ambika Nagar</t>
  </si>
  <si>
    <t xml:space="preserve">JDH-Basni</t>
  </si>
  <si>
    <t xml:space="preserve">JDH-Ratanada</t>
  </si>
  <si>
    <t xml:space="preserve">KNU-Barra</t>
  </si>
  <si>
    <t xml:space="preserve">KNU-Shyam Nagar</t>
  </si>
  <si>
    <t xml:space="preserve">KNU-Azad Nagar</t>
  </si>
  <si>
    <t xml:space="preserve">KNU-Shastri Nagar</t>
  </si>
  <si>
    <t xml:space="preserve">KNU-Awas Vikas New</t>
  </si>
  <si>
    <t xml:space="preserve">KNU-Kidwai Nagar</t>
  </si>
  <si>
    <t xml:space="preserve">KNU-Mulganj</t>
  </si>
  <si>
    <t xml:space="preserve">KNU-Arya Nagar</t>
  </si>
  <si>
    <t xml:space="preserve">KNU-Lal Bangla</t>
  </si>
  <si>
    <t xml:space="preserve">KNU-Yashoda Nagar</t>
  </si>
  <si>
    <t xml:space="preserve">KAR-Vavilalapally</t>
  </si>
  <si>
    <t xml:space="preserve">KAR-Sapthagiri Colony</t>
  </si>
  <si>
    <t xml:space="preserve">KAR-Ganesh Nagar</t>
  </si>
  <si>
    <t xml:space="preserve">KNL-Saini Colony</t>
  </si>
  <si>
    <t xml:space="preserve">KNL-Vikas Colony</t>
  </si>
  <si>
    <t xml:space="preserve">KLP-Nagalapark</t>
  </si>
  <si>
    <t xml:space="preserve">KLP-Kanerkar Nagar</t>
  </si>
  <si>
    <t xml:space="preserve">KOL-Liluah</t>
  </si>
  <si>
    <t xml:space="preserve">KOL-BALLYGANJ</t>
  </si>
  <si>
    <t xml:space="preserve">DeactivatedKOL-Action area I</t>
  </si>
  <si>
    <t xml:space="preserve">KOL-RAJARHAT</t>
  </si>
  <si>
    <t xml:space="preserve">KOL-Shibpur</t>
  </si>
  <si>
    <t xml:space="preserve">KOL-Nazirabad</t>
  </si>
  <si>
    <t xml:space="preserve">KOL-NEW TOWN</t>
  </si>
  <si>
    <t xml:space="preserve">KOL-Uniworld City</t>
  </si>
  <si>
    <t xml:space="preserve">KOL-Motinagar</t>
  </si>
  <si>
    <t xml:space="preserve">KOL-Kakurgachi</t>
  </si>
  <si>
    <t xml:space="preserve">KOL-Serampore</t>
  </si>
  <si>
    <t xml:space="preserve">KOL-Sukhobristi</t>
  </si>
  <si>
    <t xml:space="preserve">KOL-Topsia</t>
  </si>
  <si>
    <t xml:space="preserve">KOL-College Square</t>
  </si>
  <si>
    <t xml:space="preserve">KOL-Maheshtala</t>
  </si>
  <si>
    <t xml:space="preserve">KOL-Mahish Bathan</t>
  </si>
  <si>
    <t xml:space="preserve">KOL-Madhyamgram</t>
  </si>
  <si>
    <t xml:space="preserve">KOL-Park Street</t>
  </si>
  <si>
    <t xml:space="preserve">KOL-Birati</t>
  </si>
  <si>
    <t xml:space="preserve">KOL-Khidirpore</t>
  </si>
  <si>
    <t xml:space="preserve">KOL-Bhawanipore New</t>
  </si>
  <si>
    <t xml:space="preserve">KOL-Belgachia</t>
  </si>
  <si>
    <t xml:space="preserve">KOL-Baruipur</t>
  </si>
  <si>
    <t xml:space="preserve">KOL-SANTOSHPUR</t>
  </si>
  <si>
    <t xml:space="preserve">KOL-Santragachi</t>
  </si>
  <si>
    <t xml:space="preserve">KOL-Action Area II</t>
  </si>
  <si>
    <t xml:space="preserve">KOL-Behala New</t>
  </si>
  <si>
    <t xml:space="preserve">KOL-Kestopur</t>
  </si>
  <si>
    <t xml:space="preserve">KOL-Lake Gardens</t>
  </si>
  <si>
    <t xml:space="preserve">KOL-Kamalgachi</t>
  </si>
  <si>
    <t xml:space="preserve">KOL-Amarpalli</t>
  </si>
  <si>
    <t xml:space="preserve">KOL-Tangra</t>
  </si>
  <si>
    <t xml:space="preserve">KOL-Uttarpara</t>
  </si>
  <si>
    <t xml:space="preserve">KOL-Ballygunj SS</t>
  </si>
  <si>
    <t xml:space="preserve">KOL-Acropolis</t>
  </si>
  <si>
    <t xml:space="preserve">KOL-FE Block</t>
  </si>
  <si>
    <t xml:space="preserve">KOL-Garia</t>
  </si>
  <si>
    <t xml:space="preserve">KOL-Salt Lake SS</t>
  </si>
  <si>
    <t xml:space="preserve">KOL-Nabapally</t>
  </si>
  <si>
    <t xml:space="preserve">KOL-Barrackpore</t>
  </si>
  <si>
    <t xml:space="preserve">KOL-Haridevpur SS</t>
  </si>
  <si>
    <t xml:space="preserve">KOL-Barasat</t>
  </si>
  <si>
    <t xml:space="preserve">KOL-Joka New</t>
  </si>
  <si>
    <t xml:space="preserve">KOL-Action area I</t>
  </si>
  <si>
    <t xml:space="preserve">Deactivated KOL-Haridevpur New</t>
  </si>
  <si>
    <t xml:space="preserve">KOL-North Dumdum</t>
  </si>
  <si>
    <t xml:space="preserve">KOL-Maniktala</t>
  </si>
  <si>
    <t xml:space="preserve">KOL-DumDum</t>
  </si>
  <si>
    <t xml:space="preserve">KOL-Park street network</t>
  </si>
  <si>
    <t xml:space="preserve">KOL-Kalyani</t>
  </si>
  <si>
    <t xml:space="preserve">KOL-Baisakhi</t>
  </si>
  <si>
    <t xml:space="preserve">KOL-Diamond City New</t>
  </si>
  <si>
    <t xml:space="preserve">KOL-Jadavpur New</t>
  </si>
  <si>
    <t xml:space="preserve">KOL-PHOOLBAGAN New</t>
  </si>
  <si>
    <t xml:space="preserve">KOL-Kamarhati</t>
  </si>
  <si>
    <t xml:space="preserve">KOL- Rickjoni</t>
  </si>
  <si>
    <t xml:space="preserve">KOL-BARANAGAR</t>
  </si>
  <si>
    <t xml:space="preserve">KOL-Haridevpur New</t>
  </si>
  <si>
    <t xml:space="preserve">KOL-Chandannagar</t>
  </si>
  <si>
    <t xml:space="preserve">KOL-Ichapur</t>
  </si>
  <si>
    <t xml:space="preserve">KTU-Kunadi</t>
  </si>
  <si>
    <t xml:space="preserve">KTU-Police Line</t>
  </si>
  <si>
    <t xml:space="preserve">KTU-Rangbari</t>
  </si>
  <si>
    <t xml:space="preserve">KTU-Dadabari</t>
  </si>
  <si>
    <t xml:space="preserve">KUR-Sec 7</t>
  </si>
  <si>
    <t xml:space="preserve">KUR-Sector 17</t>
  </si>
  <si>
    <t xml:space="preserve">LKO-Eldeco Udyan SS</t>
  </si>
  <si>
    <t xml:space="preserve">LKO-Sardari Kheda</t>
  </si>
  <si>
    <t xml:space="preserve">LKO-Golf City</t>
  </si>
  <si>
    <t xml:space="preserve">LKO-Eldeco</t>
  </si>
  <si>
    <t xml:space="preserve">LKO-Ashraf Vihar Colony</t>
  </si>
  <si>
    <t xml:space="preserve">LKO-Daliganj</t>
  </si>
  <si>
    <t xml:space="preserve">LKO-vijaya Khand</t>
  </si>
  <si>
    <t xml:space="preserve">LKO-Sharda Nagar New</t>
  </si>
  <si>
    <t xml:space="preserve">LKO-Dubagga</t>
  </si>
  <si>
    <t xml:space="preserve">LKO-Chowk SS</t>
  </si>
  <si>
    <t xml:space="preserve">LKO-Tedhi Pulia</t>
  </si>
  <si>
    <t xml:space="preserve">LKO-Defense Colony</t>
  </si>
  <si>
    <t xml:space="preserve">LKO-Gudamba</t>
  </si>
  <si>
    <t xml:space="preserve">LKO-Indiranagar</t>
  </si>
  <si>
    <t xml:space="preserve">LKO-Chinhat</t>
  </si>
  <si>
    <t xml:space="preserve">LKO-Eldeco Udyan 2</t>
  </si>
  <si>
    <t xml:space="preserve">LKO-Mahanagar New</t>
  </si>
  <si>
    <t xml:space="preserve">LKO-Aminabad</t>
  </si>
  <si>
    <t xml:space="preserve">LKO-Ashraf Vihar Colony SS</t>
  </si>
  <si>
    <t xml:space="preserve">LKO-Khera Para</t>
  </si>
  <si>
    <t xml:space="preserve">LKO-LDA Colony</t>
  </si>
  <si>
    <t xml:space="preserve">LKO-Chowk</t>
  </si>
  <si>
    <t xml:space="preserve">LKO-Fazullaganj</t>
  </si>
  <si>
    <t xml:space="preserve">LKO-Rajendra Nagar</t>
  </si>
  <si>
    <t xml:space="preserve">LKO-IIM</t>
  </si>
  <si>
    <t xml:space="preserve">LKO-Rajajipuram</t>
  </si>
  <si>
    <t xml:space="preserve">LKO-Aliganj</t>
  </si>
  <si>
    <t xml:space="preserve">LKO-Arjunganj</t>
  </si>
  <si>
    <t xml:space="preserve">LKO-Jankipuram</t>
  </si>
  <si>
    <t xml:space="preserve">LKO-Amity University Lucknow</t>
  </si>
  <si>
    <t xml:space="preserve">LKO-Arjunganj SS</t>
  </si>
  <si>
    <t xml:space="preserve">LKO-Manas Enclave</t>
  </si>
  <si>
    <t xml:space="preserve">LKO-Vikas Khand</t>
  </si>
  <si>
    <t xml:space="preserve">LKO-Jankipuram SS</t>
  </si>
  <si>
    <t xml:space="preserve">LKO-Hazratganj</t>
  </si>
  <si>
    <t xml:space="preserve">LKO-Krishna Nagar</t>
  </si>
  <si>
    <t xml:space="preserve">LKO-Anora Kala</t>
  </si>
  <si>
    <t xml:space="preserve">LKO-Aziz Nagar</t>
  </si>
  <si>
    <t xml:space="preserve">LKO-Gomti Nagar</t>
  </si>
  <si>
    <t xml:space="preserve">LKO-Vikas Nagar</t>
  </si>
  <si>
    <t xml:space="preserve">LDH-Sarabha Nagar</t>
  </si>
  <si>
    <t xml:space="preserve">LDH-Urban Estate</t>
  </si>
  <si>
    <t xml:space="preserve">LDH-Punjabi Bagh Colony</t>
  </si>
  <si>
    <t xml:space="preserve">LDH-Pakhowal</t>
  </si>
  <si>
    <t xml:space="preserve">LDH-Rishi Nagar</t>
  </si>
  <si>
    <t xml:space="preserve">LDH-Hargobind Nagar</t>
  </si>
  <si>
    <t xml:space="preserve">LDH-Ferozepur road</t>
  </si>
  <si>
    <t xml:space="preserve">LDH-Ishar Nagar</t>
  </si>
  <si>
    <t xml:space="preserve">LDH-Jamalpur</t>
  </si>
  <si>
    <t xml:space="preserve">LDH-Gagandeep Colony</t>
  </si>
  <si>
    <t xml:space="preserve">MDU-TVS Nagar</t>
  </si>
  <si>
    <t xml:space="preserve">MDU-Villapuram</t>
  </si>
  <si>
    <t xml:space="preserve">MDU-Krishnapuram</t>
  </si>
  <si>
    <t xml:space="preserve">MDU-SS Colony</t>
  </si>
  <si>
    <t xml:space="preserve">MTH-Govind Dham Colony</t>
  </si>
  <si>
    <t xml:space="preserve">MTH-Deep Rupam Colony</t>
  </si>
  <si>
    <t xml:space="preserve">MTH-Vrindavan</t>
  </si>
  <si>
    <t xml:space="preserve">MRT-Defence Colony</t>
  </si>
  <si>
    <t xml:space="preserve">MRT-Subharti University</t>
  </si>
  <si>
    <t xml:space="preserve">MRT-Mangal Pandey Nagar</t>
  </si>
  <si>
    <t xml:space="preserve">MRT-Daurli</t>
  </si>
  <si>
    <t xml:space="preserve">MRT-PVS Mall</t>
  </si>
  <si>
    <t xml:space="preserve">MRT-Fazalpur</t>
  </si>
  <si>
    <t xml:space="preserve">MRT-Kanker Khera</t>
  </si>
  <si>
    <t xml:space="preserve">MRT-Meerut Central</t>
  </si>
  <si>
    <t xml:space="preserve">MEH-Hub Town</t>
  </si>
  <si>
    <t xml:space="preserve">MEH-Palanpur</t>
  </si>
  <si>
    <t xml:space="preserve">MBD-Buddhi Vihar</t>
  </si>
  <si>
    <t xml:space="preserve">MUM-Andheri West Network 2 New</t>
  </si>
  <si>
    <t xml:space="preserve">MUM-Katemanivali</t>
  </si>
  <si>
    <t xml:space="preserve">MUM-Vashi SS</t>
  </si>
  <si>
    <t xml:space="preserve">MUM-Ambernath</t>
  </si>
  <si>
    <t xml:space="preserve">MUM-Beverly Parks</t>
  </si>
  <si>
    <t xml:space="preserve">MUM-Virar</t>
  </si>
  <si>
    <t xml:space="preserve">MUM-Borivali SS</t>
  </si>
  <si>
    <t xml:space="preserve">MUM-LOWER PAREL NEW</t>
  </si>
  <si>
    <t xml:space="preserve">MUM-Vikhroli west</t>
  </si>
  <si>
    <t xml:space="preserve">MUM-Andheri West Network</t>
  </si>
  <si>
    <t xml:space="preserve">MUM-Naupada</t>
  </si>
  <si>
    <t xml:space="preserve">Marol</t>
  </si>
  <si>
    <t xml:space="preserve">MUM-Matunga West</t>
  </si>
  <si>
    <t xml:space="preserve">MUM-Ashok Van</t>
  </si>
  <si>
    <t xml:space="preserve">MUM-MALAD</t>
  </si>
  <si>
    <t xml:space="preserve">MUM-MUMBAI CENTRAL</t>
  </si>
  <si>
    <t xml:space="preserve">MUM-Mhatre nagar</t>
  </si>
  <si>
    <t xml:space="preserve">MUM-KANDIVALI EAST Network</t>
  </si>
  <si>
    <t xml:space="preserve">MUM-Nehru Nagar</t>
  </si>
  <si>
    <t xml:space="preserve">MUM-Bhayendarpada</t>
  </si>
  <si>
    <t xml:space="preserve">MUM-Gulmohar road</t>
  </si>
  <si>
    <t xml:space="preserve">MUM-Fort</t>
  </si>
  <si>
    <t xml:space="preserve">MUM-Kanjurmarg West</t>
  </si>
  <si>
    <t xml:space="preserve">MUM-Kharghar New</t>
  </si>
  <si>
    <t xml:space="preserve">MUM-Ulwe</t>
  </si>
  <si>
    <t xml:space="preserve">MUM-Rabale</t>
  </si>
  <si>
    <t xml:space="preserve">MUM-Runwal Garden</t>
  </si>
  <si>
    <t xml:space="preserve">MUM-MHB Colony</t>
  </si>
  <si>
    <t xml:space="preserve">MUM-Belapur New</t>
  </si>
  <si>
    <t xml:space="preserve">MUM-Manjarli</t>
  </si>
  <si>
    <t xml:space="preserve">MUM-Kamothe</t>
  </si>
  <si>
    <t xml:space="preserve">MUM-Jacob Circle</t>
  </si>
  <si>
    <t xml:space="preserve">MUM-Vashi Network 2</t>
  </si>
  <si>
    <t xml:space="preserve">MUM-Vashi New</t>
  </si>
  <si>
    <t xml:space="preserve">MUM-Panvel New</t>
  </si>
  <si>
    <t xml:space="preserve">MUM-KASARVADAVALI</t>
  </si>
  <si>
    <t xml:space="preserve">MUM-Bhiwandi</t>
  </si>
  <si>
    <t xml:space="preserve">MUM-Boisar</t>
  </si>
  <si>
    <t xml:space="preserve">MUM-CHEMBUR NEW</t>
  </si>
  <si>
    <t xml:space="preserve">MUM-Charkop</t>
  </si>
  <si>
    <t xml:space="preserve">MUM-BORIVALI</t>
  </si>
  <si>
    <t xml:space="preserve">MUM-Mahim</t>
  </si>
  <si>
    <t xml:space="preserve">MUM-Kharghar Network</t>
  </si>
  <si>
    <t xml:space="preserve">MUM-Bhayandar New</t>
  </si>
  <si>
    <t xml:space="preserve">MUM-Hill Road Bandra</t>
  </si>
  <si>
    <t xml:space="preserve">MUM-Bhayendar West</t>
  </si>
  <si>
    <t xml:space="preserve">MUM-Borivali East</t>
  </si>
  <si>
    <t xml:space="preserve">MUM-KURLA EAST</t>
  </si>
  <si>
    <t xml:space="preserve">MUM-Runwal Garden SS</t>
  </si>
  <si>
    <t xml:space="preserve">MUM-Waghbil Network-3</t>
  </si>
  <si>
    <t xml:space="preserve">Mum-Goregaon East SS</t>
  </si>
  <si>
    <t xml:space="preserve">MUM-Nandivali Kalyan</t>
  </si>
  <si>
    <t xml:space="preserve">MUM-Pant Nagar</t>
  </si>
  <si>
    <t xml:space="preserve">MUM-Jogeshwari East New</t>
  </si>
  <si>
    <t xml:space="preserve">MUM-Diamond garden</t>
  </si>
  <si>
    <t xml:space="preserve">MUM-KOTHARI COMPOUND Network 1</t>
  </si>
  <si>
    <t xml:space="preserve">MUM-MAJIWADA</t>
  </si>
  <si>
    <t xml:space="preserve">MUM-Palegaon</t>
  </si>
  <si>
    <t xml:space="preserve">MUM-Vashi Network New</t>
  </si>
  <si>
    <t xml:space="preserve">MUM-Byculla West</t>
  </si>
  <si>
    <t xml:space="preserve">MUM-OSHIWARA-SS</t>
  </si>
  <si>
    <t xml:space="preserve">MUM-Sai Baba Nagar</t>
  </si>
  <si>
    <t xml:space="preserve">MUM-Shilphata</t>
  </si>
  <si>
    <t xml:space="preserve">MUM-Nerul</t>
  </si>
  <si>
    <t xml:space="preserve">MUM-Bandra SS</t>
  </si>
  <si>
    <t xml:space="preserve">MUM-Sainath Nagar</t>
  </si>
  <si>
    <t xml:space="preserve">MUM-Anand Nagar</t>
  </si>
  <si>
    <t xml:space="preserve">MUM-Lokhandwala</t>
  </si>
  <si>
    <t xml:space="preserve">MUM-Marol SS</t>
  </si>
  <si>
    <t xml:space="preserve">MUM-Dombivali W New</t>
  </si>
  <si>
    <t xml:space="preserve">MUM-Vile parle</t>
  </si>
  <si>
    <t xml:space="preserve">MUM-MIRA ROAD NEW</t>
  </si>
  <si>
    <t xml:space="preserve">MUM-Andheri West</t>
  </si>
  <si>
    <t xml:space="preserve">MUM-Palava Phase 2</t>
  </si>
  <si>
    <t xml:space="preserve">MUM-Parel Network 2</t>
  </si>
  <si>
    <t xml:space="preserve">MUM-BKC SS</t>
  </si>
  <si>
    <t xml:space="preserve">MUM-Kothari Compound SS</t>
  </si>
  <si>
    <t xml:space="preserve">MUM-Pali Hill</t>
  </si>
  <si>
    <t xml:space="preserve">MUM-Park Road</t>
  </si>
  <si>
    <t xml:space="preserve">MUM-New Balaji Nagar</t>
  </si>
  <si>
    <t xml:space="preserve">MUM-Sector 20 Ulwe</t>
  </si>
  <si>
    <t xml:space="preserve">MUM-Belavali</t>
  </si>
  <si>
    <t xml:space="preserve">MUM-Bhandup New</t>
  </si>
  <si>
    <t xml:space="preserve">Mum-Bhandup network</t>
  </si>
  <si>
    <t xml:space="preserve">MUM- Lower Parel Network</t>
  </si>
  <si>
    <t xml:space="preserve">MUM-BKC NW New</t>
  </si>
  <si>
    <t xml:space="preserve">MUM-Naigaon</t>
  </si>
  <si>
    <t xml:space="preserve">MUM-DADAR EAST</t>
  </si>
  <si>
    <t xml:space="preserve">MUM-Reay Road</t>
  </si>
  <si>
    <t xml:space="preserve">MUM-Kalwa</t>
  </si>
  <si>
    <t xml:space="preserve">MUM-Shivai Nagar</t>
  </si>
  <si>
    <t xml:space="preserve">MUM-Central Park</t>
  </si>
  <si>
    <t xml:space="preserve">MUM-Panvel SS</t>
  </si>
  <si>
    <t xml:space="preserve">MUM-Thakur Village</t>
  </si>
  <si>
    <t xml:space="preserve">MUM-Nalasopara</t>
  </si>
  <si>
    <t xml:space="preserve">MUM-Veer savarkar marg</t>
  </si>
  <si>
    <t xml:space="preserve">MUM-Charkop SS</t>
  </si>
  <si>
    <t xml:space="preserve">MUM-Seawoods</t>
  </si>
  <si>
    <t xml:space="preserve">MUM-Titwala</t>
  </si>
  <si>
    <t xml:space="preserve">MUM-Marol Network</t>
  </si>
  <si>
    <t xml:space="preserve">MUM-Ulhas Nagar</t>
  </si>
  <si>
    <t xml:space="preserve">MUM-Waghle Estate Network</t>
  </si>
  <si>
    <t xml:space="preserve">MUM-Mira Road SS</t>
  </si>
  <si>
    <t xml:space="preserve">MUM-Palava City</t>
  </si>
  <si>
    <t xml:space="preserve">MUM-Golani Naka</t>
  </si>
  <si>
    <t xml:space="preserve">MUM-BKC Main</t>
  </si>
  <si>
    <t xml:space="preserve">MUM-WAGHBIL NEW</t>
  </si>
  <si>
    <t xml:space="preserve">MUM-Bhandup Network-2</t>
  </si>
  <si>
    <t xml:space="preserve">MUM-Sector 18 Panvel</t>
  </si>
  <si>
    <t xml:space="preserve">MUM-Kurla W</t>
  </si>
  <si>
    <t xml:space="preserve">MUM-MALAD Network 2</t>
  </si>
  <si>
    <t xml:space="preserve">MUM-Malabar Hill</t>
  </si>
  <si>
    <t xml:space="preserve">MUM-Shahad</t>
  </si>
  <si>
    <t xml:space="preserve">MUM-Colaba</t>
  </si>
  <si>
    <t xml:space="preserve">MUM-DOMBIVALI (W) Network 1</t>
  </si>
  <si>
    <t xml:space="preserve">MUM-Malad Network</t>
  </si>
  <si>
    <t xml:space="preserve">MUM-Sainath Nagar SS</t>
  </si>
  <si>
    <t xml:space="preserve">MUM-Vikhroli East</t>
  </si>
  <si>
    <t xml:space="preserve">MUM-Girgaon</t>
  </si>
  <si>
    <t xml:space="preserve">MUM-Hiranandani Estate</t>
  </si>
  <si>
    <t xml:space="preserve">MUM-JB Nagar</t>
  </si>
  <si>
    <t xml:space="preserve">MUM-KOTHARI COMPOUND NEW</t>
  </si>
  <si>
    <t xml:space="preserve">MUM-Worli</t>
  </si>
  <si>
    <t xml:space="preserve">MUM-GHATKOPAR WEST</t>
  </si>
  <si>
    <t xml:space="preserve">MUM-Yashwant Nagar</t>
  </si>
  <si>
    <t xml:space="preserve">MUM-Chandivali</t>
  </si>
  <si>
    <t xml:space="preserve">Powai</t>
  </si>
  <si>
    <t xml:space="preserve">MUM-Dahanu</t>
  </si>
  <si>
    <t xml:space="preserve">MUM-Bhendi Bazar</t>
  </si>
  <si>
    <t xml:space="preserve">MUM-Borivali West</t>
  </si>
  <si>
    <t xml:space="preserve">MUM-Kalyan East</t>
  </si>
  <si>
    <t xml:space="preserve">MUM-Mharal</t>
  </si>
  <si>
    <t xml:space="preserve">MUM-KOPARKHAIRNE SECTOR 4A</t>
  </si>
  <si>
    <t xml:space="preserve">MUM-Palghar</t>
  </si>
  <si>
    <t xml:space="preserve">MUM-Airoli</t>
  </si>
  <si>
    <t xml:space="preserve">MUM-Kalyan</t>
  </si>
  <si>
    <t xml:space="preserve">MUM-Saravali</t>
  </si>
  <si>
    <t xml:space="preserve">MUM-Mumbai Central SS</t>
  </si>
  <si>
    <t xml:space="preserve">MUM-Airoli SS</t>
  </si>
  <si>
    <t xml:space="preserve">MUM-Bhoirpada</t>
  </si>
  <si>
    <t xml:space="preserve">MUM-Nalasopara West</t>
  </si>
  <si>
    <t xml:space="preserve">MUM-SANTACRUZ</t>
  </si>
  <si>
    <t xml:space="preserve">MUM-Tilak Nagar</t>
  </si>
  <si>
    <t xml:space="preserve">MUM-Vitthalwadi</t>
  </si>
  <si>
    <t xml:space="preserve">MUM-Bandra</t>
  </si>
  <si>
    <t xml:space="preserve">MUM-Goregaon E Network New</t>
  </si>
  <si>
    <t xml:space="preserve">MUM-Koparkhairne New</t>
  </si>
  <si>
    <t xml:space="preserve">MUM-Mulund East</t>
  </si>
  <si>
    <t xml:space="preserve">MUM-GOREGAON EAST</t>
  </si>
  <si>
    <t xml:space="preserve">MUM-Bhandup SS</t>
  </si>
  <si>
    <t xml:space="preserve">MUM-Kandivali West New</t>
  </si>
  <si>
    <t xml:space="preserve">MUM-Wadala New</t>
  </si>
  <si>
    <t xml:space="preserve">MUM-Parel SS</t>
  </si>
  <si>
    <t xml:space="preserve">MUM-Old Panvel</t>
  </si>
  <si>
    <t xml:space="preserve">MUM-Shahad SS</t>
  </si>
  <si>
    <t xml:space="preserve">MUM-Belapur SS</t>
  </si>
  <si>
    <t xml:space="preserve">MUM-Chakala</t>
  </si>
  <si>
    <t xml:space="preserve">MUM-Kannamvar Nagar</t>
  </si>
  <si>
    <t xml:space="preserve">MUM-Andheri East New</t>
  </si>
  <si>
    <t xml:space="preserve">MUM-Andheri East SS</t>
  </si>
  <si>
    <t xml:space="preserve">MUM-Prabhadevi</t>
  </si>
  <si>
    <t xml:space="preserve">MUM-Kalwa East</t>
  </si>
  <si>
    <t xml:space="preserve">MUM-Marol Network-2</t>
  </si>
  <si>
    <t xml:space="preserve">MUM-Badlapur East</t>
  </si>
  <si>
    <t xml:space="preserve">MUM-Chembur SS</t>
  </si>
  <si>
    <t xml:space="preserve">MUM-Mahajan Wadi</t>
  </si>
  <si>
    <t xml:space="preserve">MUM-WAGHLE ESTATE</t>
  </si>
  <si>
    <t xml:space="preserve">MUM-Tunga Village</t>
  </si>
  <si>
    <t xml:space="preserve">Mum-Parel</t>
  </si>
  <si>
    <t xml:space="preserve">MUM-Marin lines</t>
  </si>
  <si>
    <t xml:space="preserve">MUM-Vasai West</t>
  </si>
  <si>
    <t xml:space="preserve">NAG-Raghuji Nagar</t>
  </si>
  <si>
    <t xml:space="preserve">NAG-Garoba Maidan</t>
  </si>
  <si>
    <t xml:space="preserve">NAG-Vaishali Nagar</t>
  </si>
  <si>
    <t xml:space="preserve">NAG-Bhupesh Nagar</t>
  </si>
  <si>
    <t xml:space="preserve">NAG-Besa</t>
  </si>
  <si>
    <t xml:space="preserve">NAG-Hudkeshwar</t>
  </si>
  <si>
    <t xml:space="preserve">NAG-Jaripatka</t>
  </si>
  <si>
    <t xml:space="preserve">NAG-Zingabai Takali</t>
  </si>
  <si>
    <t xml:space="preserve">NAG-Gokulpeth</t>
  </si>
  <si>
    <t xml:space="preserve">NAG-Khamla</t>
  </si>
  <si>
    <t xml:space="preserve">NAS-CIDCO</t>
  </si>
  <si>
    <t xml:space="preserve">NAS-Balram Nagar</t>
  </si>
  <si>
    <t xml:space="preserve">NAS-CIDCO SS</t>
  </si>
  <si>
    <t xml:space="preserve">NAS-Indira Nagar</t>
  </si>
  <si>
    <t xml:space="preserve">NAS-Jagtap Mala</t>
  </si>
  <si>
    <t xml:space="preserve">NAS-Panchvati</t>
  </si>
  <si>
    <t xml:space="preserve">NAS-Rane Nagar</t>
  </si>
  <si>
    <t xml:space="preserve">NAS-Ganpati Nagar</t>
  </si>
  <si>
    <t xml:space="preserve">NAS-Dasak</t>
  </si>
  <si>
    <t xml:space="preserve">NOD-Sec 135 SS</t>
  </si>
  <si>
    <t xml:space="preserve">NOD-Sector 71</t>
  </si>
  <si>
    <t xml:space="preserve">NOD-Sector 73 NOIDA NEW</t>
  </si>
  <si>
    <t xml:space="preserve">NOD-Sector 49</t>
  </si>
  <si>
    <t xml:space="preserve">NOD-SECTOR 116</t>
  </si>
  <si>
    <t xml:space="preserve">NOD-SECTOR 142 NOIDA</t>
  </si>
  <si>
    <t xml:space="preserve">NOD-Salarpur</t>
  </si>
  <si>
    <t xml:space="preserve">NOD-Sector 58</t>
  </si>
  <si>
    <t xml:space="preserve">NOD-NOIDA EXTENSION NETWORK</t>
  </si>
  <si>
    <t xml:space="preserve">NOD-Beta 1</t>
  </si>
  <si>
    <t xml:space="preserve">NOD-Sector 128</t>
  </si>
  <si>
    <t xml:space="preserve">NOD - Sector 117 Noida</t>
  </si>
  <si>
    <t xml:space="preserve">NOD-Noida Extension SS</t>
  </si>
  <si>
    <t xml:space="preserve">NOD-Jalvayu Vihar</t>
  </si>
  <si>
    <t xml:space="preserve">NOD-Sector 116 main</t>
  </si>
  <si>
    <t xml:space="preserve">NOD-Sector 63 SS</t>
  </si>
  <si>
    <t xml:space="preserve">NOD-Sector 117 network</t>
  </si>
  <si>
    <t xml:space="preserve">NOD-Tugalpur</t>
  </si>
  <si>
    <t xml:space="preserve">NOD-Sector 27</t>
  </si>
  <si>
    <t xml:space="preserve">NOD-Chi 5</t>
  </si>
  <si>
    <t xml:space="preserve">NOD-Sector 62</t>
  </si>
  <si>
    <t xml:space="preserve">NOD-Sector 73 Network</t>
  </si>
  <si>
    <t xml:space="preserve">NOD-Sector Pi 1 SS</t>
  </si>
  <si>
    <t xml:space="preserve">NOD-Sector 10 SS</t>
  </si>
  <si>
    <t xml:space="preserve">NOD-Sector 137</t>
  </si>
  <si>
    <t xml:space="preserve">NOD-Sector 53</t>
  </si>
  <si>
    <t xml:space="preserve">NOD-SAKIPUR</t>
  </si>
  <si>
    <t xml:space="preserve">NOD-Sec 117 SS</t>
  </si>
  <si>
    <t xml:space="preserve">NOD-OMICRON</t>
  </si>
  <si>
    <t xml:space="preserve">NOD-Knowledge park III</t>
  </si>
  <si>
    <t xml:space="preserve">NOD-Noida Extension</t>
  </si>
  <si>
    <t xml:space="preserve">NOD-Sector 46 SS</t>
  </si>
  <si>
    <t xml:space="preserve">NOD-Sector 46 Network-2</t>
  </si>
  <si>
    <t xml:space="preserve">NOD-Sector-31</t>
  </si>
  <si>
    <t xml:space="preserve">NOD-Amity</t>
  </si>
  <si>
    <t xml:space="preserve">NOD-Bahlopur</t>
  </si>
  <si>
    <t xml:space="preserve">NOD-Sector 93</t>
  </si>
  <si>
    <t xml:space="preserve">NOD-SECTOR 142 NETWORK NEW</t>
  </si>
  <si>
    <t xml:space="preserve">NOD-JP Greens</t>
  </si>
  <si>
    <t xml:space="preserve">NOD-ETA II</t>
  </si>
  <si>
    <t xml:space="preserve">NOD-Sector 22</t>
  </si>
  <si>
    <t xml:space="preserve">NOD-SECTOR 135</t>
  </si>
  <si>
    <t xml:space="preserve">NOD-Sarvottam School</t>
  </si>
  <si>
    <t xml:space="preserve">NOD-Gulistanpur</t>
  </si>
  <si>
    <t xml:space="preserve">NOD-Sector 4</t>
  </si>
  <si>
    <t xml:space="preserve">NOD-ITEDA</t>
  </si>
  <si>
    <t xml:space="preserve">NOD-Vaidpura</t>
  </si>
  <si>
    <t xml:space="preserve">NOD-Panchsheel Greens</t>
  </si>
  <si>
    <t xml:space="preserve">NOD-Sector-10 New</t>
  </si>
  <si>
    <t xml:space="preserve">NOD_SECTOR 63 NOIDA</t>
  </si>
  <si>
    <t xml:space="preserve">NOD-Sector 41</t>
  </si>
  <si>
    <t xml:space="preserve">NOD-Bisrakh SS</t>
  </si>
  <si>
    <t xml:space="preserve">NOD-Bisrakh Sector 1</t>
  </si>
  <si>
    <t xml:space="preserve">NOD-Supertech Eco village</t>
  </si>
  <si>
    <t xml:space="preserve">NOD-Sector 47</t>
  </si>
  <si>
    <t xml:space="preserve">NOD-Sector 149</t>
  </si>
  <si>
    <t xml:space="preserve">NOD-Sector 73 Network-2</t>
  </si>
  <si>
    <t xml:space="preserve">NOD-Sector 46 Network</t>
  </si>
  <si>
    <t xml:space="preserve">NOD-BISRAKH</t>
  </si>
  <si>
    <t xml:space="preserve">NOD-SECTOR PI-1</t>
  </si>
  <si>
    <t xml:space="preserve">NOD-Sector 143 B</t>
  </si>
  <si>
    <t xml:space="preserve">NOD-Bajidpur</t>
  </si>
  <si>
    <t xml:space="preserve">NOD-Ansal Golf Link</t>
  </si>
  <si>
    <t xml:space="preserve">NOD-SECTOR 116 New</t>
  </si>
  <si>
    <t xml:space="preserve">NOD-Sector 150</t>
  </si>
  <si>
    <t xml:space="preserve">NOD-Sector 62A</t>
  </si>
  <si>
    <t xml:space="preserve">PNK-Sector 20</t>
  </si>
  <si>
    <t xml:space="preserve">PNK-BUDANPUR</t>
  </si>
  <si>
    <t xml:space="preserve">PNK-Sector 26</t>
  </si>
  <si>
    <t xml:space="preserve">PAN-Huda sector 12</t>
  </si>
  <si>
    <t xml:space="preserve">PAN-Sector 18 Huda</t>
  </si>
  <si>
    <t xml:space="preserve">PAN-Gol Market</t>
  </si>
  <si>
    <t xml:space="preserve">PAT-New Lal Bagh Colony</t>
  </si>
  <si>
    <t xml:space="preserve">PAT-Punjabi Bagh</t>
  </si>
  <si>
    <t xml:space="preserve">PAT-Urban Estate</t>
  </si>
  <si>
    <t xml:space="preserve">PYJ-Jhunsi</t>
  </si>
  <si>
    <t xml:space="preserve">PYJ-Naini</t>
  </si>
  <si>
    <t xml:space="preserve">PYJ-New Katra</t>
  </si>
  <si>
    <t xml:space="preserve">PYJ-Kalindipuram</t>
  </si>
  <si>
    <t xml:space="preserve">PYJ-Kareli</t>
  </si>
  <si>
    <t xml:space="preserve">PYJ-Tagore Town</t>
  </si>
  <si>
    <t xml:space="preserve">PYJ-Govindpur</t>
  </si>
  <si>
    <t xml:space="preserve">PYJ-Sulem Sarai</t>
  </si>
  <si>
    <t xml:space="preserve">PYJ-Civil Lines</t>
  </si>
  <si>
    <t xml:space="preserve">PNY-White Town</t>
  </si>
  <si>
    <t xml:space="preserve">PNY-Lawspet</t>
  </si>
  <si>
    <t xml:space="preserve">PUN-Bhumkar Nagar</t>
  </si>
  <si>
    <t xml:space="preserve">PUN-Kondhwa</t>
  </si>
  <si>
    <t xml:space="preserve">PUN-Nimbalkar Nagar</t>
  </si>
  <si>
    <t xml:space="preserve">PUN-Kharadi Network</t>
  </si>
  <si>
    <t xml:space="preserve">PUN-AUNDH</t>
  </si>
  <si>
    <t xml:space="preserve">PUN-Pimple Nilakh</t>
  </si>
  <si>
    <t xml:space="preserve">PUN-Shewalewadi</t>
  </si>
  <si>
    <t xml:space="preserve">PUN-Splendor county</t>
  </si>
  <si>
    <t xml:space="preserve">PUN-Viman Nagar New</t>
  </si>
  <si>
    <t xml:space="preserve">PUN-HADAPSAR</t>
  </si>
  <si>
    <t xml:space="preserve">PUN-Dhanori</t>
  </si>
  <si>
    <t xml:space="preserve">PUN-Nanded City</t>
  </si>
  <si>
    <t xml:space="preserve">PUN-Pimple Gaurav</t>
  </si>
  <si>
    <t xml:space="preserve">PUN-Amanora</t>
  </si>
  <si>
    <t xml:space="preserve">PUN-Pashan SS</t>
  </si>
  <si>
    <t xml:space="preserve">PUN-NIBM ROAD</t>
  </si>
  <si>
    <t xml:space="preserve">PUN-Balewadi</t>
  </si>
  <si>
    <t xml:space="preserve">PUN-Kharadi Network-3</t>
  </si>
  <si>
    <t xml:space="preserve">PUN-HINJEWADI PHASE 3</t>
  </si>
  <si>
    <t xml:space="preserve">PUN-Laxmi Chowk SS</t>
  </si>
  <si>
    <t xml:space="preserve">PUN-PIMPLE SAUDAGAR</t>
  </si>
  <si>
    <t xml:space="preserve">PUN-Kharadi SS</t>
  </si>
  <si>
    <t xml:space="preserve">PUN-Kalyani Nagar</t>
  </si>
  <si>
    <t xml:space="preserve">PUN-Vadgaon Budrak</t>
  </si>
  <si>
    <t xml:space="preserve">PUN_KOREGAON PARK</t>
  </si>
  <si>
    <t xml:space="preserve">PUN-Bibewadi</t>
  </si>
  <si>
    <t xml:space="preserve">PUN-Rhythm County</t>
  </si>
  <si>
    <t xml:space="preserve">PUN-Katraj</t>
  </si>
  <si>
    <t xml:space="preserve">PUN-Lohegaon</t>
  </si>
  <si>
    <t xml:space="preserve">PUN-Pashan</t>
  </si>
  <si>
    <t xml:space="preserve">PUN-Bhugaon</t>
  </si>
  <si>
    <t xml:space="preserve">PUN-HINJEWADI PHASE-1 NEW</t>
  </si>
  <si>
    <t xml:space="preserve">PUN-Mhalunge Road</t>
  </si>
  <si>
    <t xml:space="preserve">PUN-Wadgaon Sheri</t>
  </si>
  <si>
    <t xml:space="preserve">PUN-Ambegaon</t>
  </si>
  <si>
    <t xml:space="preserve">PUN-Baner SS</t>
  </si>
  <si>
    <t xml:space="preserve">PUN-Tingre Nagar</t>
  </si>
  <si>
    <t xml:space="preserve">PUN-Atma Nagar SS</t>
  </si>
  <si>
    <t xml:space="preserve">PUN-Baner Network-2</t>
  </si>
  <si>
    <t xml:space="preserve">PUN-Ravet Network-2</t>
  </si>
  <si>
    <t xml:space="preserve">PUN-Laxmi Chowk</t>
  </si>
  <si>
    <t xml:space="preserve">PUN-SINHGAD</t>
  </si>
  <si>
    <t xml:space="preserve">PUN-Kate Colony</t>
  </si>
  <si>
    <t xml:space="preserve">PUN-Magarpatta SS</t>
  </si>
  <si>
    <t xml:space="preserve">PUN-Tingre Nagar SS</t>
  </si>
  <si>
    <t xml:space="preserve">PUN-Moshi</t>
  </si>
  <si>
    <t xml:space="preserve">PUN-Pimple Saudagar Network</t>
  </si>
  <si>
    <t xml:space="preserve">PUN-Pradhikaran</t>
  </si>
  <si>
    <t xml:space="preserve">PUN-Talegaon</t>
  </si>
  <si>
    <t xml:space="preserve">PUN-Atma Nagar</t>
  </si>
  <si>
    <t xml:space="preserve">PUN-Wagholi</t>
  </si>
  <si>
    <t xml:space="preserve">PUN-RAVET</t>
  </si>
  <si>
    <t xml:space="preserve">PUN-Bavdhan</t>
  </si>
  <si>
    <t xml:space="preserve">PUN-Bhekrai Nagar</t>
  </si>
  <si>
    <t xml:space="preserve">PUN-Mayur Coloney</t>
  </si>
  <si>
    <t xml:space="preserve">PUN-Thergaon</t>
  </si>
  <si>
    <t xml:space="preserve">PUN-Dighi</t>
  </si>
  <si>
    <t xml:space="preserve">PUN-Khadewadi</t>
  </si>
  <si>
    <t xml:space="preserve">PUN-Magarpatta New</t>
  </si>
  <si>
    <t xml:space="preserve">PUN-Ravet SS</t>
  </si>
  <si>
    <t xml:space="preserve">PUN-Pimple Saudagar Network-2</t>
  </si>
  <si>
    <t xml:space="preserve">PUN-Undri</t>
  </si>
  <si>
    <t xml:space="preserve">PUN-Handewadi</t>
  </si>
  <si>
    <t xml:space="preserve">PUN-Undri SS</t>
  </si>
  <si>
    <t xml:space="preserve">PUN-Fatima Nagar</t>
  </si>
  <si>
    <t xml:space="preserve">PUN-BANER</t>
  </si>
  <si>
    <t xml:space="preserve">PUN-Kothrud New</t>
  </si>
  <si>
    <t xml:space="preserve">PUN-Ambegaon SS</t>
  </si>
  <si>
    <t xml:space="preserve">PUN-Kharadi Network-2</t>
  </si>
  <si>
    <t xml:space="preserve">PUN-Gahunje</t>
  </si>
  <si>
    <t xml:space="preserve">PUN-KHARADI New</t>
  </si>
  <si>
    <t xml:space="preserve">PUN-LIG Colony</t>
  </si>
  <si>
    <t xml:space="preserve">Pun-Ravet Network</t>
  </si>
  <si>
    <t xml:space="preserve">PUN-WARJE</t>
  </si>
  <si>
    <t xml:space="preserve">PUN-Wagholi bazar</t>
  </si>
  <si>
    <t xml:space="preserve">RBR-Indira Nagar</t>
  </si>
  <si>
    <t xml:space="preserve">RPR-Tatibandh</t>
  </si>
  <si>
    <t xml:space="preserve">RAJ-Madhapur</t>
  </si>
  <si>
    <t xml:space="preserve">RAJ-Mavdi</t>
  </si>
  <si>
    <t xml:space="preserve">REW-Sector 4</t>
  </si>
  <si>
    <t xml:space="preserve">RTK-Suncity</t>
  </si>
  <si>
    <t xml:space="preserve">RKE-Ashok Nagar</t>
  </si>
  <si>
    <t xml:space="preserve">RKE-IIT Roorkee</t>
  </si>
  <si>
    <t xml:space="preserve">RDR-Rudra Chowk</t>
  </si>
  <si>
    <t xml:space="preserve">RPN-Dashmesh Nagar</t>
  </si>
  <si>
    <t xml:space="preserve">SPR-Sadar Thana</t>
  </si>
  <si>
    <t xml:space="preserve">SAS-Jubilee Junction</t>
  </si>
  <si>
    <t xml:space="preserve">SAS-Gillco Park SS</t>
  </si>
  <si>
    <t xml:space="preserve">SAS-Jubilee Junction SS</t>
  </si>
  <si>
    <t xml:space="preserve">SAS-Kharar</t>
  </si>
  <si>
    <t xml:space="preserve">SAS-New Chandigarh</t>
  </si>
  <si>
    <t xml:space="preserve">SAS-Sector 127</t>
  </si>
  <si>
    <t xml:space="preserve">SAS-Laknaur</t>
  </si>
  <si>
    <t xml:space="preserve">SAS-Peer Muchalla</t>
  </si>
  <si>
    <t xml:space="preserve">SAS-Friends Enclave SS</t>
  </si>
  <si>
    <t xml:space="preserve">SAS-Jal Vayu Vihar</t>
  </si>
  <si>
    <t xml:space="preserve">SAS-Zirakpur Apple Heights</t>
  </si>
  <si>
    <t xml:space="preserve">SAS-Sunny Enclave</t>
  </si>
  <si>
    <t xml:space="preserve">SAS-Khanpur</t>
  </si>
  <si>
    <t xml:space="preserve">SAS-Phase 8</t>
  </si>
  <si>
    <t xml:space="preserve">SAS-Friends Enclave</t>
  </si>
  <si>
    <t xml:space="preserve">SAS-Sector 109</t>
  </si>
  <si>
    <t xml:space="preserve">SAS-Gillco Park hills</t>
  </si>
  <si>
    <t xml:space="preserve">SAS-Shivalik City</t>
  </si>
  <si>
    <t xml:space="preserve">SAS-Gazipur</t>
  </si>
  <si>
    <t xml:space="preserve">SAS-Derabassi</t>
  </si>
  <si>
    <t xml:space="preserve">SAS-Saini Majra</t>
  </si>
  <si>
    <t xml:space="preserve">SON-Global city</t>
  </si>
  <si>
    <t xml:space="preserve">SON-Kundli</t>
  </si>
  <si>
    <t xml:space="preserve">SON-TDI City</t>
  </si>
  <si>
    <t xml:space="preserve">SON-Sector-23</t>
  </si>
  <si>
    <t xml:space="preserve">SUR-Bharthana</t>
  </si>
  <si>
    <t xml:space="preserve">SUR-Bhimrad</t>
  </si>
  <si>
    <t xml:space="preserve">SUR-Adajan</t>
  </si>
  <si>
    <t xml:space="preserve">SUR-Gopipura</t>
  </si>
  <si>
    <t xml:space="preserve">SUR-Sarthana</t>
  </si>
  <si>
    <t xml:space="preserve">SUR-Tadwadi</t>
  </si>
  <si>
    <t xml:space="preserve">SUR-Adajan SS</t>
  </si>
  <si>
    <t xml:space="preserve">SUR-Amroli</t>
  </si>
  <si>
    <t xml:space="preserve">SUR-Yamuna Nagar</t>
  </si>
  <si>
    <t xml:space="preserve">SUR-Majura Gate</t>
  </si>
  <si>
    <t xml:space="preserve">SUR-Yogi Chowk</t>
  </si>
  <si>
    <t xml:space="preserve">SUR-Dindoli</t>
  </si>
  <si>
    <t xml:space="preserve">SUR-Bardoli</t>
  </si>
  <si>
    <t xml:space="preserve">SUR-Jahangirpura</t>
  </si>
  <si>
    <t xml:space="preserve">SUR-Palanpur</t>
  </si>
  <si>
    <t xml:space="preserve">SUR-Kamrej</t>
  </si>
  <si>
    <t xml:space="preserve">SUR-Mota Varacha</t>
  </si>
  <si>
    <t xml:space="preserve">SUR-City Light</t>
  </si>
  <si>
    <t xml:space="preserve">SUR-Lunsikui</t>
  </si>
  <si>
    <t xml:space="preserve">UDR-Fatehpura</t>
  </si>
  <si>
    <t xml:space="preserve">UDR-Shobhagpura</t>
  </si>
  <si>
    <t xml:space="preserve">UDR-Hiran Magri</t>
  </si>
  <si>
    <t xml:space="preserve">UDR-Pooja Nagar</t>
  </si>
  <si>
    <t xml:space="preserve">VAD-Panchvati</t>
  </si>
  <si>
    <t xml:space="preserve">VAD-Alkapuri</t>
  </si>
  <si>
    <t xml:space="preserve">VAD-Karelibaug</t>
  </si>
  <si>
    <t xml:space="preserve">VAD-Gotri Road</t>
  </si>
  <si>
    <t xml:space="preserve">VAD-Vrajdham</t>
  </si>
  <si>
    <t xml:space="preserve">VAD-Tandalja</t>
  </si>
  <si>
    <t xml:space="preserve">VAD-Harni</t>
  </si>
  <si>
    <t xml:space="preserve">VAD-Ankhol</t>
  </si>
  <si>
    <t xml:space="preserve">VAD-Maneja</t>
  </si>
  <si>
    <t xml:space="preserve">VAD-Atladara</t>
  </si>
  <si>
    <t xml:space="preserve">VAD-Fatepura</t>
  </si>
  <si>
    <t xml:space="preserve">VLD-Abrama</t>
  </si>
  <si>
    <t xml:space="preserve">VNS-BHU</t>
  </si>
  <si>
    <t xml:space="preserve">VNS-Naibasti</t>
  </si>
  <si>
    <t xml:space="preserve">VNS-Nandan Nagar</t>
  </si>
  <si>
    <t xml:space="preserve">VNS-Sarnath</t>
  </si>
  <si>
    <t xml:space="preserve">VEL-VIT</t>
  </si>
  <si>
    <t xml:space="preserve">VEL-Thottapalayam</t>
  </si>
  <si>
    <t xml:space="preserve">VJW-Payakapuram</t>
  </si>
  <si>
    <t xml:space="preserve">VJW-Sri Ramchandra Nagar</t>
  </si>
  <si>
    <t xml:space="preserve">VJW-Durgapuram</t>
  </si>
  <si>
    <t xml:space="preserve">VJW-Sanath Nagar</t>
  </si>
  <si>
    <t xml:space="preserve">VJW-HB Colony</t>
  </si>
  <si>
    <t xml:space="preserve">VJW-Tadepalle New</t>
  </si>
  <si>
    <t xml:space="preserve">VTZ-Yendada</t>
  </si>
  <si>
    <t xml:space="preserve">WGC-Kareemabad</t>
  </si>
  <si>
    <t xml:space="preserve">WGC-Girmajipet</t>
  </si>
  <si>
    <t xml:space="preserve">WGC-Hanamkonda</t>
  </si>
  <si>
    <t xml:space="preserve">YMG-Model Town</t>
  </si>
  <si>
    <t xml:space="preserve">Inventory Review – Final Summary (Store / CLM / IM)</t>
  </si>
  <si>
    <t xml:space="preserve">All values pulled by formula from source tabs. Shrinkage = Total Inhouse (Shrinkage!P); CC MTD % (Inventory Hygiene!I); Bad Bins = Grand Total (Bad Bins!K); RSTO = Grand Total Qty (RSTO!H, original col F); Recirculation = Grand Total (K); PP = Total PP (E) &amp; Critical PP (L). "NA" = store not present in that tab.</t>
  </si>
  <si>
    <t xml:space="preserve">CLM Summary</t>
  </si>
  <si>
    <t xml:space="preserve">IM Summary</t>
  </si>
  <si>
    <t xml:space="preserve">Shrinkage Total Inhouse</t>
  </si>
  <si>
    <t xml:space="preserve">Inv Hygiene CC MTD %</t>
  </si>
  <si>
    <t xml:space="preserve">Bad Bins Grand Total</t>
  </si>
  <si>
    <t xml:space="preserve">RSTO &gt;48hrs Grand Total Qty</t>
  </si>
  <si>
    <t xml:space="preserve">Recirculation &gt;24hrs Grand Total</t>
  </si>
  <si>
    <t xml:space="preserve">Pending Putaway Total PP</t>
  </si>
  <si>
    <t xml:space="preserve">Stores</t>
  </si>
  <si>
    <t xml:space="preserve">GRAND TOTAL</t>
  </si>
  <si>
    <t xml:space="preserve">Not Mapped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</si>
</sst>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0%"/>
    <numFmt numFmtId="167" formatCode="0"/>
    <numFmt numFmtId="168" formatCode="\$#,##0.00"/>
    <numFmt numFmtId="169" formatCode="#,##0;[RED]\(#,##0\);\-"/>
  </numFmts>
  <fonts count="20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theme="1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sz val="9"/>
      <color theme="1"/>
      <name val="Calibri"/>
      <family val="0"/>
      <charset val="1"/>
    </font>
    <font>
      <sz val="11"/>
      <color rgb="FF000000"/>
      <name val="&quot;Aptos Narrow&quot;"/>
      <family val="0"/>
      <charset val="1"/>
    </font>
    <font>
      <b val="true"/>
      <sz val="9"/>
      <color theme="1"/>
      <name val="Arial"/>
      <family val="0"/>
      <charset val="1"/>
    </font>
    <font>
      <b val="true"/>
      <sz val="11"/>
      <color theme="1"/>
      <name val="Arial"/>
      <family val="0"/>
      <charset val="1"/>
    </font>
    <font>
      <sz val="11"/>
      <color theme="1"/>
      <name val="Aptos Narrow"/>
      <family val="0"/>
      <charset val="1"/>
    </font>
    <font>
      <sz val="11"/>
      <color theme="1"/>
      <name val="Arial"/>
      <family val="0"/>
      <charset val="1"/>
    </font>
    <font>
      <sz val="11"/>
      <color theme="1"/>
      <name val="Calibri"/>
      <family val="0"/>
      <charset val="1"/>
    </font>
    <font>
      <b val="true"/>
      <sz val="11"/>
      <color rgb="FF000000"/>
      <name val="&quot;Aptos Narrow&quot;"/>
      <family val="0"/>
      <charset val="1"/>
    </font>
    <font>
      <b val="true"/>
      <sz val="1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19">
    <fill>
      <patternFill patternType="none"/>
    </fill>
    <fill>
      <patternFill patternType="gray125"/>
    </fill>
    <fill>
      <patternFill patternType="solid">
        <fgColor rgb="FF9FC5E8"/>
        <bgColor rgb="FF95B3D7"/>
      </patternFill>
    </fill>
    <fill>
      <patternFill patternType="solid">
        <fgColor rgb="FFEAD1DC"/>
        <bgColor rgb="FFF4CCCC"/>
      </patternFill>
    </fill>
    <fill>
      <patternFill patternType="solid">
        <fgColor rgb="FFD9D2E9"/>
        <bgColor rgb="FFD9D9D9"/>
      </patternFill>
    </fill>
    <fill>
      <patternFill patternType="solid">
        <fgColor rgb="FF741B47"/>
        <bgColor rgb="FF800080"/>
      </patternFill>
    </fill>
    <fill>
      <patternFill patternType="solid">
        <fgColor rgb="FFC0E6F5"/>
        <bgColor rgb="FFD0E0E3"/>
      </patternFill>
    </fill>
    <fill>
      <patternFill patternType="solid">
        <fgColor rgb="FFF4CCCC"/>
        <bgColor rgb="FFEAD1DC"/>
      </patternFill>
    </fill>
    <fill>
      <patternFill patternType="solid">
        <fgColor rgb="FFD0E0E3"/>
        <bgColor rgb="FFD9E1F2"/>
      </patternFill>
    </fill>
    <fill>
      <patternFill patternType="solid">
        <fgColor rgb="FFFFFFFF"/>
        <bgColor rgb="FFFFF2CC"/>
      </patternFill>
    </fill>
    <fill>
      <patternFill patternType="solid">
        <fgColor rgb="FFD9D9D9"/>
        <bgColor rgb="FFD9D2E9"/>
      </patternFill>
    </fill>
    <fill>
      <patternFill patternType="solid">
        <fgColor rgb="FFF6B26B"/>
        <bgColor rgb="FFF9CB9C"/>
      </patternFill>
    </fill>
    <fill>
      <patternFill patternType="solid">
        <fgColor rgb="FFB6D7A8"/>
        <bgColor rgb="FFBFBFBF"/>
      </patternFill>
    </fill>
    <fill>
      <patternFill patternType="solid">
        <fgColor rgb="FFFFF2CC"/>
        <bgColor rgb="FFFFFFFF"/>
      </patternFill>
    </fill>
    <fill>
      <patternFill patternType="solid">
        <fgColor rgb="FFF9CB9C"/>
        <bgColor rgb="FFF4CCCC"/>
      </patternFill>
    </fill>
    <fill>
      <patternFill patternType="solid">
        <fgColor rgb="FF93C47D"/>
        <bgColor rgb="FFB6D7A8"/>
      </patternFill>
    </fill>
    <fill>
      <patternFill patternType="solid">
        <fgColor rgb="FFE06666"/>
        <bgColor rgb="FFFF6600"/>
      </patternFill>
    </fill>
    <fill>
      <patternFill patternType="solid">
        <fgColor rgb="FF1F4E78"/>
        <bgColor rgb="FF003366"/>
      </patternFill>
    </fill>
    <fill>
      <patternFill patternType="solid">
        <fgColor rgb="FFD9E1F2"/>
        <bgColor rgb="FFD0E0E3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 style="thin">
        <color rgb="FF95B3D7"/>
      </bottom>
      <diagonal/>
    </border>
    <border diagonalUp="false" diagonalDown="false">
      <left/>
      <right/>
      <top/>
      <bottom style="thin">
        <color rgb="FF44B3E1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4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6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6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6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6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3" fillId="6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7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8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9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9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7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1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9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11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12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13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14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1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15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16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9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17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8" fillId="18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8" fillId="18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9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9" fillId="0" borderId="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9" fillId="0" borderId="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9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43">
    <dxf>
      <fill>
        <patternFill patternType="solid">
          <fgColor rgb="FF9FC5E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63BE7B"/>
          <bgColor rgb="FF000000"/>
        </patternFill>
      </fill>
    </dxf>
    <dxf>
      <fill>
        <patternFill patternType="solid">
          <fgColor rgb="FF68C180"/>
          <bgColor rgb="FF000000"/>
        </patternFill>
      </fill>
    </dxf>
    <dxf>
      <fill>
        <patternFill patternType="solid">
          <fgColor rgb="FFA0D8AE"/>
          <bgColor rgb="FF000000"/>
        </patternFill>
      </fill>
    </dxf>
    <dxf>
      <fill>
        <patternFill patternType="solid">
          <fgColor rgb="FFA5DAB3"/>
          <bgColor rgb="FF000000"/>
        </patternFill>
      </fill>
    </dxf>
    <dxf>
      <fill>
        <patternFill patternType="solid">
          <fgColor rgb="FFA8DBB6"/>
          <bgColor rgb="FF000000"/>
        </patternFill>
      </fill>
    </dxf>
    <dxf>
      <fill>
        <patternFill patternType="solid">
          <fgColor rgb="FFAFDEBB"/>
          <bgColor rgb="FF000000"/>
        </patternFill>
      </fill>
    </dxf>
    <dxf>
      <fill>
        <patternFill patternType="solid">
          <fgColor rgb="FFB5E0C0"/>
          <bgColor rgb="FF000000"/>
        </patternFill>
      </fill>
    </dxf>
    <dxf>
      <fill>
        <patternFill patternType="solid">
          <fgColor rgb="FFB6E1C1"/>
          <bgColor rgb="FF000000"/>
        </patternFill>
      </fill>
    </dxf>
    <dxf>
      <fill>
        <patternFill patternType="solid">
          <fgColor rgb="FFBCE3C6"/>
          <bgColor rgb="FF000000"/>
        </patternFill>
      </fill>
    </dxf>
    <dxf>
      <fill>
        <patternFill patternType="solid">
          <fgColor rgb="FFBEE4C8"/>
          <bgColor rgb="FF000000"/>
        </patternFill>
      </fill>
    </dxf>
    <dxf>
      <fill>
        <patternFill patternType="solid">
          <fgColor rgb="FFBFE5C9"/>
          <bgColor rgb="FF000000"/>
        </patternFill>
      </fill>
    </dxf>
    <dxf>
      <fill>
        <patternFill patternType="solid">
          <fgColor rgb="FFC0E5CA"/>
          <bgColor rgb="FF000000"/>
        </patternFill>
      </fill>
    </dxf>
    <dxf>
      <fill>
        <patternFill patternType="solid">
          <fgColor rgb="FFC1E5CA"/>
          <bgColor rgb="FF000000"/>
        </patternFill>
      </fill>
    </dxf>
    <dxf>
      <fill>
        <patternFill patternType="solid">
          <fgColor rgb="FFC3E6CC"/>
          <bgColor rgb="FF000000"/>
        </patternFill>
      </fill>
    </dxf>
    <dxf>
      <fill>
        <patternFill patternType="solid">
          <fgColor rgb="FFC3E6CD"/>
          <bgColor rgb="FF000000"/>
        </patternFill>
      </fill>
    </dxf>
    <dxf>
      <fill>
        <patternFill patternType="solid">
          <fgColor rgb="FFC5E7CE"/>
          <bgColor rgb="FF000000"/>
        </patternFill>
      </fill>
    </dxf>
    <dxf>
      <fill>
        <patternFill patternType="solid">
          <fgColor rgb="FFC9E9D2"/>
          <bgColor rgb="FF000000"/>
        </patternFill>
      </fill>
    </dxf>
    <dxf>
      <fill>
        <patternFill patternType="solid">
          <fgColor rgb="FFCAE9D2"/>
          <bgColor rgb="FF000000"/>
        </patternFill>
      </fill>
    </dxf>
    <dxf>
      <fill>
        <patternFill patternType="solid">
          <fgColor rgb="FFCCEAD4"/>
          <bgColor rgb="FF000000"/>
        </patternFill>
      </fill>
    </dxf>
    <dxf>
      <fill>
        <patternFill patternType="solid">
          <fgColor rgb="FFCDEAD5"/>
          <bgColor rgb="FF000000"/>
        </patternFill>
      </fill>
    </dxf>
    <dxf>
      <fill>
        <patternFill patternType="solid">
          <fgColor rgb="FFCFEBD6"/>
          <bgColor rgb="FF000000"/>
        </patternFill>
      </fill>
    </dxf>
    <dxf>
      <fill>
        <patternFill patternType="solid">
          <fgColor rgb="FFD0ECD7"/>
          <bgColor rgb="FF000000"/>
        </patternFill>
      </fill>
    </dxf>
    <dxf>
      <fill>
        <patternFill patternType="solid">
          <fgColor rgb="FFD1ECD8"/>
          <bgColor rgb="FF000000"/>
        </patternFill>
      </fill>
    </dxf>
    <dxf>
      <fill>
        <patternFill patternType="solid">
          <fgColor rgb="FFD3EDDA"/>
          <bgColor rgb="FF000000"/>
        </patternFill>
      </fill>
    </dxf>
    <dxf>
      <fill>
        <patternFill patternType="solid">
          <fgColor rgb="FFD5EEDB"/>
          <bgColor rgb="FF000000"/>
        </patternFill>
      </fill>
    </dxf>
    <dxf>
      <fill>
        <patternFill patternType="solid">
          <fgColor rgb="FFD5EEDC"/>
          <bgColor rgb="FF000000"/>
        </patternFill>
      </fill>
    </dxf>
    <dxf>
      <fill>
        <patternFill patternType="solid">
          <fgColor rgb="FFD6EEDC"/>
          <bgColor rgb="FF000000"/>
        </patternFill>
      </fill>
    </dxf>
    <dxf>
      <fill>
        <patternFill patternType="solid">
          <fgColor rgb="FFD6EEDD"/>
          <bgColor rgb="FF000000"/>
        </patternFill>
      </fill>
    </dxf>
    <dxf>
      <fill>
        <patternFill patternType="solid">
          <fgColor rgb="FFD8EFDE"/>
          <bgColor rgb="FF000000"/>
        </patternFill>
      </fill>
    </dxf>
    <dxf>
      <fill>
        <patternFill patternType="solid">
          <fgColor rgb="FFDBF0E1"/>
          <bgColor rgb="FF000000"/>
        </patternFill>
      </fill>
    </dxf>
    <dxf>
      <fill>
        <patternFill patternType="solid">
          <fgColor rgb="FFDCF1E1"/>
          <bgColor rgb="FF000000"/>
        </patternFill>
      </fill>
    </dxf>
    <dxf>
      <fill>
        <patternFill patternType="solid">
          <fgColor rgb="FFDDF1E2"/>
          <bgColor rgb="FF000000"/>
        </patternFill>
      </fill>
    </dxf>
    <dxf>
      <fill>
        <patternFill patternType="solid">
          <fgColor rgb="FFDEF2E3"/>
          <bgColor rgb="FF000000"/>
        </patternFill>
      </fill>
    </dxf>
    <dxf>
      <fill>
        <patternFill patternType="solid">
          <fgColor rgb="FFDFF2E4"/>
          <bgColor rgb="FF000000"/>
        </patternFill>
      </fill>
    </dxf>
    <dxf>
      <fill>
        <patternFill patternType="solid">
          <fgColor rgb="FFE0F3E5"/>
          <bgColor rgb="FF000000"/>
        </patternFill>
      </fill>
    </dxf>
    <dxf>
      <fill>
        <patternFill patternType="solid">
          <fgColor rgb="FFE1F3E6"/>
          <bgColor rgb="FF000000"/>
        </patternFill>
      </fill>
    </dxf>
    <dxf>
      <fill>
        <patternFill patternType="solid">
          <fgColor rgb="FFE4F4E8"/>
          <bgColor rgb="FF000000"/>
        </patternFill>
      </fill>
    </dxf>
    <dxf>
      <fill>
        <patternFill patternType="solid">
          <fgColor rgb="FFE5F4E9"/>
          <bgColor rgb="FF000000"/>
        </patternFill>
      </fill>
    </dxf>
    <dxf>
      <fill>
        <patternFill patternType="solid">
          <fgColor rgb="FFE6F5EA"/>
          <bgColor rgb="FF000000"/>
        </patternFill>
      </fill>
    </dxf>
    <dxf>
      <fill>
        <patternFill patternType="solid">
          <fgColor rgb="FFE9F6ED"/>
          <bgColor rgb="FF000000"/>
        </patternFill>
      </fill>
    </dxf>
    <dxf>
      <fill>
        <patternFill patternType="solid">
          <fgColor rgb="FFEAD1DC"/>
          <bgColor rgb="FF000000"/>
        </patternFill>
      </fill>
    </dxf>
    <dxf>
      <fill>
        <patternFill patternType="solid">
          <fgColor rgb="FFEBF7EE"/>
          <bgColor rgb="FF000000"/>
        </patternFill>
      </fill>
    </dxf>
    <dxf>
      <fill>
        <patternFill patternType="solid">
          <fgColor rgb="FFEDF8F0"/>
          <bgColor rgb="FF000000"/>
        </patternFill>
      </fill>
    </dxf>
    <dxf>
      <fill>
        <patternFill patternType="solid">
          <fgColor rgb="FFEEF8F1"/>
          <bgColor rgb="FF000000"/>
        </patternFill>
      </fill>
    </dxf>
    <dxf>
      <fill>
        <patternFill patternType="solid">
          <fgColor rgb="FFEFF9F1"/>
          <bgColor rgb="FF000000"/>
        </patternFill>
      </fill>
    </dxf>
    <dxf>
      <fill>
        <patternFill patternType="solid">
          <fgColor rgb="FFEFF9F2"/>
          <bgColor rgb="FF000000"/>
        </patternFill>
      </fill>
    </dxf>
    <dxf>
      <fill>
        <patternFill patternType="solid">
          <fgColor rgb="FFF0F9F2"/>
          <bgColor rgb="FF000000"/>
        </patternFill>
      </fill>
    </dxf>
    <dxf>
      <fill>
        <patternFill patternType="solid">
          <fgColor rgb="FFF1F9F3"/>
          <bgColor rgb="FF000000"/>
        </patternFill>
      </fill>
    </dxf>
    <dxf>
      <fill>
        <patternFill patternType="solid">
          <fgColor rgb="FFF2FAF4"/>
          <bgColor rgb="FF000000"/>
        </patternFill>
      </fill>
    </dxf>
    <dxf>
      <fill>
        <patternFill patternType="solid">
          <fgColor rgb="FFF3FAF5"/>
          <bgColor rgb="FF000000"/>
        </patternFill>
      </fill>
    </dxf>
    <dxf>
      <fill>
        <patternFill patternType="solid">
          <fgColor rgb="FFF4FBF6"/>
          <bgColor rgb="FF000000"/>
        </patternFill>
      </fill>
    </dxf>
    <dxf>
      <fill>
        <patternFill patternType="solid">
          <fgColor rgb="FFF5FBF7"/>
          <bgColor rgb="FF000000"/>
        </patternFill>
      </fill>
    </dxf>
    <dxf>
      <fill>
        <patternFill patternType="solid">
          <fgColor rgb="FFF6FBF7"/>
          <bgColor rgb="FF000000"/>
        </patternFill>
      </fill>
    </dxf>
    <dxf>
      <fill>
        <patternFill patternType="solid">
          <fgColor rgb="FFF6FCF8"/>
          <bgColor rgb="FF000000"/>
        </patternFill>
      </fill>
    </dxf>
    <dxf>
      <fill>
        <patternFill patternType="solid">
          <fgColor rgb="FFF7FCF8"/>
          <bgColor rgb="FF000000"/>
        </patternFill>
      </fill>
    </dxf>
    <dxf>
      <fill>
        <patternFill patternType="solid">
          <fgColor rgb="FFF7FCF9"/>
          <bgColor rgb="FF000000"/>
        </patternFill>
      </fill>
    </dxf>
    <dxf>
      <fill>
        <patternFill patternType="solid">
          <fgColor rgb="FFF8696B"/>
          <bgColor rgb="FF000000"/>
        </patternFill>
      </fill>
    </dxf>
    <dxf>
      <fill>
        <patternFill patternType="solid">
          <fgColor rgb="FFF8FCF9"/>
          <bgColor rgb="FF000000"/>
        </patternFill>
      </fill>
    </dxf>
    <dxf>
      <fill>
        <patternFill patternType="solid">
          <fgColor rgb="FFF9FDFA"/>
          <bgColor rgb="FF000000"/>
        </patternFill>
      </fill>
    </dxf>
    <dxf>
      <fill>
        <patternFill patternType="solid">
          <fgColor rgb="FFFBFDFB"/>
          <bgColor rgb="FF000000"/>
        </patternFill>
      </fill>
    </dxf>
    <dxf>
      <fill>
        <patternFill patternType="solid">
          <fgColor rgb="FFFCCDCE"/>
          <bgColor rgb="FF000000"/>
        </patternFill>
      </fill>
    </dxf>
    <dxf>
      <fill>
        <patternFill patternType="solid">
          <fgColor rgb="FFFCFEFC"/>
          <bgColor rgb="FF000000"/>
        </patternFill>
      </fill>
    </dxf>
    <dxf>
      <fill>
        <patternFill patternType="solid">
          <fgColor rgb="FFFCFEFD"/>
          <bgColor rgb="FF000000"/>
        </patternFill>
      </fill>
    </dxf>
    <dxf>
      <fill>
        <patternFill patternType="solid">
          <fgColor rgb="FFFDE0E0"/>
          <bgColor rgb="FF000000"/>
        </patternFill>
      </fill>
    </dxf>
    <dxf>
      <fill>
        <patternFill patternType="solid">
          <fgColor rgb="FFFDE1E2"/>
          <bgColor rgb="FF000000"/>
        </patternFill>
      </fill>
    </dxf>
    <dxf>
      <fill>
        <patternFill patternType="solid">
          <fgColor rgb="FFFDE3E3"/>
          <bgColor rgb="FF000000"/>
        </patternFill>
      </fill>
    </dxf>
    <dxf>
      <fill>
        <patternFill patternType="solid">
          <fgColor rgb="FFFDE4E5"/>
          <bgColor rgb="FF000000"/>
        </patternFill>
      </fill>
    </dxf>
    <dxf>
      <fill>
        <patternFill patternType="solid">
          <fgColor rgb="FFFDE7E7"/>
          <bgColor rgb="FF000000"/>
        </patternFill>
      </fill>
    </dxf>
    <dxf>
      <fill>
        <patternFill patternType="solid">
          <fgColor rgb="FFFDE8E8"/>
          <bgColor rgb="FF000000"/>
        </patternFill>
      </fill>
    </dxf>
    <dxf>
      <fill>
        <patternFill patternType="solid">
          <fgColor rgb="FFFDFEFD"/>
          <bgColor rgb="FF000000"/>
        </patternFill>
      </fill>
    </dxf>
    <dxf>
      <fill>
        <patternFill patternType="solid">
          <fgColor rgb="FFFDFFFE"/>
          <bgColor rgb="FF000000"/>
        </patternFill>
      </fill>
    </dxf>
    <dxf>
      <fill>
        <patternFill patternType="solid">
          <fgColor rgb="FFFEEAEA"/>
          <bgColor rgb="FF000000"/>
        </patternFill>
      </fill>
    </dxf>
    <dxf>
      <fill>
        <patternFill patternType="solid">
          <fgColor rgb="FFFEECEC"/>
          <bgColor rgb="FF000000"/>
        </patternFill>
      </fill>
    </dxf>
    <dxf>
      <fill>
        <patternFill patternType="solid">
          <fgColor rgb="FFFEEDED"/>
          <bgColor rgb="FF000000"/>
        </patternFill>
      </fill>
    </dxf>
    <dxf>
      <fill>
        <patternFill patternType="solid">
          <fgColor rgb="FFFEEDEE"/>
          <bgColor rgb="FF000000"/>
        </patternFill>
      </fill>
    </dxf>
    <dxf>
      <fill>
        <patternFill patternType="solid">
          <fgColor rgb="FFFEEEEE"/>
          <bgColor rgb="FF000000"/>
        </patternFill>
      </fill>
    </dxf>
    <dxf>
      <fill>
        <patternFill patternType="solid">
          <fgColor rgb="FFFEEFEF"/>
          <bgColor rgb="FF000000"/>
        </patternFill>
      </fill>
    </dxf>
    <dxf>
      <fill>
        <patternFill patternType="solid">
          <fgColor rgb="FFFEF0F0"/>
          <bgColor rgb="FF000000"/>
        </patternFill>
      </fill>
    </dxf>
    <dxf>
      <fill>
        <patternFill patternType="solid">
          <fgColor rgb="FFFEF0F1"/>
          <bgColor rgb="FF000000"/>
        </patternFill>
      </fill>
    </dxf>
    <dxf>
      <fill>
        <patternFill patternType="solid">
          <fgColor rgb="FFFEF1F1"/>
          <bgColor rgb="FF000000"/>
        </patternFill>
      </fill>
    </dxf>
    <dxf>
      <fill>
        <patternFill patternType="solid">
          <fgColor rgb="FFFEF2F2"/>
          <bgColor rgb="FF000000"/>
        </patternFill>
      </fill>
    </dxf>
    <dxf>
      <fill>
        <patternFill patternType="solid">
          <fgColor rgb="FFFEF2F3"/>
          <bgColor rgb="FF000000"/>
        </patternFill>
      </fill>
    </dxf>
    <dxf>
      <fill>
        <patternFill patternType="solid">
          <fgColor rgb="FFFEF3F3"/>
          <bgColor rgb="FF000000"/>
        </patternFill>
      </fill>
    </dxf>
    <dxf>
      <fill>
        <patternFill patternType="solid">
          <fgColor rgb="FFFEF3F4"/>
          <bgColor rgb="FF000000"/>
        </patternFill>
      </fill>
    </dxf>
    <dxf>
      <fill>
        <patternFill patternType="solid">
          <fgColor rgb="FFFEF4F4"/>
          <bgColor rgb="FF000000"/>
        </patternFill>
      </fill>
    </dxf>
    <dxf>
      <fill>
        <patternFill patternType="solid">
          <fgColor rgb="FFFEF5F5"/>
          <bgColor rgb="FF000000"/>
        </patternFill>
      </fill>
    </dxf>
    <dxf>
      <fill>
        <patternFill patternType="solid">
          <fgColor rgb="FFFEF5F6"/>
          <bgColor rgb="FF000000"/>
        </patternFill>
      </fill>
    </dxf>
    <dxf>
      <fill>
        <patternFill patternType="solid">
          <fgColor rgb="FFFEF6F6"/>
          <bgColor rgb="FF000000"/>
        </patternFill>
      </fill>
    </dxf>
    <dxf>
      <fill>
        <patternFill patternType="solid">
          <fgColor rgb="FFFEF6F7"/>
          <bgColor rgb="FF000000"/>
        </patternFill>
      </fill>
    </dxf>
    <dxf>
      <fill>
        <patternFill patternType="solid">
          <fgColor rgb="FFFEF7F7"/>
          <bgColor rgb="FF000000"/>
        </patternFill>
      </fill>
    </dxf>
    <dxf>
      <fill>
        <patternFill patternType="solid">
          <fgColor rgb="FFFEF7F8"/>
          <bgColor rgb="FF000000"/>
        </patternFill>
      </fill>
    </dxf>
    <dxf>
      <fill>
        <patternFill patternType="solid">
          <fgColor rgb="FFFEF8F8"/>
          <bgColor rgb="FF000000"/>
        </patternFill>
      </fill>
    </dxf>
    <dxf>
      <fill>
        <patternFill patternType="solid">
          <fgColor rgb="FFFEF9F9"/>
          <bgColor rgb="FF000000"/>
        </patternFill>
      </fill>
    </dxf>
    <dxf>
      <fill>
        <patternFill patternType="solid">
          <fgColor rgb="FFFEFAFA"/>
          <bgColor rgb="FF000000"/>
        </patternFill>
      </fill>
    </dxf>
    <dxf>
      <fill>
        <patternFill patternType="solid">
          <fgColor rgb="FFFEFBFB"/>
          <bgColor rgb="FF000000"/>
        </patternFill>
      </fill>
    </dxf>
    <dxf>
      <fill>
        <patternFill patternType="solid">
          <fgColor rgb="FFFEFBFC"/>
          <bgColor rgb="FF000000"/>
        </patternFill>
      </fill>
    </dxf>
    <dxf>
      <fill>
        <patternFill patternType="solid">
          <fgColor rgb="FFFEFCFC"/>
          <bgColor rgb="FF000000"/>
        </patternFill>
      </fill>
    </dxf>
    <dxf>
      <fill>
        <patternFill patternType="solid">
          <fgColor rgb="FFFEFDFD"/>
          <bgColor rgb="FF000000"/>
        </patternFill>
      </fill>
    </dxf>
    <dxf>
      <fill>
        <patternFill patternType="solid">
          <fgColor rgb="FFFEFEFE"/>
          <bgColor rgb="FF000000"/>
        </patternFill>
      </fill>
    </dxf>
    <dxf>
      <fill>
        <patternFill patternType="solid">
          <fgColor rgb="FFFEFFFE"/>
          <bgColor rgb="FF000000"/>
        </patternFill>
      </fill>
    </dxf>
    <dxf>
      <fill>
        <patternFill patternType="solid">
          <fgColor rgb="FFFEFF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9AD5A9"/>
          <bgColor rgb="FF000000"/>
        </patternFill>
      </fill>
    </dxf>
    <dxf>
      <fill>
        <patternFill patternType="solid">
          <fgColor rgb="FFA7DAB4"/>
          <bgColor rgb="FF000000"/>
        </patternFill>
      </fill>
    </dxf>
    <dxf>
      <fill>
        <patternFill patternType="solid">
          <fgColor rgb="FFADDDBA"/>
          <bgColor rgb="FF000000"/>
        </patternFill>
      </fill>
    </dxf>
    <dxf>
      <fill>
        <patternFill patternType="solid">
          <fgColor rgb="FFC6E7CF"/>
          <bgColor rgb="FF000000"/>
        </patternFill>
      </fill>
    </dxf>
    <dxf>
      <fill>
        <patternFill patternType="solid">
          <fgColor rgb="FFCAE9D3"/>
          <bgColor rgb="FF000000"/>
        </patternFill>
      </fill>
    </dxf>
    <dxf>
      <fill>
        <patternFill patternType="solid">
          <fgColor rgb="FFCBEAD3"/>
          <bgColor rgb="FF000000"/>
        </patternFill>
      </fill>
    </dxf>
    <dxf>
      <fill>
        <patternFill patternType="solid">
          <fgColor rgb="FFD2ECD9"/>
          <bgColor rgb="FF000000"/>
        </patternFill>
      </fill>
    </dxf>
    <dxf>
      <fill>
        <patternFill patternType="solid">
          <fgColor rgb="FFD4EEDB"/>
          <bgColor rgb="FF000000"/>
        </patternFill>
      </fill>
    </dxf>
    <dxf>
      <fill>
        <patternFill patternType="solid">
          <fgColor rgb="FFD7EFDE"/>
          <bgColor rgb="FF000000"/>
        </patternFill>
      </fill>
    </dxf>
    <dxf>
      <fill>
        <patternFill patternType="solid">
          <fgColor rgb="FFD9EFDF"/>
          <bgColor rgb="FF000000"/>
        </patternFill>
      </fill>
    </dxf>
    <dxf>
      <fill>
        <patternFill patternType="solid">
          <fgColor rgb="FFD9F0DF"/>
          <bgColor rgb="FF000000"/>
        </patternFill>
      </fill>
    </dxf>
    <dxf>
      <fill>
        <patternFill patternType="solid">
          <fgColor rgb="FFDAF0E0"/>
          <bgColor rgb="FF000000"/>
        </patternFill>
      </fill>
    </dxf>
    <dxf>
      <fill>
        <patternFill patternType="solid">
          <fgColor rgb="FFDBF0E0"/>
          <bgColor rgb="FF000000"/>
        </patternFill>
      </fill>
    </dxf>
    <dxf>
      <fill>
        <patternFill patternType="solid">
          <fgColor rgb="FFDCF1E2"/>
          <bgColor rgb="FF000000"/>
        </patternFill>
      </fill>
    </dxf>
    <dxf>
      <fill>
        <patternFill patternType="solid">
          <fgColor rgb="FFE0F2E4"/>
          <bgColor rgb="FF000000"/>
        </patternFill>
      </fill>
    </dxf>
    <dxf>
      <fill>
        <patternFill patternType="solid">
          <fgColor rgb="FFE0F2E5"/>
          <bgColor rgb="FF000000"/>
        </patternFill>
      </fill>
    </dxf>
    <dxf>
      <fill>
        <patternFill patternType="solid">
          <fgColor rgb="FFE3F4E7"/>
          <bgColor rgb="FF000000"/>
        </patternFill>
      </fill>
    </dxf>
    <dxf>
      <fill>
        <patternFill patternType="solid">
          <fgColor rgb="FFE5F5E9"/>
          <bgColor rgb="FF000000"/>
        </patternFill>
      </fill>
    </dxf>
    <dxf>
      <fill>
        <patternFill patternType="solid">
          <fgColor rgb="FFE7F5EB"/>
          <bgColor rgb="FF000000"/>
        </patternFill>
      </fill>
    </dxf>
    <dxf>
      <fill>
        <patternFill patternType="solid">
          <fgColor rgb="FFE8F6EC"/>
          <bgColor rgb="FF000000"/>
        </patternFill>
      </fill>
    </dxf>
    <dxf>
      <fill>
        <patternFill patternType="solid">
          <fgColor rgb="FFE9F6EC"/>
          <bgColor rgb="FF000000"/>
        </patternFill>
      </fill>
    </dxf>
    <dxf>
      <fill>
        <patternFill patternType="solid">
          <fgColor rgb="FFEAF6ED"/>
          <bgColor rgb="FF000000"/>
        </patternFill>
      </fill>
    </dxf>
    <dxf>
      <fill>
        <patternFill patternType="solid">
          <fgColor rgb="FFEAF7ED"/>
          <bgColor rgb="FF000000"/>
        </patternFill>
      </fill>
    </dxf>
    <dxf>
      <fill>
        <patternFill patternType="solid">
          <fgColor rgb="FFEBF7EF"/>
          <bgColor rgb="FF000000"/>
        </patternFill>
      </fill>
    </dxf>
    <dxf>
      <fill>
        <patternFill patternType="solid">
          <fgColor rgb="FFECF7EF"/>
          <bgColor rgb="FF000000"/>
        </patternFill>
      </fill>
    </dxf>
    <dxf>
      <fill>
        <patternFill patternType="solid">
          <fgColor rgb="FFECF8EF"/>
          <bgColor rgb="FF000000"/>
        </patternFill>
      </fill>
    </dxf>
    <dxf>
      <fill>
        <patternFill patternType="solid">
          <fgColor rgb="FFEDF8EF"/>
          <bgColor rgb="FF000000"/>
        </patternFill>
      </fill>
    </dxf>
    <dxf>
      <fill>
        <patternFill patternType="solid">
          <fgColor rgb="FFEFF8F1"/>
          <bgColor rgb="FF000000"/>
        </patternFill>
      </fill>
    </dxf>
    <dxf>
      <fill>
        <patternFill patternType="solid">
          <fgColor rgb="FFF0F9F3"/>
          <bgColor rgb="FF000000"/>
        </patternFill>
      </fill>
    </dxf>
    <dxf>
      <fill>
        <patternFill patternType="solid">
          <fgColor rgb="FFF4FBF5"/>
          <bgColor rgb="FF000000"/>
        </patternFill>
      </fill>
    </dxf>
    <dxf>
      <fill>
        <patternFill patternType="solid">
          <fgColor rgb="FFF5FBF6"/>
          <bgColor rgb="FF000000"/>
        </patternFill>
      </fill>
    </dxf>
    <dxf>
      <fill>
        <patternFill patternType="solid">
          <fgColor rgb="FFF6FCF7"/>
          <bgColor rgb="FF000000"/>
        </patternFill>
      </fill>
    </dxf>
    <dxf>
      <fill>
        <patternFill patternType="solid">
          <fgColor rgb="FFF8FDF9"/>
          <bgColor rgb="FF000000"/>
        </patternFill>
      </fill>
    </dxf>
    <dxf>
      <fill>
        <patternFill patternType="solid">
          <fgColor rgb="FFFAFDFB"/>
          <bgColor rgb="FF000000"/>
        </patternFill>
      </fill>
    </dxf>
    <dxf>
      <fill>
        <patternFill patternType="solid">
          <fgColor rgb="FFFBFEFC"/>
          <bgColor rgb="FF000000"/>
        </patternFill>
      </fill>
    </dxf>
    <dxf>
      <fill>
        <patternFill patternType="solid">
          <fgColor rgb="FFFDFFFD"/>
          <bgColor rgb="FF000000"/>
        </patternFill>
      </fill>
    </dxf>
    <dxf>
      <fill>
        <patternFill patternType="solid">
          <fgColor rgb="FF79C78D"/>
          <bgColor rgb="FF000000"/>
        </patternFill>
      </fill>
    </dxf>
    <dxf>
      <fill>
        <patternFill patternType="solid">
          <fgColor rgb="FF82CB96"/>
          <bgColor rgb="FF000000"/>
        </patternFill>
      </fill>
    </dxf>
    <dxf>
      <fill>
        <patternFill patternType="solid">
          <fgColor rgb="FF8CCF9E"/>
          <bgColor rgb="FF000000"/>
        </patternFill>
      </fill>
    </dxf>
    <dxf>
      <fill>
        <patternFill patternType="solid">
          <fgColor rgb="FF9CD6AC"/>
          <bgColor rgb="FF000000"/>
        </patternFill>
      </fill>
    </dxf>
    <dxf>
      <fill>
        <patternFill patternType="solid">
          <fgColor rgb="FFA0D8AF"/>
          <bgColor rgb="FF000000"/>
        </patternFill>
      </fill>
    </dxf>
    <dxf>
      <fill>
        <patternFill patternType="solid">
          <fgColor rgb="FFA4D9B2"/>
          <bgColor rgb="FF000000"/>
        </patternFill>
      </fill>
    </dxf>
    <dxf>
      <fill>
        <patternFill patternType="solid">
          <fgColor rgb="FFA6DAB4"/>
          <bgColor rgb="FF000000"/>
        </patternFill>
      </fill>
    </dxf>
    <dxf>
      <fill>
        <patternFill patternType="solid">
          <fgColor rgb="FFAADCB8"/>
          <bgColor rgb="FF000000"/>
        </patternFill>
      </fill>
    </dxf>
    <dxf>
      <fill>
        <patternFill patternType="solid">
          <fgColor rgb="FFB9E2C4"/>
          <bgColor rgb="FF000000"/>
        </patternFill>
      </fill>
    </dxf>
    <dxf>
      <fill>
        <patternFill patternType="solid">
          <fgColor rgb="FFBAE3C5"/>
          <bgColor rgb="FF000000"/>
        </patternFill>
      </fill>
    </dxf>
    <dxf>
      <fill>
        <patternFill patternType="solid">
          <fgColor rgb="FFCDEBD5"/>
          <bgColor rgb="FF000000"/>
        </patternFill>
      </fill>
    </dxf>
    <dxf>
      <fill>
        <patternFill patternType="solid">
          <fgColor rgb="FFD7EFDD"/>
          <bgColor rgb="FF000000"/>
        </patternFill>
      </fill>
    </dxf>
    <dxf>
      <fill>
        <patternFill patternType="solid">
          <fgColor rgb="FFDEF1E3"/>
          <bgColor rgb="FF000000"/>
        </patternFill>
      </fill>
    </dxf>
    <dxf>
      <fill>
        <patternFill patternType="solid">
          <fgColor rgb="FFE3F3E7"/>
          <bgColor rgb="FF000000"/>
        </patternFill>
      </fill>
    </dxf>
    <dxf>
      <fill>
        <patternFill patternType="solid">
          <fgColor rgb="FFF1FAF3"/>
          <bgColor rgb="FF000000"/>
        </patternFill>
      </fill>
    </dxf>
    <dxf>
      <fill>
        <patternFill patternType="solid">
          <fgColor rgb="FF7CC990"/>
          <bgColor rgb="FF000000"/>
        </patternFill>
      </fill>
    </dxf>
    <dxf>
      <fill>
        <patternFill patternType="solid">
          <fgColor rgb="FF74C589"/>
          <bgColor rgb="FF000000"/>
        </patternFill>
      </fill>
    </dxf>
    <dxf>
      <fill>
        <patternFill patternType="solid">
          <fgColor rgb="FFB2DFBE"/>
          <bgColor rgb="FF000000"/>
        </patternFill>
      </fill>
    </dxf>
    <dxf>
      <fill>
        <patternFill patternType="solid">
          <fgColor rgb="FFB8E2C3"/>
          <bgColor rgb="FF000000"/>
        </patternFill>
      </fill>
    </dxf>
    <dxf>
      <fill>
        <patternFill patternType="solid">
          <fgColor rgb="FFCDEAD4"/>
          <bgColor rgb="FF000000"/>
        </patternFill>
      </fill>
    </dxf>
    <dxf>
      <fill>
        <patternFill patternType="solid">
          <fgColor rgb="FFE2F3E6"/>
          <bgColor rgb="FF000000"/>
        </patternFill>
      </fill>
    </dxf>
    <dxf>
      <fill>
        <patternFill patternType="solid">
          <fgColor rgb="FFE2F3E7"/>
          <bgColor rgb="FF000000"/>
        </patternFill>
      </fill>
    </dxf>
    <dxf>
      <fill>
        <patternFill patternType="solid">
          <fgColor rgb="FFEAF7EE"/>
          <bgColor rgb="FF000000"/>
        </patternFill>
      </fill>
    </dxf>
    <dxf>
      <fill>
        <patternFill patternType="solid">
          <fgColor rgb="FFEEF8F0"/>
          <bgColor rgb="FF000000"/>
        </patternFill>
      </fill>
    </dxf>
    <dxf>
      <fill>
        <patternFill patternType="solid">
          <fgColor rgb="FFF1FAF4"/>
          <bgColor rgb="FF000000"/>
        </patternFill>
      </fill>
    </dxf>
    <dxf>
      <fill>
        <patternFill patternType="solid">
          <fgColor rgb="FFF8FDFA"/>
          <bgColor rgb="FF000000"/>
        </patternFill>
      </fill>
    </dxf>
    <dxf>
      <fill>
        <patternFill patternType="solid">
          <fgColor rgb="FFFAFDFA"/>
          <bgColor rgb="FF000000"/>
        </patternFill>
      </fill>
    </dxf>
    <dxf>
      <fill>
        <patternFill patternType="solid">
          <fgColor rgb="FFD9D2E9"/>
          <bgColor rgb="FF000000"/>
        </patternFill>
      </fill>
    </dxf>
    <dxf>
      <fill>
        <patternFill patternType="solid">
          <fgColor rgb="FFBDE4C7"/>
          <bgColor rgb="FF000000"/>
        </patternFill>
      </fill>
    </dxf>
    <dxf>
      <fill>
        <patternFill patternType="solid">
          <fgColor rgb="FFD2EDD9"/>
          <bgColor rgb="FF000000"/>
        </patternFill>
      </fill>
    </dxf>
    <dxf>
      <fill>
        <patternFill patternType="solid">
          <fgColor rgb="FFE4F4E9"/>
          <bgColor rgb="FF000000"/>
        </patternFill>
      </fill>
    </dxf>
    <dxf>
      <fill>
        <patternFill patternType="solid">
          <fgColor rgb="FFD0ECD8"/>
          <bgColor rgb="FF000000"/>
        </patternFill>
      </fill>
    </dxf>
    <dxf>
      <fill>
        <patternFill patternType="solid">
          <fgColor rgb="FF741B47"/>
          <bgColor rgb="FF000000"/>
        </patternFill>
      </fill>
    </dxf>
    <dxf>
      <fill>
        <patternFill patternType="solid">
          <fgColor rgb="FF78C78D"/>
          <bgColor rgb="FF000000"/>
        </patternFill>
      </fill>
    </dxf>
    <dxf>
      <fill>
        <patternFill patternType="solid">
          <fgColor rgb="FF91D1A2"/>
          <bgColor rgb="FF000000"/>
        </patternFill>
      </fill>
    </dxf>
    <dxf>
      <fill>
        <patternFill patternType="solid">
          <fgColor rgb="FF96D4A6"/>
          <bgColor rgb="FF000000"/>
        </patternFill>
      </fill>
    </dxf>
    <dxf>
      <fill>
        <patternFill patternType="solid">
          <fgColor rgb="FFA1D8AF"/>
          <bgColor rgb="FF000000"/>
        </patternFill>
      </fill>
    </dxf>
    <dxf>
      <fill>
        <patternFill patternType="solid">
          <fgColor rgb="FFACDDB9"/>
          <bgColor rgb="FF000000"/>
        </patternFill>
      </fill>
    </dxf>
    <dxf>
      <fill>
        <patternFill patternType="solid">
          <fgColor rgb="FFBBE3C6"/>
          <bgColor rgb="FF000000"/>
        </patternFill>
      </fill>
    </dxf>
    <dxf>
      <fill>
        <patternFill patternType="solid">
          <fgColor rgb="FFC4E7CE"/>
          <bgColor rgb="FF000000"/>
        </patternFill>
      </fill>
    </dxf>
    <dxf>
      <fill>
        <patternFill patternType="solid">
          <fgColor rgb="FFCEEBD6"/>
          <bgColor rgb="FF000000"/>
        </patternFill>
      </fill>
    </dxf>
    <dxf>
      <fill>
        <patternFill patternType="solid">
          <fgColor rgb="FFCFEBD7"/>
          <bgColor rgb="FF000000"/>
        </patternFill>
      </fill>
    </dxf>
    <dxf>
      <fill>
        <patternFill patternType="solid">
          <fgColor rgb="FFD4EDDA"/>
          <bgColor rgb="FF000000"/>
        </patternFill>
      </fill>
    </dxf>
    <dxf>
      <fill>
        <patternFill patternType="solid">
          <fgColor rgb="FFD4EDDB"/>
          <bgColor rgb="FF000000"/>
        </patternFill>
      </fill>
    </dxf>
    <dxf>
      <fill>
        <patternFill patternType="solid">
          <fgColor rgb="FFE3F4E8"/>
          <bgColor rgb="FF000000"/>
        </patternFill>
      </fill>
    </dxf>
    <dxf>
      <fill>
        <patternFill patternType="solid">
          <fgColor rgb="FFE7F5EA"/>
          <bgColor rgb="FF000000"/>
        </patternFill>
      </fill>
    </dxf>
    <dxf>
      <fill>
        <patternFill patternType="solid">
          <fgColor rgb="FFFBB4B5"/>
          <bgColor rgb="FF000000"/>
        </patternFill>
      </fill>
    </dxf>
    <dxf>
      <fill>
        <patternFill patternType="solid">
          <fgColor rgb="FFFBB6B7"/>
          <bgColor rgb="FF000000"/>
        </patternFill>
      </fill>
    </dxf>
    <dxf>
      <fill>
        <patternFill patternType="solid">
          <fgColor rgb="FFFBB8B9"/>
          <bgColor rgb="FF000000"/>
        </patternFill>
      </fill>
    </dxf>
    <dxf>
      <fill>
        <patternFill patternType="solid">
          <fgColor rgb="FFFCC1C2"/>
          <bgColor rgb="FF000000"/>
        </patternFill>
      </fill>
    </dxf>
    <dxf>
      <fill>
        <patternFill patternType="solid">
          <fgColor rgb="FFFCC2C3"/>
          <bgColor rgb="FF000000"/>
        </patternFill>
      </fill>
    </dxf>
    <dxf>
      <fill>
        <patternFill patternType="solid">
          <fgColor rgb="FFFCC6C6"/>
          <bgColor rgb="FF000000"/>
        </patternFill>
      </fill>
    </dxf>
    <dxf>
      <fill>
        <patternFill patternType="solid">
          <fgColor rgb="FFFCCBCC"/>
          <bgColor rgb="FF000000"/>
        </patternFill>
      </fill>
    </dxf>
    <dxf>
      <fill>
        <patternFill patternType="solid">
          <fgColor rgb="FFFCCCCD"/>
          <bgColor rgb="FF000000"/>
        </patternFill>
      </fill>
    </dxf>
    <dxf>
      <fill>
        <patternFill patternType="solid">
          <fgColor rgb="FFFCD0D0"/>
          <bgColor rgb="FF000000"/>
        </patternFill>
      </fill>
    </dxf>
    <dxf>
      <fill>
        <patternFill patternType="solid">
          <fgColor rgb="FFFDD4D5"/>
          <bgColor rgb="FF000000"/>
        </patternFill>
      </fill>
    </dxf>
    <dxf>
      <fill>
        <patternFill patternType="solid">
          <fgColor rgb="FFFDD5D6"/>
          <bgColor rgb="FF000000"/>
        </patternFill>
      </fill>
    </dxf>
    <dxf>
      <fill>
        <patternFill patternType="solid">
          <fgColor rgb="FFFDD8D9"/>
          <bgColor rgb="FF000000"/>
        </patternFill>
      </fill>
    </dxf>
    <dxf>
      <fill>
        <patternFill patternType="solid">
          <fgColor rgb="FFFDD9DA"/>
          <bgColor rgb="FF000000"/>
        </patternFill>
      </fill>
    </dxf>
    <dxf>
      <fill>
        <patternFill patternType="solid">
          <fgColor rgb="FFFDDCDC"/>
          <bgColor rgb="FF000000"/>
        </patternFill>
      </fill>
    </dxf>
    <dxf>
      <fill>
        <patternFill patternType="solid">
          <fgColor rgb="FFFDDFDF"/>
          <bgColor rgb="FF000000"/>
        </patternFill>
      </fill>
    </dxf>
    <dxf>
      <fill>
        <patternFill patternType="solid">
          <fgColor rgb="FFFDE0E1"/>
          <bgColor rgb="FF000000"/>
        </patternFill>
      </fill>
    </dxf>
    <dxf>
      <fill>
        <patternFill patternType="solid">
          <fgColor rgb="FFFDE3E4"/>
          <bgColor rgb="FF000000"/>
        </patternFill>
      </fill>
    </dxf>
    <dxf>
      <fill>
        <patternFill patternType="solid">
          <fgColor rgb="FFFDE4E4"/>
          <bgColor rgb="FF000000"/>
        </patternFill>
      </fill>
    </dxf>
    <dxf>
      <fill>
        <patternFill patternType="solid">
          <fgColor rgb="FFFDE5E5"/>
          <bgColor rgb="FF000000"/>
        </patternFill>
      </fill>
    </dxf>
    <dxf>
      <fill>
        <patternFill patternType="solid">
          <fgColor rgb="FFFDE5E6"/>
          <bgColor rgb="FF000000"/>
        </patternFill>
      </fill>
    </dxf>
    <dxf>
      <fill>
        <patternFill patternType="solid">
          <fgColor rgb="FFFDE9E9"/>
          <bgColor rgb="FF000000"/>
        </patternFill>
      </fill>
    </dxf>
    <dxf>
      <fill>
        <patternFill patternType="solid">
          <fgColor rgb="FFFEEBEB"/>
          <bgColor rgb="FF000000"/>
        </patternFill>
      </fill>
    </dxf>
    <dxf>
      <fill>
        <patternFill patternType="solid">
          <fgColor rgb="FFFEEBEC"/>
          <bgColor rgb="FF000000"/>
        </patternFill>
      </fill>
    </dxf>
    <dxf>
      <fill>
        <patternFill patternType="solid">
          <fgColor rgb="FFFEECED"/>
          <bgColor rgb="FF000000"/>
        </patternFill>
      </fill>
    </dxf>
    <dxf>
      <fill>
        <patternFill patternType="solid">
          <fgColor rgb="FFFEEFF0"/>
          <bgColor rgb="FF000000"/>
        </patternFill>
      </fill>
    </dxf>
    <dxf>
      <fill>
        <patternFill patternType="solid">
          <fgColor rgb="FFFEF1F2"/>
          <bgColor rgb="FF000000"/>
        </patternFill>
      </fill>
    </dxf>
    <dxf>
      <fill>
        <patternFill patternType="solid">
          <fgColor rgb="FFFEF4F5"/>
          <bgColor rgb="FF000000"/>
        </patternFill>
      </fill>
    </dxf>
    <dxf>
      <fill>
        <patternFill patternType="solid">
          <fgColor rgb="FFFEFAFB"/>
          <bgColor rgb="FF000000"/>
        </patternFill>
      </fill>
    </dxf>
    <dxf>
      <fill>
        <patternFill patternType="solid">
          <fgColor rgb="FF5A8AC6"/>
          <bgColor rgb="FF000000"/>
        </patternFill>
      </fill>
    </dxf>
    <dxf>
      <fill>
        <patternFill patternType="solid">
          <fgColor rgb="FF6692CA"/>
          <bgColor rgb="FF000000"/>
        </patternFill>
      </fill>
    </dxf>
    <dxf>
      <fill>
        <patternFill patternType="solid">
          <fgColor rgb="FF6793CB"/>
          <bgColor rgb="FF000000"/>
        </patternFill>
      </fill>
    </dxf>
    <dxf>
      <fill>
        <patternFill patternType="solid">
          <fgColor rgb="FF6D98CD"/>
          <bgColor rgb="FF000000"/>
        </patternFill>
      </fill>
    </dxf>
    <dxf>
      <fill>
        <patternFill patternType="solid">
          <fgColor rgb="FF709ACE"/>
          <bgColor rgb="FF000000"/>
        </patternFill>
      </fill>
    </dxf>
    <dxf>
      <fill>
        <patternFill patternType="solid">
          <fgColor rgb="FF729BCF"/>
          <bgColor rgb="FF000000"/>
        </patternFill>
      </fill>
    </dxf>
    <dxf>
      <fill>
        <patternFill patternType="solid">
          <fgColor rgb="FF779FD0"/>
          <bgColor rgb="FF000000"/>
        </patternFill>
      </fill>
    </dxf>
    <dxf>
      <fill>
        <patternFill patternType="solid">
          <fgColor rgb="FF789FD1"/>
          <bgColor rgb="FF000000"/>
        </patternFill>
      </fill>
    </dxf>
    <dxf>
      <fill>
        <patternFill patternType="solid">
          <fgColor rgb="FF7AA1D1"/>
          <bgColor rgb="FF000000"/>
        </patternFill>
      </fill>
    </dxf>
    <dxf>
      <fill>
        <patternFill patternType="solid">
          <fgColor rgb="FF7AA1D2"/>
          <bgColor rgb="FF000000"/>
        </patternFill>
      </fill>
    </dxf>
    <dxf>
      <fill>
        <patternFill patternType="solid">
          <fgColor rgb="FF7BA1D2"/>
          <bgColor rgb="FF000000"/>
        </patternFill>
      </fill>
    </dxf>
    <dxf>
      <fill>
        <patternFill patternType="solid">
          <fgColor rgb="FF7CA2D2"/>
          <bgColor rgb="FF000000"/>
        </patternFill>
      </fill>
    </dxf>
    <dxf>
      <fill>
        <patternFill patternType="solid">
          <fgColor rgb="FF7DA3D2"/>
          <bgColor rgb="FF000000"/>
        </patternFill>
      </fill>
    </dxf>
    <dxf>
      <fill>
        <patternFill patternType="solid">
          <fgColor rgb="FF85A9D5"/>
          <bgColor rgb="FF000000"/>
        </patternFill>
      </fill>
    </dxf>
    <dxf>
      <fill>
        <patternFill patternType="solid">
          <fgColor rgb="FF87AAD6"/>
          <bgColor rgb="FF000000"/>
        </patternFill>
      </fill>
    </dxf>
    <dxf>
      <fill>
        <patternFill patternType="solid">
          <fgColor rgb="FF88AAD6"/>
          <bgColor rgb="FF000000"/>
        </patternFill>
      </fill>
    </dxf>
    <dxf>
      <fill>
        <patternFill patternType="solid">
          <fgColor rgb="FF8AACD7"/>
          <bgColor rgb="FF000000"/>
        </patternFill>
      </fill>
    </dxf>
    <dxf>
      <fill>
        <patternFill patternType="solid">
          <fgColor rgb="FF8EAFD8"/>
          <bgColor rgb="FF000000"/>
        </patternFill>
      </fill>
    </dxf>
    <dxf>
      <fill>
        <patternFill patternType="solid">
          <fgColor rgb="FF95B4DB"/>
          <bgColor rgb="FF000000"/>
        </patternFill>
      </fill>
    </dxf>
    <dxf>
      <fill>
        <patternFill patternType="solid">
          <fgColor rgb="FFA0BCDF"/>
          <bgColor rgb="FF000000"/>
        </patternFill>
      </fill>
    </dxf>
    <dxf>
      <fill>
        <patternFill patternType="solid">
          <fgColor rgb="FFA2BDDF"/>
          <bgColor rgb="FF000000"/>
        </patternFill>
      </fill>
    </dxf>
    <dxf>
      <fill>
        <patternFill patternType="solid">
          <fgColor rgb="FFA3BEE0"/>
          <bgColor rgb="FF000000"/>
        </patternFill>
      </fill>
    </dxf>
    <dxf>
      <fill>
        <patternFill patternType="solid">
          <fgColor rgb="FFA4BEE0"/>
          <bgColor rgb="FF000000"/>
        </patternFill>
      </fill>
    </dxf>
    <dxf>
      <fill>
        <patternFill patternType="solid">
          <fgColor rgb="FFA8C2E1"/>
          <bgColor rgb="FF000000"/>
        </patternFill>
      </fill>
    </dxf>
    <dxf>
      <fill>
        <patternFill patternType="solid">
          <fgColor rgb="FFA9C2E2"/>
          <bgColor rgb="FF000000"/>
        </patternFill>
      </fill>
    </dxf>
    <dxf>
      <fill>
        <patternFill patternType="solid">
          <fgColor rgb="FFAAC3E2"/>
          <bgColor rgb="FF000000"/>
        </patternFill>
      </fill>
    </dxf>
    <dxf>
      <fill>
        <patternFill patternType="solid">
          <fgColor rgb="FFABC3E2"/>
          <bgColor rgb="FF000000"/>
        </patternFill>
      </fill>
    </dxf>
    <dxf>
      <fill>
        <patternFill patternType="solid">
          <fgColor rgb="FFACC4E3"/>
          <bgColor rgb="FF000000"/>
        </patternFill>
      </fill>
    </dxf>
    <dxf>
      <fill>
        <patternFill patternType="solid">
          <fgColor rgb="FFADC5E3"/>
          <bgColor rgb="FF000000"/>
        </patternFill>
      </fill>
    </dxf>
    <dxf>
      <fill>
        <patternFill patternType="solid">
          <fgColor rgb="FFAEC5E3"/>
          <bgColor rgb="FF000000"/>
        </patternFill>
      </fill>
    </dxf>
    <dxf>
      <fill>
        <patternFill patternType="solid">
          <fgColor rgb="FFAEC6E3"/>
          <bgColor rgb="FF000000"/>
        </patternFill>
      </fill>
    </dxf>
    <dxf>
      <fill>
        <patternFill patternType="solid">
          <fgColor rgb="FFAFC6E4"/>
          <bgColor rgb="FF000000"/>
        </patternFill>
      </fill>
    </dxf>
    <dxf>
      <fill>
        <patternFill patternType="solid">
          <fgColor rgb="FFB0C7E4"/>
          <bgColor rgb="FF000000"/>
        </patternFill>
      </fill>
    </dxf>
    <dxf>
      <fill>
        <patternFill patternType="solid">
          <fgColor rgb="FFB1C8E4"/>
          <bgColor rgb="FF000000"/>
        </patternFill>
      </fill>
    </dxf>
    <dxf>
      <fill>
        <patternFill patternType="solid">
          <fgColor rgb="FFB1C8E5"/>
          <bgColor rgb="FF000000"/>
        </patternFill>
      </fill>
    </dxf>
    <dxf>
      <fill>
        <patternFill patternType="solid">
          <fgColor rgb="FFB2C8E5"/>
          <bgColor rgb="FF000000"/>
        </patternFill>
      </fill>
    </dxf>
    <dxf>
      <fill>
        <patternFill patternType="solid">
          <fgColor rgb="FFB2C9E5"/>
          <bgColor rgb="FF000000"/>
        </patternFill>
      </fill>
    </dxf>
    <dxf>
      <fill>
        <patternFill patternType="solid">
          <fgColor rgb="FFB3C9E5"/>
          <bgColor rgb="FF000000"/>
        </patternFill>
      </fill>
    </dxf>
    <dxf>
      <fill>
        <patternFill patternType="solid">
          <fgColor rgb="FFB3CAE5"/>
          <bgColor rgb="FF000000"/>
        </patternFill>
      </fill>
    </dxf>
    <dxf>
      <fill>
        <patternFill patternType="solid">
          <fgColor rgb="FFB4CAE5"/>
          <bgColor rgb="FF000000"/>
        </patternFill>
      </fill>
    </dxf>
    <dxf>
      <fill>
        <patternFill patternType="solid">
          <fgColor rgb="FFB4CAE6"/>
          <bgColor rgb="FF000000"/>
        </patternFill>
      </fill>
    </dxf>
    <dxf>
      <fill>
        <patternFill patternType="solid">
          <fgColor rgb="FFB5CBE6"/>
          <bgColor rgb="FF000000"/>
        </patternFill>
      </fill>
    </dxf>
    <dxf>
      <fill>
        <patternFill patternType="solid">
          <fgColor rgb="FFB6CBE6"/>
          <bgColor rgb="FF000000"/>
        </patternFill>
      </fill>
    </dxf>
    <dxf>
      <fill>
        <patternFill patternType="solid">
          <fgColor rgb="FFB6CCE6"/>
          <bgColor rgb="FF000000"/>
        </patternFill>
      </fill>
    </dxf>
    <dxf>
      <fill>
        <patternFill patternType="solid">
          <fgColor rgb="FFB7CCE6"/>
          <bgColor rgb="FF000000"/>
        </patternFill>
      </fill>
    </dxf>
    <dxf>
      <fill>
        <patternFill patternType="solid">
          <fgColor rgb="FFB8CDE7"/>
          <bgColor rgb="FF000000"/>
        </patternFill>
      </fill>
    </dxf>
    <dxf>
      <fill>
        <patternFill patternType="solid">
          <fgColor rgb="FFB9CDE7"/>
          <bgColor rgb="FF000000"/>
        </patternFill>
      </fill>
    </dxf>
    <dxf>
      <fill>
        <patternFill patternType="solid">
          <fgColor rgb="FFB9CEE7"/>
          <bgColor rgb="FF000000"/>
        </patternFill>
      </fill>
    </dxf>
    <dxf>
      <fill>
        <patternFill patternType="solid">
          <fgColor rgb="FFBACEE7"/>
          <bgColor rgb="FF000000"/>
        </patternFill>
      </fill>
    </dxf>
    <dxf>
      <fill>
        <patternFill patternType="solid">
          <fgColor rgb="FFBACEE8"/>
          <bgColor rgb="FF000000"/>
        </patternFill>
      </fill>
    </dxf>
    <dxf>
      <fill>
        <patternFill patternType="solid">
          <fgColor rgb="FFBBCFE8"/>
          <bgColor rgb="FF000000"/>
        </patternFill>
      </fill>
    </dxf>
    <dxf>
      <fill>
        <patternFill patternType="solid">
          <fgColor rgb="FFBCCFE8"/>
          <bgColor rgb="FF000000"/>
        </patternFill>
      </fill>
    </dxf>
    <dxf>
      <fill>
        <patternFill patternType="solid">
          <fgColor rgb="FFBCD0E8"/>
          <bgColor rgb="FF000000"/>
        </patternFill>
      </fill>
    </dxf>
    <dxf>
      <fill>
        <patternFill patternType="solid">
          <fgColor rgb="FFBDD0E8"/>
          <bgColor rgb="FF000000"/>
        </patternFill>
      </fill>
    </dxf>
    <dxf>
      <fill>
        <patternFill patternType="solid">
          <fgColor rgb="FFBDD0E9"/>
          <bgColor rgb="FF000000"/>
        </patternFill>
      </fill>
    </dxf>
    <dxf>
      <fill>
        <patternFill patternType="solid">
          <fgColor rgb="FFBDD1E9"/>
          <bgColor rgb="FF000000"/>
        </patternFill>
      </fill>
    </dxf>
    <dxf>
      <fill>
        <patternFill patternType="solid">
          <fgColor rgb="FFBED1E9"/>
          <bgColor rgb="FF000000"/>
        </patternFill>
      </fill>
    </dxf>
    <dxf>
      <fill>
        <patternFill patternType="solid">
          <fgColor rgb="FFBFD1E9"/>
          <bgColor rgb="FF000000"/>
        </patternFill>
      </fill>
    </dxf>
    <dxf>
      <fill>
        <patternFill patternType="solid">
          <fgColor rgb="FFBFD2E9"/>
          <bgColor rgb="FF000000"/>
        </patternFill>
      </fill>
    </dxf>
    <dxf>
      <fill>
        <patternFill patternType="solid">
          <fgColor rgb="FFC0D2E9"/>
          <bgColor rgb="FF000000"/>
        </patternFill>
      </fill>
    </dxf>
    <dxf>
      <fill>
        <patternFill patternType="solid">
          <fgColor rgb="FFC0D2EA"/>
          <bgColor rgb="FF000000"/>
        </patternFill>
      </fill>
    </dxf>
    <dxf>
      <fill>
        <patternFill patternType="solid">
          <fgColor rgb="FFC0D3EA"/>
          <bgColor rgb="FF000000"/>
        </patternFill>
      </fill>
    </dxf>
    <dxf>
      <fill>
        <patternFill patternType="solid">
          <fgColor rgb="FFC1D3EA"/>
          <bgColor rgb="FF000000"/>
        </patternFill>
      </fill>
    </dxf>
    <dxf>
      <fill>
        <patternFill patternType="solid">
          <fgColor rgb="FFC2D4EA"/>
          <bgColor rgb="FF000000"/>
        </patternFill>
      </fill>
    </dxf>
    <dxf>
      <fill>
        <patternFill patternType="solid">
          <fgColor rgb="FFC3D4EA"/>
          <bgColor rgb="FF000000"/>
        </patternFill>
      </fill>
    </dxf>
    <dxf>
      <fill>
        <patternFill patternType="solid">
          <fgColor rgb="FFC3D4EB"/>
          <bgColor rgb="FF000000"/>
        </patternFill>
      </fill>
    </dxf>
    <dxf>
      <fill>
        <patternFill patternType="solid">
          <fgColor rgb="FFC3D5EB"/>
          <bgColor rgb="FF000000"/>
        </patternFill>
      </fill>
    </dxf>
    <dxf>
      <fill>
        <patternFill patternType="solid">
          <fgColor rgb="FFC4D5EB"/>
          <bgColor rgb="FF000000"/>
        </patternFill>
      </fill>
    </dxf>
    <dxf>
      <fill>
        <patternFill patternType="solid">
          <fgColor rgb="FFC4D6EB"/>
          <bgColor rgb="FF000000"/>
        </patternFill>
      </fill>
    </dxf>
    <dxf>
      <fill>
        <patternFill patternType="solid">
          <fgColor rgb="FFC5D6EB"/>
          <bgColor rgb="FF000000"/>
        </patternFill>
      </fill>
    </dxf>
    <dxf>
      <fill>
        <patternFill patternType="solid">
          <fgColor rgb="FFC6D6EB"/>
          <bgColor rgb="FF000000"/>
        </patternFill>
      </fill>
    </dxf>
    <dxf>
      <fill>
        <patternFill patternType="solid">
          <fgColor rgb="FFC6D6EC"/>
          <bgColor rgb="FF000000"/>
        </patternFill>
      </fill>
    </dxf>
    <dxf>
      <fill>
        <patternFill patternType="solid">
          <fgColor rgb="FFC6D7EC"/>
          <bgColor rgb="FF000000"/>
        </patternFill>
      </fill>
    </dxf>
    <dxf>
      <fill>
        <patternFill patternType="solid">
          <fgColor rgb="FFC7D7EC"/>
          <bgColor rgb="FF000000"/>
        </patternFill>
      </fill>
    </dxf>
    <dxf>
      <fill>
        <patternFill patternType="solid">
          <fgColor rgb="FFC7D8EC"/>
          <bgColor rgb="FF000000"/>
        </patternFill>
      </fill>
    </dxf>
    <dxf>
      <fill>
        <patternFill patternType="solid">
          <fgColor rgb="FFC8D8EC"/>
          <bgColor rgb="FF000000"/>
        </patternFill>
      </fill>
    </dxf>
    <dxf>
      <fill>
        <patternFill patternType="solid">
          <fgColor rgb="FFC9D9ED"/>
          <bgColor rgb="FF000000"/>
        </patternFill>
      </fill>
    </dxf>
    <dxf>
      <fill>
        <patternFill patternType="solid">
          <fgColor rgb="FFCAD9ED"/>
          <bgColor rgb="FF000000"/>
        </patternFill>
      </fill>
    </dxf>
    <dxf>
      <fill>
        <patternFill patternType="solid">
          <fgColor rgb="FFCADAED"/>
          <bgColor rgb="FF000000"/>
        </patternFill>
      </fill>
    </dxf>
    <dxf>
      <fill>
        <patternFill patternType="solid">
          <fgColor rgb="FFCBDAED"/>
          <bgColor rgb="FF000000"/>
        </patternFill>
      </fill>
    </dxf>
    <dxf>
      <fill>
        <patternFill patternType="solid">
          <fgColor rgb="FFCCDBEE"/>
          <bgColor rgb="FF000000"/>
        </patternFill>
      </fill>
    </dxf>
    <dxf>
      <fill>
        <patternFill patternType="solid">
          <fgColor rgb="FFCDDCEE"/>
          <bgColor rgb="FF000000"/>
        </patternFill>
      </fill>
    </dxf>
    <dxf>
      <fill>
        <patternFill patternType="solid">
          <fgColor rgb="FFCEDCEE"/>
          <bgColor rgb="FF000000"/>
        </patternFill>
      </fill>
    </dxf>
    <dxf>
      <fill>
        <patternFill patternType="solid">
          <fgColor rgb="FFCEDDEE"/>
          <bgColor rgb="FF000000"/>
        </patternFill>
      </fill>
    </dxf>
    <dxf>
      <fill>
        <patternFill patternType="solid">
          <fgColor rgb="FFCFDDEF"/>
          <bgColor rgb="FF000000"/>
        </patternFill>
      </fill>
    </dxf>
    <dxf>
      <fill>
        <patternFill patternType="solid">
          <fgColor rgb="FFD2DFF0"/>
          <bgColor rgb="FF000000"/>
        </patternFill>
      </fill>
    </dxf>
    <dxf>
      <fill>
        <patternFill patternType="solid">
          <fgColor rgb="FFD3E0F0"/>
          <bgColor rgb="FF000000"/>
        </patternFill>
      </fill>
    </dxf>
    <dxf>
      <fill>
        <patternFill patternType="solid">
          <fgColor rgb="FFDFE8F4"/>
          <bgColor rgb="FF000000"/>
        </patternFill>
      </fill>
    </dxf>
    <dxf>
      <fill>
        <patternFill patternType="solid">
          <fgColor rgb="FFE4ECF6"/>
          <bgColor rgb="FF000000"/>
        </patternFill>
      </fill>
    </dxf>
    <dxf>
      <fill>
        <patternFill patternType="solid">
          <fgColor rgb="FF67BF7C"/>
          <bgColor rgb="FF000000"/>
        </patternFill>
      </fill>
    </dxf>
    <dxf>
      <fill>
        <patternFill patternType="solid">
          <fgColor rgb="FF6AC07C"/>
          <bgColor rgb="FF000000"/>
        </patternFill>
      </fill>
    </dxf>
    <dxf>
      <fill>
        <patternFill patternType="solid">
          <fgColor rgb="FF6EC27C"/>
          <bgColor rgb="FF000000"/>
        </patternFill>
      </fill>
    </dxf>
    <dxf>
      <fill>
        <patternFill patternType="solid">
          <fgColor rgb="FF71C37C"/>
          <bgColor rgb="FF000000"/>
        </patternFill>
      </fill>
    </dxf>
    <dxf>
      <fill>
        <patternFill patternType="solid">
          <fgColor rgb="FF75C47D"/>
          <bgColor rgb="FF000000"/>
        </patternFill>
      </fill>
    </dxf>
    <dxf>
      <fill>
        <patternFill patternType="solid">
          <fgColor rgb="FF78C57D"/>
          <bgColor rgb="FF000000"/>
        </patternFill>
      </fill>
    </dxf>
    <dxf>
      <fill>
        <patternFill patternType="solid">
          <fgColor rgb="FF7CC57D"/>
          <bgColor rgb="FF000000"/>
        </patternFill>
      </fill>
    </dxf>
    <dxf>
      <fill>
        <patternFill patternType="solid">
          <fgColor rgb="FF7FC67D"/>
          <bgColor rgb="FF000000"/>
        </patternFill>
      </fill>
    </dxf>
    <dxf>
      <fill>
        <patternFill patternType="solid">
          <fgColor rgb="FF83C77D"/>
          <bgColor rgb="FF000000"/>
        </patternFill>
      </fill>
    </dxf>
    <dxf>
      <fill>
        <patternFill patternType="solid">
          <fgColor rgb="FF86C87D"/>
          <bgColor rgb="FF000000"/>
        </patternFill>
      </fill>
    </dxf>
    <dxf>
      <fill>
        <patternFill patternType="solid">
          <fgColor rgb="FF8DCA7E"/>
          <bgColor rgb="FF000000"/>
        </patternFill>
      </fill>
    </dxf>
    <dxf>
      <fill>
        <patternFill patternType="solid">
          <fgColor rgb="FF91CC7E"/>
          <bgColor rgb="FF000000"/>
        </patternFill>
      </fill>
    </dxf>
    <dxf>
      <fill>
        <patternFill patternType="solid">
          <fgColor rgb="FF94CC7E"/>
          <bgColor rgb="FF000000"/>
        </patternFill>
      </fill>
    </dxf>
    <dxf>
      <fill>
        <patternFill patternType="solid">
          <fgColor rgb="FF97CD7E"/>
          <bgColor rgb="FF000000"/>
        </patternFill>
      </fill>
    </dxf>
    <dxf>
      <fill>
        <patternFill patternType="solid">
          <fgColor rgb="FF9BCF7F"/>
          <bgColor rgb="FF000000"/>
        </patternFill>
      </fill>
    </dxf>
    <dxf>
      <fill>
        <patternFill patternType="solid">
          <fgColor rgb="FF9ED07F"/>
          <bgColor rgb="FF000000"/>
        </patternFill>
      </fill>
    </dxf>
    <dxf>
      <fill>
        <patternFill patternType="solid">
          <fgColor rgb="FFA2D17F"/>
          <bgColor rgb="FF000000"/>
        </patternFill>
      </fill>
    </dxf>
    <dxf>
      <fill>
        <patternFill patternType="solid">
          <fgColor rgb="FFA9D27F"/>
          <bgColor rgb="FF000000"/>
        </patternFill>
      </fill>
    </dxf>
    <dxf>
      <fill>
        <patternFill patternType="solid">
          <fgColor rgb="FFACD380"/>
          <bgColor rgb="FF000000"/>
        </patternFill>
      </fill>
    </dxf>
    <dxf>
      <fill>
        <patternFill patternType="solid">
          <fgColor rgb="FFB0D480"/>
          <bgColor rgb="FF000000"/>
        </patternFill>
      </fill>
    </dxf>
    <dxf>
      <fill>
        <patternFill patternType="solid">
          <fgColor rgb="FFB3D580"/>
          <bgColor rgb="FF000000"/>
        </patternFill>
      </fill>
    </dxf>
    <dxf>
      <fill>
        <patternFill patternType="solid">
          <fgColor rgb="FFB7D780"/>
          <bgColor rgb="FF000000"/>
        </patternFill>
      </fill>
    </dxf>
    <dxf>
      <fill>
        <patternFill patternType="solid">
          <fgColor rgb="FFBAD881"/>
          <bgColor rgb="FF000000"/>
        </patternFill>
      </fill>
    </dxf>
    <dxf>
      <fill>
        <patternFill patternType="solid">
          <fgColor rgb="FFBED981"/>
          <bgColor rgb="FF000000"/>
        </patternFill>
      </fill>
    </dxf>
    <dxf>
      <fill>
        <patternFill patternType="solid">
          <fgColor rgb="FFC1DA81"/>
          <bgColor rgb="FF000000"/>
        </patternFill>
      </fill>
    </dxf>
    <dxf>
      <fill>
        <patternFill patternType="solid">
          <fgColor rgb="FFC5DB81"/>
          <bgColor rgb="FF000000"/>
        </patternFill>
      </fill>
    </dxf>
    <dxf>
      <fill>
        <patternFill patternType="solid">
          <fgColor rgb="FFC8DC81"/>
          <bgColor rgb="FF000000"/>
        </patternFill>
      </fill>
    </dxf>
    <dxf>
      <fill>
        <patternFill patternType="solid">
          <fgColor rgb="FFCCDD82"/>
          <bgColor rgb="FF000000"/>
        </patternFill>
      </fill>
    </dxf>
    <dxf>
      <fill>
        <patternFill patternType="solid">
          <fgColor rgb="FFCFDE82"/>
          <bgColor rgb="FF000000"/>
        </patternFill>
      </fill>
    </dxf>
    <dxf>
      <fill>
        <patternFill patternType="solid">
          <fgColor rgb="FFD2DE82"/>
          <bgColor rgb="FF000000"/>
        </patternFill>
      </fill>
    </dxf>
    <dxf>
      <fill>
        <patternFill patternType="solid">
          <fgColor rgb="FFD6DF82"/>
          <bgColor rgb="FF000000"/>
        </patternFill>
      </fill>
    </dxf>
    <dxf>
      <fill>
        <patternFill patternType="solid">
          <fgColor rgb="FFD9E082"/>
          <bgColor rgb="FF000000"/>
        </patternFill>
      </fill>
    </dxf>
    <dxf>
      <fill>
        <patternFill patternType="solid">
          <fgColor rgb="FFDDE283"/>
          <bgColor rgb="FF000000"/>
        </patternFill>
      </fill>
    </dxf>
    <dxf>
      <fill>
        <patternFill patternType="solid">
          <fgColor rgb="FFE0E383"/>
          <bgColor rgb="FF000000"/>
        </patternFill>
      </fill>
    </dxf>
    <dxf>
      <fill>
        <patternFill patternType="solid">
          <fgColor rgb="FFE7E583"/>
          <bgColor rgb="FF000000"/>
        </patternFill>
      </fill>
    </dxf>
    <dxf>
      <fill>
        <patternFill patternType="solid">
          <fgColor rgb="FFEBE683"/>
          <bgColor rgb="FF000000"/>
        </patternFill>
      </fill>
    </dxf>
    <dxf>
      <fill>
        <patternFill patternType="solid">
          <fgColor rgb="FFEEE784"/>
          <bgColor rgb="FF000000"/>
        </patternFill>
      </fill>
    </dxf>
    <dxf>
      <fill>
        <patternFill patternType="solid">
          <fgColor rgb="FFF2E884"/>
          <bgColor rgb="FF000000"/>
        </patternFill>
      </fill>
    </dxf>
    <dxf>
      <fill>
        <patternFill patternType="solid">
          <fgColor rgb="FFF5E984"/>
          <bgColor rgb="FF000000"/>
        </patternFill>
      </fill>
    </dxf>
    <dxf>
      <fill>
        <patternFill patternType="solid">
          <fgColor rgb="FFF86B6B"/>
          <bgColor rgb="FF000000"/>
        </patternFill>
      </fill>
    </dxf>
    <dxf>
      <fill>
        <patternFill patternType="solid">
          <fgColor rgb="FFF86D6B"/>
          <bgColor rgb="FF000000"/>
        </patternFill>
      </fill>
    </dxf>
    <dxf>
      <fill>
        <patternFill patternType="solid">
          <fgColor rgb="FFF8776D"/>
          <bgColor rgb="FF000000"/>
        </patternFill>
      </fill>
    </dxf>
    <dxf>
      <fill>
        <patternFill patternType="solid">
          <fgColor rgb="FFF8796E"/>
          <bgColor rgb="FF000000"/>
        </patternFill>
      </fill>
    </dxf>
    <dxf>
      <fill>
        <patternFill patternType="solid">
          <fgColor rgb="FFF9806F"/>
          <bgColor rgb="FF000000"/>
        </patternFill>
      </fill>
    </dxf>
    <dxf>
      <fill>
        <patternFill patternType="solid">
          <fgColor rgb="FFF98570"/>
          <bgColor rgb="FF000000"/>
        </patternFill>
      </fill>
    </dxf>
    <dxf>
      <fill>
        <patternFill patternType="solid">
          <fgColor rgb="FFF98770"/>
          <bgColor rgb="FF000000"/>
        </patternFill>
      </fill>
    </dxf>
    <dxf>
      <fill>
        <patternFill patternType="solid">
          <fgColor rgb="FFF98A71"/>
          <bgColor rgb="FF000000"/>
        </patternFill>
      </fill>
    </dxf>
    <dxf>
      <fill>
        <patternFill patternType="solid">
          <fgColor rgb="FFF9EA84"/>
          <bgColor rgb="FF000000"/>
        </patternFill>
      </fill>
    </dxf>
    <dxf>
      <fill>
        <patternFill patternType="solid">
          <fgColor rgb="FFFA8E72"/>
          <bgColor rgb="FF000000"/>
        </patternFill>
      </fill>
    </dxf>
    <dxf>
      <fill>
        <patternFill patternType="solid">
          <fgColor rgb="FFFA9373"/>
          <bgColor rgb="FF000000"/>
        </patternFill>
      </fill>
    </dxf>
    <dxf>
      <fill>
        <patternFill patternType="solid">
          <fgColor rgb="FFFA9573"/>
          <bgColor rgb="FF000000"/>
        </patternFill>
      </fill>
    </dxf>
    <dxf>
      <fill>
        <patternFill patternType="solid">
          <fgColor rgb="FFFA9A74"/>
          <bgColor rgb="FF000000"/>
        </patternFill>
      </fill>
    </dxf>
    <dxf>
      <fill>
        <patternFill patternType="solid">
          <fgColor rgb="FFFA9C75"/>
          <bgColor rgb="FF000000"/>
        </patternFill>
      </fill>
    </dxf>
    <dxf>
      <fill>
        <patternFill patternType="solid">
          <fgColor rgb="FFFA9F75"/>
          <bgColor rgb="FF000000"/>
        </patternFill>
      </fill>
    </dxf>
    <dxf>
      <fill>
        <patternFill patternType="solid">
          <fgColor rgb="FFFBA476"/>
          <bgColor rgb="FF000000"/>
        </patternFill>
      </fill>
    </dxf>
    <dxf>
      <fill>
        <patternFill patternType="solid">
          <fgColor rgb="FFFBA676"/>
          <bgColor rgb="FF000000"/>
        </patternFill>
      </fill>
    </dxf>
    <dxf>
      <fill>
        <patternFill patternType="solid">
          <fgColor rgb="FFFBA877"/>
          <bgColor rgb="FF000000"/>
        </patternFill>
      </fill>
    </dxf>
    <dxf>
      <fill>
        <patternFill patternType="solid">
          <fgColor rgb="FFFBAD78"/>
          <bgColor rgb="FF000000"/>
        </patternFill>
      </fill>
    </dxf>
    <dxf>
      <fill>
        <patternFill patternType="solid">
          <fgColor rgb="FFFBAF78"/>
          <bgColor rgb="FF000000"/>
        </patternFill>
      </fill>
    </dxf>
    <dxf>
      <fill>
        <patternFill patternType="solid">
          <fgColor rgb="FFFBB279"/>
          <bgColor rgb="FF000000"/>
        </patternFill>
      </fill>
    </dxf>
    <dxf>
      <fill>
        <patternFill patternType="solid">
          <fgColor rgb="FFFCB479"/>
          <bgColor rgb="FF000000"/>
        </patternFill>
      </fill>
    </dxf>
    <dxf>
      <fill>
        <patternFill patternType="solid">
          <fgColor rgb="FFFCB77A"/>
          <bgColor rgb="FF000000"/>
        </patternFill>
      </fill>
    </dxf>
    <dxf>
      <fill>
        <patternFill patternType="solid">
          <fgColor rgb="FFFCB97A"/>
          <bgColor rgb="FF000000"/>
        </patternFill>
      </fill>
    </dxf>
    <dxf>
      <fill>
        <patternFill patternType="solid">
          <fgColor rgb="FFFCBB7A"/>
          <bgColor rgb="FF000000"/>
        </patternFill>
      </fill>
    </dxf>
    <dxf>
      <fill>
        <patternFill patternType="solid">
          <fgColor rgb="FFFCBE7B"/>
          <bgColor rgb="FF000000"/>
        </patternFill>
      </fill>
    </dxf>
    <dxf>
      <fill>
        <patternFill patternType="solid">
          <fgColor rgb="FFFCC07B"/>
          <bgColor rgb="FF000000"/>
        </patternFill>
      </fill>
    </dxf>
    <dxf>
      <fill>
        <patternFill patternType="solid">
          <fgColor rgb="FFFCC27C"/>
          <bgColor rgb="FF000000"/>
        </patternFill>
      </fill>
    </dxf>
    <dxf>
      <fill>
        <patternFill patternType="solid">
          <fgColor rgb="FFFCC57C"/>
          <bgColor rgb="FF000000"/>
        </patternFill>
      </fill>
    </dxf>
    <dxf>
      <fill>
        <patternFill patternType="solid">
          <fgColor rgb="FFFCEA84"/>
          <bgColor rgb="FF000000"/>
        </patternFill>
      </fill>
    </dxf>
    <dxf>
      <fill>
        <patternFill patternType="solid">
          <fgColor rgb="FFFDC77D"/>
          <bgColor rgb="FF000000"/>
        </patternFill>
      </fill>
    </dxf>
    <dxf>
      <fill>
        <patternFill patternType="solid">
          <fgColor rgb="FFFDC97D"/>
          <bgColor rgb="FF000000"/>
        </patternFill>
      </fill>
    </dxf>
    <dxf>
      <fill>
        <patternFill patternType="solid">
          <fgColor rgb="FFFDCC7E"/>
          <bgColor rgb="FF000000"/>
        </patternFill>
      </fill>
    </dxf>
    <dxf>
      <fill>
        <patternFill patternType="solid">
          <fgColor rgb="FFFDCE7E"/>
          <bgColor rgb="FF000000"/>
        </patternFill>
      </fill>
    </dxf>
    <dxf>
      <fill>
        <patternFill patternType="solid">
          <fgColor rgb="FFFDD37F"/>
          <bgColor rgb="FF000000"/>
        </patternFill>
      </fill>
    </dxf>
    <dxf>
      <fill>
        <patternFill patternType="solid">
          <fgColor rgb="FFFDD57F"/>
          <bgColor rgb="FF000000"/>
        </patternFill>
      </fill>
    </dxf>
    <dxf>
      <fill>
        <patternFill patternType="solid">
          <fgColor rgb="FFFEDA80"/>
          <bgColor rgb="FF000000"/>
        </patternFill>
      </fill>
    </dxf>
    <dxf>
      <fill>
        <patternFill patternType="solid">
          <fgColor rgb="FFFEDC81"/>
          <bgColor rgb="FF000000"/>
        </patternFill>
      </fill>
    </dxf>
    <dxf>
      <fill>
        <patternFill patternType="solid">
          <fgColor rgb="FFFEDF81"/>
          <bgColor rgb="FF000000"/>
        </patternFill>
      </fill>
    </dxf>
    <dxf>
      <fill>
        <patternFill patternType="solid">
          <fgColor rgb="FFFEE182"/>
          <bgColor rgb="FF000000"/>
        </patternFill>
      </fill>
    </dxf>
    <dxf>
      <fill>
        <patternFill patternType="solid">
          <fgColor rgb="FFFEE382"/>
          <bgColor rgb="FF000000"/>
        </patternFill>
      </fill>
    </dxf>
    <dxf>
      <fill>
        <patternFill patternType="solid">
          <fgColor rgb="FFFEE683"/>
          <bgColor rgb="FF000000"/>
        </patternFill>
      </fill>
    </dxf>
    <dxf>
      <fill>
        <patternFill patternType="solid">
          <fgColor rgb="FFFEE883"/>
          <bgColor rgb="FF000000"/>
        </patternFill>
      </fill>
    </dxf>
    <dxf>
      <fill>
        <patternFill patternType="solid">
          <fgColor rgb="FFFFEB84"/>
          <bgColor rgb="FF000000"/>
        </patternFill>
      </fill>
    </dxf>
    <dxf>
      <fill>
        <patternFill patternType="solid">
          <fgColor rgb="FF70C27C"/>
          <bgColor rgb="FF000000"/>
        </patternFill>
      </fill>
    </dxf>
    <dxf>
      <fill>
        <patternFill patternType="solid">
          <fgColor rgb="FF7EC67D"/>
          <bgColor rgb="FF000000"/>
        </patternFill>
      </fill>
    </dxf>
    <dxf>
      <fill>
        <patternFill patternType="solid">
          <fgColor rgb="FF8BCA7E"/>
          <bgColor rgb="FF000000"/>
        </patternFill>
      </fill>
    </dxf>
    <dxf>
      <fill>
        <patternFill patternType="solid">
          <fgColor rgb="FF98CE7F"/>
          <bgColor rgb="FF000000"/>
        </patternFill>
      </fill>
    </dxf>
    <dxf>
      <fill>
        <patternFill patternType="solid">
          <fgColor rgb="FFA5D17F"/>
          <bgColor rgb="FF000000"/>
        </patternFill>
      </fill>
    </dxf>
    <dxf>
      <fill>
        <patternFill patternType="solid">
          <fgColor rgb="FFB2D580"/>
          <bgColor rgb="FF000000"/>
        </patternFill>
      </fill>
    </dxf>
    <dxf>
      <fill>
        <patternFill patternType="solid">
          <fgColor rgb="FFCBDC81"/>
          <bgColor rgb="FF000000"/>
        </patternFill>
      </fill>
    </dxf>
    <dxf>
      <fill>
        <patternFill patternType="solid">
          <fgColor rgb="FFD8E082"/>
          <bgColor rgb="FF000000"/>
        </patternFill>
      </fill>
    </dxf>
    <dxf>
      <fill>
        <patternFill patternType="solid">
          <fgColor rgb="FFE5E483"/>
          <bgColor rgb="FF000000"/>
        </patternFill>
      </fill>
    </dxf>
    <dxf>
      <fill>
        <patternFill patternType="solid">
          <fgColor rgb="FFFBA576"/>
          <bgColor rgb="FF000000"/>
        </patternFill>
      </fill>
    </dxf>
    <dxf>
      <fill>
        <patternFill patternType="solid">
          <fgColor rgb="FFFCC17C"/>
          <bgColor rgb="FF000000"/>
        </patternFill>
      </fill>
    </dxf>
    <dxf>
      <fill>
        <patternFill patternType="solid">
          <fgColor rgb="FFFDCA7D"/>
          <bgColor rgb="FF000000"/>
        </patternFill>
      </fill>
    </dxf>
    <dxf>
      <fill>
        <patternFill patternType="solid">
          <fgColor rgb="FFFDD07E"/>
          <bgColor rgb="FF000000"/>
        </patternFill>
      </fill>
    </dxf>
    <dxf>
      <fill>
        <patternFill patternType="solid">
          <fgColor rgb="FFFDD47F"/>
          <bgColor rgb="FF000000"/>
        </patternFill>
      </fill>
    </dxf>
    <dxf>
      <fill>
        <patternFill patternType="solid">
          <fgColor rgb="FFFDD680"/>
          <bgColor rgb="FF000000"/>
        </patternFill>
      </fill>
    </dxf>
    <dxf>
      <fill>
        <patternFill patternType="solid">
          <fgColor rgb="FFFDD780"/>
          <bgColor rgb="FF000000"/>
        </patternFill>
      </fill>
    </dxf>
    <dxf>
      <fill>
        <patternFill patternType="solid">
          <fgColor rgb="FFFED980"/>
          <bgColor rgb="FF000000"/>
        </patternFill>
      </fill>
    </dxf>
    <dxf>
      <fill>
        <patternFill patternType="solid">
          <fgColor rgb="FFFEDD81"/>
          <bgColor rgb="FF000000"/>
        </patternFill>
      </fill>
    </dxf>
    <dxf>
      <fill>
        <patternFill patternType="solid">
          <fgColor rgb="FFFEE082"/>
          <bgColor rgb="FF000000"/>
        </patternFill>
      </fill>
    </dxf>
    <dxf>
      <fill>
        <patternFill patternType="solid">
          <fgColor rgb="FFFEE282"/>
          <bgColor rgb="FF000000"/>
        </patternFill>
      </fill>
    </dxf>
    <dxf>
      <fill>
        <patternFill patternType="solid">
          <fgColor rgb="FFFEE582"/>
          <bgColor rgb="FF000000"/>
        </patternFill>
      </fill>
    </dxf>
    <dxf>
      <fill>
        <patternFill patternType="solid">
          <fgColor rgb="FFFEE983"/>
          <bgColor rgb="FF000000"/>
        </patternFill>
      </fill>
    </dxf>
    <dxf>
      <fill>
        <patternFill patternType="solid">
          <fgColor rgb="FFFEEA83"/>
          <bgColor rgb="FF000000"/>
        </patternFill>
      </fill>
    </dxf>
    <dxf>
      <fill>
        <patternFill patternType="solid">
          <fgColor rgb="FF6FC27C"/>
          <bgColor rgb="FF000000"/>
        </patternFill>
      </fill>
    </dxf>
    <dxf>
      <fill>
        <patternFill patternType="solid">
          <fgColor rgb="FF88C97E"/>
          <bgColor rgb="FF000000"/>
        </patternFill>
      </fill>
    </dxf>
    <dxf>
      <fill>
        <patternFill patternType="solid">
          <fgColor rgb="FFA0D07F"/>
          <bgColor rgb="FF000000"/>
        </patternFill>
      </fill>
    </dxf>
    <dxf>
      <fill>
        <patternFill patternType="solid">
          <fgColor rgb="FFC3DA81"/>
          <bgColor rgb="FF000000"/>
        </patternFill>
      </fill>
    </dxf>
    <dxf>
      <fill>
        <patternFill patternType="solid">
          <fgColor rgb="FFDBE182"/>
          <bgColor rgb="FF000000"/>
        </patternFill>
      </fill>
    </dxf>
    <dxf>
      <fill>
        <patternFill patternType="solid">
          <fgColor rgb="FFF3E884"/>
          <bgColor rgb="FF000000"/>
        </patternFill>
      </fill>
    </dxf>
    <dxf>
      <fill>
        <patternFill patternType="solid">
          <fgColor rgb="FFF8716C"/>
          <bgColor rgb="FF000000"/>
        </patternFill>
      </fill>
    </dxf>
    <dxf>
      <fill>
        <patternFill patternType="solid">
          <fgColor rgb="FFFA8F72"/>
          <bgColor rgb="FF000000"/>
        </patternFill>
      </fill>
    </dxf>
    <dxf>
      <fill>
        <patternFill patternType="solid">
          <fgColor rgb="FFFA9773"/>
          <bgColor rgb="FF000000"/>
        </patternFill>
      </fill>
    </dxf>
    <dxf>
      <fill>
        <patternFill patternType="solid">
          <fgColor rgb="FFFA9D75"/>
          <bgColor rgb="FF000000"/>
        </patternFill>
      </fill>
    </dxf>
    <dxf>
      <fill>
        <patternFill patternType="solid">
          <fgColor rgb="FFFAA075"/>
          <bgColor rgb="FF000000"/>
        </patternFill>
      </fill>
    </dxf>
    <dxf>
      <fill>
        <patternFill patternType="solid">
          <fgColor rgb="FFFBA376"/>
          <bgColor rgb="FF000000"/>
        </patternFill>
      </fill>
    </dxf>
    <dxf>
      <fill>
        <patternFill patternType="solid">
          <fgColor rgb="FFFCB379"/>
          <bgColor rgb="FF000000"/>
        </patternFill>
      </fill>
    </dxf>
    <dxf>
      <fill>
        <patternFill patternType="solid">
          <fgColor rgb="FFFCB679"/>
          <bgColor rgb="FF000000"/>
        </patternFill>
      </fill>
    </dxf>
    <dxf>
      <fill>
        <patternFill patternType="solid">
          <fgColor rgb="FFFDCB7D"/>
          <bgColor rgb="FF000000"/>
        </patternFill>
      </fill>
    </dxf>
    <dxf>
      <fill>
        <patternFill patternType="solid">
          <fgColor rgb="FFFDD17F"/>
          <bgColor rgb="FF000000"/>
        </patternFill>
      </fill>
    </dxf>
    <dxf>
      <fill>
        <patternFill patternType="solid">
          <fgColor rgb="FFFDD67F"/>
          <bgColor rgb="FF000000"/>
        </patternFill>
      </fill>
    </dxf>
    <dxf>
      <fill>
        <patternFill patternType="solid">
          <fgColor rgb="FFFEE081"/>
          <bgColor rgb="FF000000"/>
        </patternFill>
      </fill>
    </dxf>
    <dxf>
      <fill>
        <patternFill patternType="solid">
          <fgColor rgb="FFC0E6F5"/>
          <bgColor rgb="FF000000"/>
        </patternFill>
      </fill>
    </dxf>
    <dxf>
      <fill>
        <patternFill patternType="solid">
          <fgColor rgb="FFB1D47F"/>
          <bgColor rgb="FF000000"/>
        </patternFill>
      </fill>
    </dxf>
    <dxf>
      <fill>
        <patternFill patternType="solid">
          <fgColor rgb="FFFBA176"/>
          <bgColor rgb="FF000000"/>
        </patternFill>
      </fill>
    </dxf>
    <dxf>
      <fill>
        <patternFill patternType="solid">
          <fgColor rgb="FFFCA276"/>
          <bgColor rgb="FF000000"/>
        </patternFill>
      </fill>
    </dxf>
    <dxf>
      <fill>
        <patternFill patternType="solid">
          <fgColor rgb="FFFCA377"/>
          <bgColor rgb="FF000000"/>
        </patternFill>
      </fill>
    </dxf>
    <dxf>
      <fill>
        <patternFill patternType="solid">
          <fgColor rgb="FFFCAC78"/>
          <bgColor rgb="FF000000"/>
        </patternFill>
      </fill>
    </dxf>
    <dxf>
      <fill>
        <patternFill patternType="solid">
          <fgColor rgb="FFFCAE79"/>
          <bgColor rgb="FF000000"/>
        </patternFill>
      </fill>
    </dxf>
    <dxf>
      <fill>
        <patternFill patternType="solid">
          <fgColor rgb="FFFCB079"/>
          <bgColor rgb="FF000000"/>
        </patternFill>
      </fill>
    </dxf>
    <dxf>
      <fill>
        <patternFill patternType="solid">
          <fgColor rgb="FFFCB179"/>
          <bgColor rgb="FF000000"/>
        </patternFill>
      </fill>
    </dxf>
    <dxf>
      <fill>
        <patternFill patternType="solid">
          <fgColor rgb="FFFCB279"/>
          <bgColor rgb="FF000000"/>
        </patternFill>
      </fill>
    </dxf>
    <dxf>
      <fill>
        <patternFill patternType="solid">
          <fgColor rgb="FFFDB47A"/>
          <bgColor rgb="FF000000"/>
        </patternFill>
      </fill>
    </dxf>
    <dxf>
      <fill>
        <patternFill patternType="solid">
          <fgColor rgb="FFFDB67A"/>
          <bgColor rgb="FF000000"/>
        </patternFill>
      </fill>
    </dxf>
    <dxf>
      <fill>
        <patternFill patternType="solid">
          <fgColor rgb="FFFDB97B"/>
          <bgColor rgb="FF000000"/>
        </patternFill>
      </fill>
    </dxf>
    <dxf>
      <fill>
        <patternFill patternType="solid">
          <fgColor rgb="FFFDBE7C"/>
          <bgColor rgb="FF000000"/>
        </patternFill>
      </fill>
    </dxf>
    <dxf>
      <fill>
        <patternFill patternType="solid">
          <fgColor rgb="FFFDC07C"/>
          <bgColor rgb="FF000000"/>
        </patternFill>
      </fill>
    </dxf>
    <dxf>
      <fill>
        <patternFill patternType="solid">
          <fgColor rgb="FFFDC27D"/>
          <bgColor rgb="FF000000"/>
        </patternFill>
      </fill>
    </dxf>
    <dxf>
      <fill>
        <patternFill patternType="solid">
          <fgColor rgb="FFFDC37D"/>
          <bgColor rgb="FF000000"/>
        </patternFill>
      </fill>
    </dxf>
    <dxf>
      <fill>
        <patternFill patternType="solid">
          <fgColor rgb="FFFDC47D"/>
          <bgColor rgb="FF000000"/>
        </patternFill>
      </fill>
    </dxf>
    <dxf>
      <fill>
        <patternFill patternType="solid">
          <fgColor rgb="FFFDC57D"/>
          <bgColor rgb="FF000000"/>
        </patternFill>
      </fill>
    </dxf>
    <dxf>
      <fill>
        <patternFill patternType="solid">
          <fgColor rgb="FFFEC87E"/>
          <bgColor rgb="FF000000"/>
        </patternFill>
      </fill>
    </dxf>
    <dxf>
      <fill>
        <patternFill patternType="solid">
          <fgColor rgb="FFFEC97E"/>
          <bgColor rgb="FF000000"/>
        </patternFill>
      </fill>
    </dxf>
    <dxf>
      <fill>
        <patternFill patternType="solid">
          <fgColor rgb="FFFECB7E"/>
          <bgColor rgb="FF000000"/>
        </patternFill>
      </fill>
    </dxf>
    <dxf>
      <fill>
        <patternFill patternType="solid">
          <fgColor rgb="FFFECC7E"/>
          <bgColor rgb="FF000000"/>
        </patternFill>
      </fill>
    </dxf>
    <dxf>
      <fill>
        <patternFill patternType="solid">
          <fgColor rgb="FFFECE7F"/>
          <bgColor rgb="FF000000"/>
        </patternFill>
      </fill>
    </dxf>
    <dxf>
      <fill>
        <patternFill patternType="solid">
          <fgColor rgb="FFFECF7F"/>
          <bgColor rgb="FF000000"/>
        </patternFill>
      </fill>
    </dxf>
    <dxf>
      <fill>
        <patternFill patternType="solid">
          <fgColor rgb="FFFED07F"/>
          <bgColor rgb="FF000000"/>
        </patternFill>
      </fill>
    </dxf>
    <dxf>
      <fill>
        <patternFill patternType="solid">
          <fgColor rgb="FFFED17F"/>
          <bgColor rgb="FF000000"/>
        </patternFill>
      </fill>
    </dxf>
    <dxf>
      <fill>
        <patternFill patternType="solid">
          <fgColor rgb="FFFED280"/>
          <bgColor rgb="FF000000"/>
        </patternFill>
      </fill>
    </dxf>
    <dxf>
      <fill>
        <patternFill patternType="solid">
          <fgColor rgb="FFFED380"/>
          <bgColor rgb="FF000000"/>
        </patternFill>
      </fill>
    </dxf>
    <dxf>
      <fill>
        <patternFill patternType="solid">
          <fgColor rgb="FFFED480"/>
          <bgColor rgb="FF000000"/>
        </patternFill>
      </fill>
    </dxf>
    <dxf>
      <fill>
        <patternFill patternType="solid">
          <fgColor rgb="FFFED580"/>
          <bgColor rgb="FF000000"/>
        </patternFill>
      </fill>
    </dxf>
    <dxf>
      <fill>
        <patternFill patternType="solid">
          <fgColor rgb="FFFED680"/>
          <bgColor rgb="FF000000"/>
        </patternFill>
      </fill>
    </dxf>
    <dxf>
      <fill>
        <patternFill patternType="solid">
          <fgColor rgb="FFFED781"/>
          <bgColor rgb="FF000000"/>
        </patternFill>
      </fill>
    </dxf>
    <dxf>
      <fill>
        <patternFill patternType="solid">
          <fgColor rgb="FFFED881"/>
          <bgColor rgb="FF000000"/>
        </patternFill>
      </fill>
    </dxf>
    <dxf>
      <fill>
        <patternFill patternType="solid">
          <fgColor rgb="FFFFD981"/>
          <bgColor rgb="FF000000"/>
        </patternFill>
      </fill>
    </dxf>
    <dxf>
      <fill>
        <patternFill patternType="solid">
          <fgColor rgb="FFFFDA81"/>
          <bgColor rgb="FF000000"/>
        </patternFill>
      </fill>
    </dxf>
    <dxf>
      <fill>
        <patternFill patternType="solid">
          <fgColor rgb="FFFFDB81"/>
          <bgColor rgb="FF000000"/>
        </patternFill>
      </fill>
    </dxf>
    <dxf>
      <fill>
        <patternFill patternType="solid">
          <fgColor rgb="FFFFDC82"/>
          <bgColor rgb="FF000000"/>
        </patternFill>
      </fill>
    </dxf>
    <dxf>
      <fill>
        <patternFill patternType="solid">
          <fgColor rgb="FFFFDD82"/>
          <bgColor rgb="FF000000"/>
        </patternFill>
      </fill>
    </dxf>
    <dxf>
      <fill>
        <patternFill patternType="solid">
          <fgColor rgb="FFFFDE82"/>
          <bgColor rgb="FF000000"/>
        </patternFill>
      </fill>
    </dxf>
    <dxf>
      <fill>
        <patternFill patternType="solid">
          <fgColor rgb="FFFFDF82"/>
          <bgColor rgb="FF000000"/>
        </patternFill>
      </fill>
    </dxf>
    <dxf>
      <fill>
        <patternFill patternType="solid">
          <fgColor rgb="FFFFE082"/>
          <bgColor rgb="FF000000"/>
        </patternFill>
      </fill>
    </dxf>
    <dxf>
      <fill>
        <patternFill patternType="solid">
          <fgColor rgb="FFFFE182"/>
          <bgColor rgb="FF000000"/>
        </patternFill>
      </fill>
    </dxf>
    <dxf>
      <fill>
        <patternFill patternType="solid">
          <fgColor rgb="FFFFE283"/>
          <bgColor rgb="FF000000"/>
        </patternFill>
      </fill>
    </dxf>
    <dxf>
      <fill>
        <patternFill patternType="solid">
          <fgColor rgb="FFFFE383"/>
          <bgColor rgb="FF000000"/>
        </patternFill>
      </fill>
    </dxf>
    <dxf>
      <fill>
        <patternFill patternType="solid">
          <fgColor rgb="FFFFE483"/>
          <bgColor rgb="FF000000"/>
        </patternFill>
      </fill>
    </dxf>
    <dxf>
      <fill>
        <patternFill patternType="solid">
          <fgColor rgb="FFFFE583"/>
          <bgColor rgb="FF000000"/>
        </patternFill>
      </fill>
    </dxf>
    <dxf>
      <fill>
        <patternFill patternType="solid">
          <fgColor rgb="FFFFE683"/>
          <bgColor rgb="FF000000"/>
        </patternFill>
      </fill>
    </dxf>
    <dxf>
      <fill>
        <patternFill patternType="solid">
          <fgColor rgb="FFFFE784"/>
          <bgColor rgb="FF000000"/>
        </patternFill>
      </fill>
    </dxf>
    <dxf>
      <fill>
        <patternFill patternType="solid">
          <fgColor rgb="FFFFE884"/>
          <bgColor rgb="FF000000"/>
        </patternFill>
      </fill>
    </dxf>
    <dxf>
      <fill>
        <patternFill patternType="solid">
          <fgColor rgb="FFFFE984"/>
          <bgColor rgb="FF000000"/>
        </patternFill>
      </fill>
    </dxf>
    <dxf>
      <fill>
        <patternFill patternType="solid">
          <fgColor rgb="FFFFEA84"/>
          <bgColor rgb="FF000000"/>
        </patternFill>
      </fill>
    </dxf>
    <dxf>
      <fill>
        <patternFill patternType="solid">
          <fgColor rgb="FF69BF7B"/>
          <bgColor rgb="FF000000"/>
        </patternFill>
      </fill>
    </dxf>
    <dxf>
      <fill>
        <patternFill patternType="solid">
          <fgColor rgb="FF6FC17B"/>
          <bgColor rgb="FF000000"/>
        </patternFill>
      </fill>
    </dxf>
    <dxf>
      <fill>
        <patternFill patternType="solid">
          <fgColor rgb="FF75C37C"/>
          <bgColor rgb="FF000000"/>
        </patternFill>
      </fill>
    </dxf>
    <dxf>
      <fill>
        <patternFill patternType="solid">
          <fgColor rgb="FF7BC57C"/>
          <bgColor rgb="FF000000"/>
        </patternFill>
      </fill>
    </dxf>
    <dxf>
      <fill>
        <patternFill patternType="solid">
          <fgColor rgb="FF81C67C"/>
          <bgColor rgb="FF000000"/>
        </patternFill>
      </fill>
    </dxf>
    <dxf>
      <fill>
        <patternFill patternType="solid">
          <fgColor rgb="FF87C87D"/>
          <bgColor rgb="FF000000"/>
        </patternFill>
      </fill>
    </dxf>
    <dxf>
      <fill>
        <patternFill patternType="solid">
          <fgColor rgb="FF8DCA7D"/>
          <bgColor rgb="FF000000"/>
        </patternFill>
      </fill>
    </dxf>
    <dxf>
      <fill>
        <patternFill patternType="solid">
          <fgColor rgb="FF93CC7D"/>
          <bgColor rgb="FF000000"/>
        </patternFill>
      </fill>
    </dxf>
    <dxf>
      <fill>
        <patternFill patternType="solid">
          <fgColor rgb="FF9ACD7E"/>
          <bgColor rgb="FF000000"/>
        </patternFill>
      </fill>
    </dxf>
    <dxf>
      <fill>
        <patternFill patternType="solid">
          <fgColor rgb="FFA0CF7E"/>
          <bgColor rgb="FF000000"/>
        </patternFill>
      </fill>
    </dxf>
    <dxf>
      <fill>
        <patternFill patternType="solid">
          <fgColor rgb="FFA6D17E"/>
          <bgColor rgb="FF000000"/>
        </patternFill>
      </fill>
    </dxf>
    <dxf>
      <fill>
        <patternFill patternType="solid">
          <fgColor rgb="FFACD37F"/>
          <bgColor rgb="FF000000"/>
        </patternFill>
      </fill>
    </dxf>
    <dxf>
      <fill>
        <patternFill patternType="solid">
          <fgColor rgb="FFB2D47F"/>
          <bgColor rgb="FF000000"/>
        </patternFill>
      </fill>
    </dxf>
    <dxf>
      <fill>
        <patternFill patternType="solid">
          <fgColor rgb="FFB8D67F"/>
          <bgColor rgb="FF000000"/>
        </patternFill>
      </fill>
    </dxf>
    <dxf>
      <fill>
        <patternFill patternType="solid">
          <fgColor rgb="FFBED880"/>
          <bgColor rgb="FF000000"/>
        </patternFill>
      </fill>
    </dxf>
    <dxf>
      <fill>
        <patternFill patternType="solid">
          <fgColor rgb="FFC4DA80"/>
          <bgColor rgb="FF000000"/>
        </patternFill>
      </fill>
    </dxf>
    <dxf>
      <fill>
        <patternFill patternType="solid">
          <fgColor rgb="FFD1DD81"/>
          <bgColor rgb="FF000000"/>
        </patternFill>
      </fill>
    </dxf>
    <dxf>
      <fill>
        <patternFill patternType="solid">
          <fgColor rgb="FFD7DF81"/>
          <bgColor rgb="FF000000"/>
        </patternFill>
      </fill>
    </dxf>
    <dxf>
      <fill>
        <patternFill patternType="solid">
          <fgColor rgb="FFDDE182"/>
          <bgColor rgb="FF000000"/>
        </patternFill>
      </fill>
    </dxf>
    <dxf>
      <fill>
        <patternFill patternType="solid">
          <fgColor rgb="FFE3E382"/>
          <bgColor rgb="FF000000"/>
        </patternFill>
      </fill>
    </dxf>
    <dxf>
      <fill>
        <patternFill patternType="solid">
          <fgColor rgb="FFE9E482"/>
          <bgColor rgb="FF000000"/>
        </patternFill>
      </fill>
    </dxf>
    <dxf>
      <fill>
        <patternFill patternType="solid">
          <fgColor rgb="FFF5E883"/>
          <bgColor rgb="FF000000"/>
        </patternFill>
      </fill>
    </dxf>
    <dxf>
      <fill>
        <patternFill patternType="solid">
          <fgColor rgb="FFFBEA83"/>
          <bgColor rgb="FF000000"/>
        </patternFill>
      </fill>
    </dxf>
    <dxf>
      <fill>
        <patternFill patternType="solid">
          <fgColor rgb="FFFDBF7C"/>
          <bgColor rgb="FF000000"/>
        </patternFill>
      </fill>
    </dxf>
    <dxf>
      <fill>
        <patternFill patternType="solid">
          <fgColor rgb="FFFFDC81"/>
          <bgColor rgb="FF000000"/>
        </patternFill>
      </fill>
    </dxf>
    <dxf>
      <fill>
        <patternFill patternType="solid">
          <fgColor rgb="FFFFE684"/>
          <bgColor rgb="FF000000"/>
        </patternFill>
      </fill>
    </dxf>
    <dxf>
      <fill>
        <patternFill patternType="solid">
          <fgColor rgb="FFF97C6F"/>
          <bgColor rgb="FF000000"/>
        </patternFill>
      </fill>
    </dxf>
    <dxf>
      <fill>
        <patternFill patternType="solid">
          <fgColor rgb="FFFDB77A"/>
          <bgColor rgb="FF000000"/>
        </patternFill>
      </fill>
    </dxf>
    <dxf>
      <fill>
        <patternFill patternType="solid">
          <fgColor rgb="FFFDBB7B"/>
          <bgColor rgb="FF000000"/>
        </patternFill>
      </fill>
    </dxf>
    <dxf>
      <fill>
        <patternFill patternType="solid">
          <fgColor rgb="FFFDC67D"/>
          <bgColor rgb="FF000000"/>
        </patternFill>
      </fill>
    </dxf>
    <dxf>
      <fill>
        <patternFill patternType="solid">
          <fgColor rgb="FFFECA7E"/>
          <bgColor rgb="FF000000"/>
        </patternFill>
      </fill>
    </dxf>
    <dxf>
      <fill>
        <patternFill patternType="solid">
          <fgColor rgb="FF71C27B"/>
          <bgColor rgb="FF000000"/>
        </patternFill>
      </fill>
    </dxf>
    <dxf>
      <fill>
        <patternFill patternType="solid">
          <fgColor rgb="FF7FC67C"/>
          <bgColor rgb="FF000000"/>
        </patternFill>
      </fill>
    </dxf>
    <dxf>
      <fill>
        <patternFill patternType="solid">
          <fgColor rgb="FF9BCE7E"/>
          <bgColor rgb="FF000000"/>
        </patternFill>
      </fill>
    </dxf>
    <dxf>
      <fill>
        <patternFill patternType="solid">
          <fgColor rgb="FFC6DA80"/>
          <bgColor rgb="FF000000"/>
        </patternFill>
      </fill>
    </dxf>
    <dxf>
      <fill>
        <patternFill patternType="solid">
          <fgColor rgb="FFD4DE81"/>
          <bgColor rgb="FF000000"/>
        </patternFill>
      </fill>
    </dxf>
    <dxf>
      <fill>
        <patternFill patternType="solid">
          <fgColor rgb="FFE2E282"/>
          <bgColor rgb="FF000000"/>
        </patternFill>
      </fill>
    </dxf>
    <dxf>
      <fill>
        <patternFill patternType="solid">
          <fgColor rgb="FFF0E683"/>
          <bgColor rgb="FF000000"/>
        </patternFill>
      </fill>
    </dxf>
    <dxf>
      <fill>
        <patternFill patternType="solid">
          <fgColor rgb="FFFB9874"/>
          <bgColor rgb="FF000000"/>
        </patternFill>
      </fill>
    </dxf>
    <dxf>
      <fill>
        <patternFill patternType="solid">
          <fgColor rgb="FFFB9A75"/>
          <bgColor rgb="FF000000"/>
        </patternFill>
      </fill>
    </dxf>
    <dxf>
      <fill>
        <patternFill patternType="solid">
          <fgColor rgb="FFFCAA78"/>
          <bgColor rgb="FF000000"/>
        </patternFill>
      </fill>
    </dxf>
    <dxf>
      <fill>
        <patternFill patternType="solid">
          <fgColor rgb="FFFDBC7B"/>
          <bgColor rgb="FF000000"/>
        </patternFill>
      </fill>
    </dxf>
    <dxf>
      <fill>
        <patternFill patternType="solid">
          <fgColor rgb="FFFDC27C"/>
          <bgColor rgb="FF000000"/>
        </patternFill>
      </fill>
    </dxf>
    <dxf>
      <fill>
        <patternFill patternType="solid">
          <fgColor rgb="FFFEC77D"/>
          <bgColor rgb="FF000000"/>
        </patternFill>
      </fill>
    </dxf>
    <dxf>
      <fill>
        <patternFill patternType="solid">
          <fgColor rgb="FFFED981"/>
          <bgColor rgb="FF000000"/>
        </patternFill>
      </fill>
    </dxf>
    <dxf>
      <fill>
        <patternFill patternType="solid">
          <fgColor rgb="FFFFE183"/>
          <bgColor rgb="FF000000"/>
        </patternFill>
      </fill>
    </dxf>
    <dxf>
      <fill>
        <patternFill patternType="solid">
          <fgColor rgb="FF7DC57C"/>
          <bgColor rgb="FF000000"/>
        </patternFill>
      </fill>
    </dxf>
    <dxf>
      <fill>
        <patternFill patternType="solid">
          <fgColor rgb="FFE5E382"/>
          <bgColor rgb="FF000000"/>
        </patternFill>
      </fill>
    </dxf>
    <dxf>
      <fill>
        <patternFill patternType="solid">
          <fgColor rgb="FFFCA978"/>
          <bgColor rgb="FF000000"/>
        </patternFill>
      </fill>
    </dxf>
    <dxf>
      <fill>
        <patternFill patternType="solid">
          <fgColor rgb="FF6CC07B"/>
          <bgColor rgb="FF000000"/>
        </patternFill>
      </fill>
    </dxf>
    <dxf>
      <fill>
        <patternFill patternType="solid">
          <fgColor rgb="FF76C37C"/>
          <bgColor rgb="FF000000"/>
        </patternFill>
      </fill>
    </dxf>
    <dxf>
      <fill>
        <patternFill patternType="solid">
          <fgColor rgb="FF80C67C"/>
          <bgColor rgb="FF000000"/>
        </patternFill>
      </fill>
    </dxf>
    <dxf>
      <fill>
        <patternFill patternType="solid">
          <fgColor rgb="FF8AC97D"/>
          <bgColor rgb="FF000000"/>
        </patternFill>
      </fill>
    </dxf>
    <dxf>
      <fill>
        <patternFill patternType="solid">
          <fgColor rgb="FF9DCE7E"/>
          <bgColor rgb="FF000000"/>
        </patternFill>
      </fill>
    </dxf>
    <dxf>
      <fill>
        <patternFill patternType="solid">
          <fgColor rgb="FFA7D17E"/>
          <bgColor rgb="FF000000"/>
        </patternFill>
      </fill>
    </dxf>
    <dxf>
      <fill>
        <patternFill patternType="solid">
          <fgColor rgb="FFBAD780"/>
          <bgColor rgb="FF000000"/>
        </patternFill>
      </fill>
    </dxf>
    <dxf>
      <fill>
        <patternFill patternType="solid">
          <fgColor rgb="FFD8DF81"/>
          <bgColor rgb="FF000000"/>
        </patternFill>
      </fill>
    </dxf>
    <dxf>
      <fill>
        <patternFill patternType="solid">
          <fgColor rgb="FFE1E282"/>
          <bgColor rgb="FF000000"/>
        </patternFill>
      </fill>
    </dxf>
    <dxf>
      <fill>
        <patternFill patternType="solid">
          <fgColor rgb="FFEBE582"/>
          <bgColor rgb="FF000000"/>
        </patternFill>
      </fill>
    </dxf>
    <dxf>
      <fill>
        <patternFill patternType="solid">
          <fgColor rgb="FFFCA777"/>
          <bgColor rgb="FF000000"/>
        </patternFill>
      </fill>
    </dxf>
    <dxf>
      <fill>
        <patternFill patternType="solid">
          <fgColor rgb="FFFDB57A"/>
          <bgColor rgb="FF000000"/>
        </patternFill>
      </fill>
    </dxf>
    <dxf>
      <fill>
        <patternFill patternType="solid">
          <fgColor rgb="FFFDB87B"/>
          <bgColor rgb="FF000000"/>
        </patternFill>
      </fill>
    </dxf>
    <dxf>
      <fill>
        <patternFill patternType="solid">
          <fgColor rgb="FFFDC17C"/>
          <bgColor rgb="FF000000"/>
        </patternFill>
      </fill>
    </dxf>
    <dxf>
      <fill>
        <patternFill patternType="solid">
          <fgColor rgb="FFFEC77E"/>
          <bgColor rgb="FF000000"/>
        </patternFill>
      </fill>
    </dxf>
    <dxf>
      <fill>
        <patternFill patternType="solid">
          <fgColor rgb="FF64BE7B"/>
          <bgColor rgb="FF000000"/>
        </patternFill>
      </fill>
    </dxf>
    <dxf>
      <fill>
        <patternFill patternType="solid">
          <fgColor rgb="FF67BF7B"/>
          <bgColor rgb="FF000000"/>
        </patternFill>
      </fill>
    </dxf>
    <dxf>
      <fill>
        <patternFill patternType="solid">
          <fgColor rgb="FF6AC07B"/>
          <bgColor rgb="FF000000"/>
        </patternFill>
      </fill>
    </dxf>
    <dxf>
      <fill>
        <patternFill patternType="solid">
          <fgColor rgb="FF6EC17B"/>
          <bgColor rgb="FF000000"/>
        </patternFill>
      </fill>
    </dxf>
    <dxf>
      <fill>
        <patternFill patternType="solid">
          <fgColor rgb="FF72C27B"/>
          <bgColor rgb="FF000000"/>
        </patternFill>
      </fill>
    </dxf>
    <dxf>
      <fill>
        <patternFill patternType="solid">
          <fgColor rgb="FF74C37C"/>
          <bgColor rgb="FF000000"/>
        </patternFill>
      </fill>
    </dxf>
    <dxf>
      <fill>
        <patternFill patternType="solid">
          <fgColor rgb="FF77C37C"/>
          <bgColor rgb="FF000000"/>
        </patternFill>
      </fill>
    </dxf>
    <dxf>
      <fill>
        <patternFill patternType="solid">
          <fgColor rgb="FF7AC47C"/>
          <bgColor rgb="FF000000"/>
        </patternFill>
      </fill>
    </dxf>
    <dxf>
      <fill>
        <patternFill patternType="solid">
          <fgColor rgb="FF7CC57C"/>
          <bgColor rgb="FF000000"/>
        </patternFill>
      </fill>
    </dxf>
    <dxf>
      <fill>
        <patternFill patternType="solid">
          <fgColor rgb="FF82C77C"/>
          <bgColor rgb="FF000000"/>
        </patternFill>
      </fill>
    </dxf>
    <dxf>
      <fill>
        <patternFill patternType="solid">
          <fgColor rgb="FF85C87D"/>
          <bgColor rgb="FF000000"/>
        </patternFill>
      </fill>
    </dxf>
    <dxf>
      <fill>
        <patternFill patternType="solid">
          <fgColor rgb="FF88C87D"/>
          <bgColor rgb="FF000000"/>
        </patternFill>
      </fill>
    </dxf>
    <dxf>
      <fill>
        <patternFill patternType="solid">
          <fgColor rgb="FF8BC97D"/>
          <bgColor rgb="FF000000"/>
        </patternFill>
      </fill>
    </dxf>
    <dxf>
      <fill>
        <patternFill patternType="solid">
          <fgColor rgb="FF95CC7D"/>
          <bgColor rgb="FF000000"/>
        </patternFill>
      </fill>
    </dxf>
    <dxf>
      <fill>
        <patternFill patternType="solid">
          <fgColor rgb="FF9ECF7E"/>
          <bgColor rgb="FF000000"/>
        </patternFill>
      </fill>
    </dxf>
    <dxf>
      <fill>
        <patternFill patternType="solid">
          <fgColor rgb="FFA2D07E"/>
          <bgColor rgb="FF000000"/>
        </patternFill>
      </fill>
    </dxf>
    <dxf>
      <fill>
        <patternFill patternType="solid">
          <fgColor rgb="FFA3D07E"/>
          <bgColor rgb="FF000000"/>
        </patternFill>
      </fill>
    </dxf>
    <dxf>
      <fill>
        <patternFill patternType="solid">
          <fgColor rgb="FFA5D17E"/>
          <bgColor rgb="FF000000"/>
        </patternFill>
      </fill>
    </dxf>
    <dxf>
      <fill>
        <patternFill patternType="solid">
          <fgColor rgb="FFADD37F"/>
          <bgColor rgb="FF000000"/>
        </patternFill>
      </fill>
    </dxf>
    <dxf>
      <fill>
        <patternFill patternType="solid">
          <fgColor rgb="FFAED37F"/>
          <bgColor rgb="FF000000"/>
        </patternFill>
      </fill>
    </dxf>
    <dxf>
      <fill>
        <patternFill patternType="solid">
          <fgColor rgb="FFB0D47F"/>
          <bgColor rgb="FF000000"/>
        </patternFill>
      </fill>
    </dxf>
    <dxf>
      <fill>
        <patternFill patternType="solid">
          <fgColor rgb="FFB3D57F"/>
          <bgColor rgb="FF000000"/>
        </patternFill>
      </fill>
    </dxf>
    <dxf>
      <fill>
        <patternFill patternType="solid">
          <fgColor rgb="FFB4D57F"/>
          <bgColor rgb="FF000000"/>
        </patternFill>
      </fill>
    </dxf>
    <dxf>
      <fill>
        <patternFill patternType="solid">
          <fgColor rgb="FFB6D67F"/>
          <bgColor rgb="FF000000"/>
        </patternFill>
      </fill>
    </dxf>
    <dxf>
      <fill>
        <patternFill patternType="solid">
          <fgColor rgb="FFBBD780"/>
          <bgColor rgb="FF000000"/>
        </patternFill>
      </fill>
    </dxf>
    <dxf>
      <fill>
        <patternFill patternType="solid">
          <fgColor rgb="FFBCD780"/>
          <bgColor rgb="FF000000"/>
        </patternFill>
      </fill>
    </dxf>
    <dxf>
      <fill>
        <patternFill patternType="solid">
          <fgColor rgb="FFBFD880"/>
          <bgColor rgb="FF000000"/>
        </patternFill>
      </fill>
    </dxf>
    <dxf>
      <fill>
        <patternFill patternType="solid">
          <fgColor rgb="FFC3D980"/>
          <bgColor rgb="FF000000"/>
        </patternFill>
      </fill>
    </dxf>
    <dxf>
      <fill>
        <patternFill patternType="solid">
          <fgColor rgb="FFC7DB80"/>
          <bgColor rgb="FF000000"/>
        </patternFill>
      </fill>
    </dxf>
    <dxf>
      <fill>
        <patternFill patternType="solid">
          <fgColor rgb="FFCCDC81"/>
          <bgColor rgb="FF000000"/>
        </patternFill>
      </fill>
    </dxf>
    <dxf>
      <fill>
        <patternFill patternType="solid">
          <fgColor rgb="FFCFDD81"/>
          <bgColor rgb="FF000000"/>
        </patternFill>
      </fill>
    </dxf>
    <dxf>
      <fill>
        <patternFill patternType="solid">
          <fgColor rgb="FFD6DF81"/>
          <bgColor rgb="FF000000"/>
        </patternFill>
      </fill>
    </dxf>
    <dxf>
      <fill>
        <patternFill patternType="solid">
          <fgColor rgb="FFD9E081"/>
          <bgColor rgb="FF000000"/>
        </patternFill>
      </fill>
    </dxf>
    <dxf>
      <fill>
        <patternFill patternType="solid">
          <fgColor rgb="FFDAE081"/>
          <bgColor rgb="FF000000"/>
        </patternFill>
      </fill>
    </dxf>
    <dxf>
      <fill>
        <patternFill patternType="solid">
          <fgColor rgb="FFDCE182"/>
          <bgColor rgb="FF000000"/>
        </patternFill>
      </fill>
    </dxf>
    <dxf>
      <fill>
        <patternFill patternType="solid">
          <fgColor rgb="FFDFE182"/>
          <bgColor rgb="FF000000"/>
        </patternFill>
      </fill>
    </dxf>
    <dxf>
      <fill>
        <patternFill patternType="solid">
          <fgColor rgb="FFE4E382"/>
          <bgColor rgb="FF000000"/>
        </patternFill>
      </fill>
    </dxf>
    <dxf>
      <fill>
        <patternFill patternType="solid">
          <fgColor rgb="FFE7E482"/>
          <bgColor rgb="FF000000"/>
        </patternFill>
      </fill>
    </dxf>
    <dxf>
      <fill>
        <patternFill patternType="solid">
          <fgColor rgb="FFEAE582"/>
          <bgColor rgb="FF000000"/>
        </patternFill>
      </fill>
    </dxf>
    <dxf>
      <fill>
        <patternFill patternType="solid">
          <fgColor rgb="FFECE582"/>
          <bgColor rgb="FF000000"/>
        </patternFill>
      </fill>
    </dxf>
    <dxf>
      <fill>
        <patternFill patternType="solid">
          <fgColor rgb="FFEFE683"/>
          <bgColor rgb="FF000000"/>
        </patternFill>
      </fill>
    </dxf>
    <dxf>
      <fill>
        <patternFill patternType="solid">
          <fgColor rgb="FFF2E783"/>
          <bgColor rgb="FF000000"/>
        </patternFill>
      </fill>
    </dxf>
    <dxf>
      <fill>
        <patternFill patternType="solid">
          <fgColor rgb="FFF7E883"/>
          <bgColor rgb="FF000000"/>
        </patternFill>
      </fill>
    </dxf>
    <dxf>
      <fill>
        <patternFill patternType="solid">
          <fgColor rgb="FFF8E983"/>
          <bgColor rgb="FF000000"/>
        </patternFill>
      </fill>
    </dxf>
    <dxf>
      <fill>
        <patternFill patternType="solid">
          <fgColor rgb="FFFAE983"/>
          <bgColor rgb="FF000000"/>
        </patternFill>
      </fill>
    </dxf>
    <dxf>
      <fill>
        <patternFill patternType="solid">
          <fgColor rgb="FFFCA577"/>
          <bgColor rgb="FF000000"/>
        </patternFill>
      </fill>
    </dxf>
    <dxf>
      <fill>
        <patternFill patternType="solid">
          <fgColor rgb="FFFED780"/>
          <bgColor rgb="FF000000"/>
        </patternFill>
      </fill>
    </dxf>
    <dxf>
      <fill>
        <patternFill patternType="solid">
          <fgColor rgb="FF66BE7B"/>
          <bgColor rgb="FF000000"/>
        </patternFill>
      </fill>
    </dxf>
    <dxf>
      <fill>
        <patternFill patternType="solid">
          <fgColor rgb="FF68BF7B"/>
          <bgColor rgb="FF000000"/>
        </patternFill>
      </fill>
    </dxf>
    <dxf>
      <fill>
        <patternFill patternType="solid">
          <fgColor rgb="FF6DC07B"/>
          <bgColor rgb="FF000000"/>
        </patternFill>
      </fill>
    </dxf>
    <dxf>
      <fill>
        <patternFill patternType="solid">
          <fgColor rgb="FF73C27B"/>
          <bgColor rgb="FF000000"/>
        </patternFill>
      </fill>
    </dxf>
    <dxf>
      <fill>
        <patternFill patternType="solid">
          <fgColor rgb="FF78C47C"/>
          <bgColor rgb="FF000000"/>
        </patternFill>
      </fill>
    </dxf>
    <dxf>
      <fill>
        <patternFill patternType="solid">
          <fgColor rgb="FF89C97D"/>
          <bgColor rgb="FF000000"/>
        </patternFill>
      </fill>
    </dxf>
    <dxf>
      <fill>
        <patternFill patternType="solid">
          <fgColor rgb="FF8CCA7D"/>
          <bgColor rgb="FF000000"/>
        </patternFill>
      </fill>
    </dxf>
    <dxf>
      <fill>
        <patternFill patternType="solid">
          <fgColor rgb="FF8ECA7D"/>
          <bgColor rgb="FF000000"/>
        </patternFill>
      </fill>
    </dxf>
    <dxf>
      <fill>
        <patternFill patternType="solid">
          <fgColor rgb="FF9CCE7E"/>
          <bgColor rgb="FF000000"/>
        </patternFill>
      </fill>
    </dxf>
    <dxf>
      <fill>
        <patternFill patternType="solid">
          <fgColor rgb="FF9FCF7E"/>
          <bgColor rgb="FF000000"/>
        </patternFill>
      </fill>
    </dxf>
    <dxf>
      <fill>
        <patternFill patternType="solid">
          <fgColor rgb="FFA1CF7E"/>
          <bgColor rgb="FF000000"/>
        </patternFill>
      </fill>
    </dxf>
    <dxf>
      <fill>
        <patternFill patternType="solid">
          <fgColor rgb="FFA4D07E"/>
          <bgColor rgb="FF000000"/>
        </patternFill>
      </fill>
    </dxf>
    <dxf>
      <fill>
        <patternFill patternType="solid">
          <fgColor rgb="FFB5D57F"/>
          <bgColor rgb="FF000000"/>
        </patternFill>
      </fill>
    </dxf>
    <dxf>
      <fill>
        <patternFill patternType="solid">
          <fgColor rgb="FFBDD880"/>
          <bgColor rgb="FF000000"/>
        </patternFill>
      </fill>
    </dxf>
    <dxf>
      <fill>
        <patternFill patternType="solid">
          <fgColor rgb="FFC0D980"/>
          <bgColor rgb="FF000000"/>
        </patternFill>
      </fill>
    </dxf>
    <dxf>
      <fill>
        <patternFill patternType="solid">
          <fgColor rgb="FFC2D980"/>
          <bgColor rgb="FF000000"/>
        </patternFill>
      </fill>
    </dxf>
    <dxf>
      <fill>
        <patternFill patternType="solid">
          <fgColor rgb="FFC9DB80"/>
          <bgColor rgb="FF000000"/>
        </patternFill>
      </fill>
    </dxf>
    <dxf>
      <fill>
        <patternFill patternType="solid">
          <fgColor rgb="FFCEDC81"/>
          <bgColor rgb="FF000000"/>
        </patternFill>
      </fill>
    </dxf>
    <dxf>
      <fill>
        <patternFill patternType="solid">
          <fgColor rgb="FFD0DD81"/>
          <bgColor rgb="FF000000"/>
        </patternFill>
      </fill>
    </dxf>
    <dxf>
      <fill>
        <patternFill patternType="solid">
          <fgColor rgb="FFD3DE81"/>
          <bgColor rgb="FF000000"/>
        </patternFill>
      </fill>
    </dxf>
    <dxf>
      <fill>
        <patternFill patternType="solid">
          <fgColor rgb="FFD5DE81"/>
          <bgColor rgb="FF000000"/>
        </patternFill>
      </fill>
    </dxf>
    <dxf>
      <fill>
        <patternFill patternType="solid">
          <fgColor rgb="FFDBE081"/>
          <bgColor rgb="FF000000"/>
        </patternFill>
      </fill>
    </dxf>
    <dxf>
      <fill>
        <patternFill patternType="solid">
          <fgColor rgb="FFEEE683"/>
          <bgColor rgb="FF000000"/>
        </patternFill>
      </fill>
    </dxf>
    <dxf>
      <fill>
        <patternFill patternType="solid">
          <fgColor rgb="FFF6E883"/>
          <bgColor rgb="FF000000"/>
        </patternFill>
      </fill>
    </dxf>
    <dxf>
      <fill>
        <patternFill patternType="solid">
          <fgColor rgb="FFF96F6D"/>
          <bgColor rgb="FF000000"/>
        </patternFill>
      </fill>
    </dxf>
    <dxf>
      <fill>
        <patternFill patternType="solid">
          <fgColor rgb="FFF9E983"/>
          <bgColor rgb="FF000000"/>
        </patternFill>
      </fill>
    </dxf>
    <dxf>
      <fill>
        <patternFill patternType="solid">
          <fgColor rgb="FFFA8471"/>
          <bgColor rgb="FF000000"/>
        </patternFill>
      </fill>
    </dxf>
    <dxf>
      <fill>
        <patternFill patternType="solid">
          <fgColor rgb="FFFB9774"/>
          <bgColor rgb="FF000000"/>
        </patternFill>
      </fill>
    </dxf>
    <dxf>
      <fill>
        <patternFill patternType="solid">
          <fgColor rgb="FFFB9D75"/>
          <bgColor rgb="FF000000"/>
        </patternFill>
      </fill>
    </dxf>
    <dxf>
      <fill>
        <patternFill patternType="solid">
          <fgColor rgb="FFFB9F76"/>
          <bgColor rgb="FF000000"/>
        </patternFill>
      </fill>
    </dxf>
    <dxf>
      <fill>
        <patternFill patternType="solid">
          <fgColor rgb="FFFCA877"/>
          <bgColor rgb="FF000000"/>
        </patternFill>
      </fill>
    </dxf>
    <dxf>
      <fill>
        <patternFill patternType="solid">
          <fgColor rgb="FFFCAD78"/>
          <bgColor rgb="FF000000"/>
        </patternFill>
      </fill>
    </dxf>
    <dxf>
      <fill>
        <patternFill patternType="solid">
          <fgColor rgb="FFFCB27A"/>
          <bgColor rgb="FF000000"/>
        </patternFill>
      </fill>
    </dxf>
    <dxf>
      <fill>
        <patternFill patternType="solid">
          <fgColor rgb="FF70C17B"/>
          <bgColor rgb="FF000000"/>
        </patternFill>
      </fill>
    </dxf>
    <dxf>
      <fill>
        <patternFill patternType="solid">
          <fgColor rgb="FF91CB7D"/>
          <bgColor rgb="FF000000"/>
        </patternFill>
      </fill>
    </dxf>
    <dxf>
      <fill>
        <patternFill patternType="solid">
          <fgColor rgb="FF98CD7E"/>
          <bgColor rgb="FF000000"/>
        </patternFill>
      </fill>
    </dxf>
    <dxf>
      <fill>
        <patternFill patternType="solid">
          <fgColor rgb="FFFA8771"/>
          <bgColor rgb="FF000000"/>
        </patternFill>
      </fill>
    </dxf>
    <dxf>
      <fill>
        <patternFill patternType="solid">
          <fgColor rgb="FFFB9975"/>
          <bgColor rgb="FF000000"/>
        </patternFill>
      </fill>
    </dxf>
    <dxf>
      <fill>
        <patternFill patternType="solid">
          <fgColor rgb="FFFCB47A"/>
          <bgColor rgb="FF000000"/>
        </patternFill>
      </fill>
    </dxf>
    <dxf>
      <fill>
        <patternFill patternType="solid">
          <fgColor rgb="FF79C47C"/>
          <bgColor rgb="FF000000"/>
        </patternFill>
      </fill>
    </dxf>
    <dxf>
      <fill>
        <patternFill patternType="solid">
          <fgColor rgb="FFC7DA80"/>
          <bgColor rgb="FF000000"/>
        </patternFill>
      </fill>
    </dxf>
    <dxf>
      <fill>
        <patternFill patternType="solid">
          <fgColor rgb="FFD2DE81"/>
          <bgColor rgb="FF000000"/>
        </patternFill>
      </fill>
    </dxf>
    <dxf>
      <fill>
        <patternFill patternType="solid">
          <fgColor rgb="FFE8E482"/>
          <bgColor rgb="FF000000"/>
        </patternFill>
      </fill>
    </dxf>
    <dxf>
      <fill>
        <patternFill patternType="solid">
          <fgColor rgb="FFFA8170"/>
          <bgColor rgb="FF000000"/>
        </patternFill>
      </fill>
    </dxf>
    <dxf>
      <fill>
        <patternFill patternType="solid">
          <fgColor rgb="FFFB9B75"/>
          <bgColor rgb="FF000000"/>
        </patternFill>
      </fill>
    </dxf>
    <dxf>
      <fill>
        <patternFill patternType="solid">
          <fgColor rgb="FFFCA677"/>
          <bgColor rgb="FF000000"/>
        </patternFill>
      </fill>
    </dxf>
    <dxf>
      <fill>
        <patternFill patternType="solid">
          <fgColor rgb="FF83C77C"/>
          <bgColor rgb="FF000000"/>
        </patternFill>
      </fill>
    </dxf>
    <dxf>
      <fill>
        <patternFill patternType="solid">
          <fgColor rgb="FF90CB7D"/>
          <bgColor rgb="FF000000"/>
        </patternFill>
      </fill>
    </dxf>
    <dxf>
      <fill>
        <patternFill patternType="solid">
          <fgColor rgb="FFB7D67F"/>
          <bgColor rgb="FF000000"/>
        </patternFill>
      </fill>
    </dxf>
    <dxf>
      <fill>
        <patternFill patternType="solid">
          <fgColor rgb="FFDEE182"/>
          <bgColor rgb="FF000000"/>
        </patternFill>
      </fill>
    </dxf>
    <dxf>
      <fill>
        <patternFill patternType="solid">
          <fgColor rgb="FFFB8F73"/>
          <bgColor rgb="FF000000"/>
        </patternFill>
      </fill>
    </dxf>
    <dxf>
      <fill>
        <patternFill patternType="solid">
          <fgColor rgb="FFFDBA7B"/>
          <bgColor rgb="FF000000"/>
        </patternFill>
      </fill>
    </dxf>
    <dxf>
      <fill>
        <patternFill patternType="solid">
          <fgColor rgb="FFFECD7F"/>
          <bgColor rgb="FF000000"/>
        </patternFill>
      </fill>
    </dxf>
    <dxf>
      <fill>
        <patternFill patternType="solid">
          <fgColor rgb="FF65BE7B"/>
          <bgColor rgb="FF000000"/>
        </patternFill>
      </fill>
    </dxf>
    <dxf>
      <fill>
        <patternFill patternType="solid">
          <fgColor rgb="FF66BF7B"/>
          <bgColor rgb="FF000000"/>
        </patternFill>
      </fill>
    </dxf>
    <dxf>
      <fill>
        <patternFill patternType="solid">
          <fgColor rgb="FF6BC07B"/>
          <bgColor rgb="FF000000"/>
        </patternFill>
      </fill>
    </dxf>
    <dxf>
      <fill>
        <patternFill patternType="solid">
          <fgColor rgb="FF6DC17B"/>
          <bgColor rgb="FF000000"/>
        </patternFill>
      </fill>
    </dxf>
    <dxf>
      <fill>
        <patternFill patternType="solid">
          <fgColor rgb="FF7EC57C"/>
          <bgColor rgb="FF000000"/>
        </patternFill>
      </fill>
    </dxf>
    <dxf>
      <fill>
        <patternFill patternType="solid">
          <fgColor rgb="FF84C77C"/>
          <bgColor rgb="FF000000"/>
        </patternFill>
      </fill>
    </dxf>
    <dxf>
      <fill>
        <patternFill patternType="solid">
          <fgColor rgb="FF8CC97D"/>
          <bgColor rgb="FF000000"/>
        </patternFill>
      </fill>
    </dxf>
    <dxf>
      <fill>
        <patternFill patternType="solid">
          <fgColor rgb="FF92CB7D"/>
          <bgColor rgb="FF000000"/>
        </patternFill>
      </fill>
    </dxf>
    <dxf>
      <fill>
        <patternFill patternType="solid">
          <fgColor rgb="FF96CC7D"/>
          <bgColor rgb="FF000000"/>
        </patternFill>
      </fill>
    </dxf>
    <dxf>
      <fill>
        <patternFill patternType="solid">
          <fgColor rgb="FFAAD27F"/>
          <bgColor rgb="FF000000"/>
        </patternFill>
      </fill>
    </dxf>
    <dxf>
      <fill>
        <patternFill patternType="solid">
          <fgColor rgb="FFABD37F"/>
          <bgColor rgb="FF000000"/>
        </patternFill>
      </fill>
    </dxf>
    <dxf>
      <fill>
        <patternFill patternType="solid">
          <fgColor rgb="FFC8DB80"/>
          <bgColor rgb="FF000000"/>
        </patternFill>
      </fill>
    </dxf>
    <dxf>
      <fill>
        <patternFill patternType="solid">
          <fgColor rgb="FFE6E382"/>
          <bgColor rgb="FF000000"/>
        </patternFill>
      </fill>
    </dxf>
    <dxf>
      <fill>
        <patternFill patternType="solid">
          <fgColor rgb="FFF96E6C"/>
          <bgColor rgb="FF000000"/>
        </patternFill>
      </fill>
    </dxf>
    <dxf>
      <fill>
        <patternFill patternType="solid">
          <fgColor rgb="FFF9776E"/>
          <bgColor rgb="FF000000"/>
        </patternFill>
      </fill>
    </dxf>
    <dxf>
      <fill>
        <patternFill patternType="solid">
          <fgColor rgb="FFFA7F70"/>
          <bgColor rgb="FF000000"/>
        </patternFill>
      </fill>
    </dxf>
    <dxf>
      <fill>
        <patternFill patternType="solid">
          <fgColor rgb="FFFA8B72"/>
          <bgColor rgb="FF000000"/>
        </patternFill>
      </fill>
    </dxf>
    <dxf>
      <fill>
        <patternFill patternType="solid">
          <fgColor rgb="FFFDEA83"/>
          <bgColor rgb="FF000000"/>
        </patternFill>
      </fill>
    </dxf>
    <dxf>
      <fill>
        <patternFill patternType="solid">
          <fgColor rgb="FFFA7D6F"/>
          <bgColor rgb="FF000000"/>
        </patternFill>
      </fill>
    </dxf>
    <dxf>
      <fill>
        <patternFill patternType="solid">
          <fgColor rgb="FFFA8671"/>
          <bgColor rgb="FF000000"/>
        </patternFill>
      </fill>
    </dxf>
    <dxf>
      <fill>
        <patternFill patternType="solid">
          <fgColor rgb="FFFA8871"/>
          <bgColor rgb="FF000000"/>
        </patternFill>
      </fill>
    </dxf>
    <dxf>
      <fill>
        <patternFill patternType="solid">
          <fgColor rgb="FFFA8972"/>
          <bgColor rgb="FF000000"/>
        </patternFill>
      </fill>
    </dxf>
    <dxf>
      <fill>
        <patternFill patternType="solid">
          <fgColor rgb="FFFBA076"/>
          <bgColor rgb="FF000000"/>
        </patternFill>
      </fill>
    </dxf>
    <dxf>
      <fill>
        <patternFill patternType="solid">
          <fgColor rgb="FFFA8D72"/>
          <bgColor rgb="FF000000"/>
        </patternFill>
      </fill>
    </dxf>
    <dxf>
      <fill>
        <patternFill patternType="solid">
          <fgColor rgb="FFA1D07E"/>
          <bgColor rgb="FF000000"/>
        </patternFill>
      </fill>
    </dxf>
    <dxf>
      <fill>
        <patternFill patternType="solid">
          <fgColor rgb="FFDFE282"/>
          <bgColor rgb="FF000000"/>
        </patternFill>
      </fill>
    </dxf>
    <dxf>
      <fill>
        <patternFill patternType="solid">
          <fgColor rgb="FFFB9173"/>
          <bgColor rgb="FF000000"/>
        </patternFill>
      </fill>
    </dxf>
    <dxf>
      <fill>
        <patternFill patternType="solid">
          <fgColor rgb="FFFB9E76"/>
          <bgColor rgb="FF000000"/>
        </patternFill>
      </fill>
    </dxf>
    <dxf>
      <fill>
        <patternFill patternType="solid">
          <fgColor rgb="FF93C47D"/>
          <bgColor rgb="FF000000"/>
        </patternFill>
      </fill>
    </dxf>
    <dxf>
      <fill>
        <patternFill patternType="solid">
          <fgColor rgb="FFB6D7A8"/>
          <bgColor rgb="FF000000"/>
        </patternFill>
      </fill>
    </dxf>
    <dxf>
      <fill>
        <patternFill patternType="solid">
          <fgColor rgb="FFE06666"/>
          <bgColor rgb="FF000000"/>
        </patternFill>
      </fill>
    </dxf>
    <dxf>
      <fill>
        <patternFill patternType="solid">
          <fgColor rgb="FFF4CCCC"/>
          <bgColor rgb="FF000000"/>
        </patternFill>
      </fill>
    </dxf>
    <dxf>
      <fill>
        <patternFill patternType="solid">
          <fgColor rgb="FFF6B26B"/>
          <bgColor rgb="FF000000"/>
        </patternFill>
      </fill>
    </dxf>
    <dxf>
      <fill>
        <patternFill patternType="solid">
          <fgColor rgb="FFF9CB9C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77C47C"/>
          <bgColor rgb="FF000000"/>
        </patternFill>
      </fill>
    </dxf>
    <dxf>
      <fill>
        <patternFill patternType="solid">
          <fgColor rgb="FF85C77C"/>
          <bgColor rgb="FF000000"/>
        </patternFill>
      </fill>
    </dxf>
    <dxf>
      <fill>
        <patternFill patternType="solid">
          <fgColor rgb="FF89C87D"/>
          <bgColor rgb="FF000000"/>
        </patternFill>
      </fill>
    </dxf>
    <dxf>
      <fill>
        <patternFill patternType="solid">
          <fgColor rgb="FF93CB7D"/>
          <bgColor rgb="FF000000"/>
        </patternFill>
      </fill>
    </dxf>
    <dxf>
      <fill>
        <patternFill patternType="solid">
          <fgColor rgb="FF94CC7D"/>
          <bgColor rgb="FF000000"/>
        </patternFill>
      </fill>
    </dxf>
    <dxf>
      <fill>
        <patternFill patternType="solid">
          <fgColor rgb="FF99CD7E"/>
          <bgColor rgb="FF000000"/>
        </patternFill>
      </fill>
    </dxf>
    <dxf>
      <fill>
        <patternFill patternType="solid">
          <fgColor rgb="FF9DCF7E"/>
          <bgColor rgb="FF000000"/>
        </patternFill>
      </fill>
    </dxf>
    <dxf>
      <fill>
        <patternFill patternType="solid">
          <fgColor rgb="FFA8D27F"/>
          <bgColor rgb="FF000000"/>
        </patternFill>
      </fill>
    </dxf>
    <dxf>
      <fill>
        <patternFill patternType="solid">
          <fgColor rgb="FFAFD47F"/>
          <bgColor rgb="FF000000"/>
        </patternFill>
      </fill>
    </dxf>
    <dxf>
      <fill>
        <patternFill patternType="solid">
          <fgColor rgb="FFB6D57F"/>
          <bgColor rgb="FF000000"/>
        </patternFill>
      </fill>
    </dxf>
    <dxf>
      <fill>
        <patternFill patternType="solid">
          <fgColor rgb="FFB9D67F"/>
          <bgColor rgb="FF000000"/>
        </patternFill>
      </fill>
    </dxf>
    <dxf>
      <fill>
        <patternFill patternType="solid">
          <fgColor rgb="FFB9D780"/>
          <bgColor rgb="FF000000"/>
        </patternFill>
      </fill>
    </dxf>
    <dxf>
      <fill>
        <patternFill patternType="solid">
          <fgColor rgb="FFC0D880"/>
          <bgColor rgb="FF000000"/>
        </patternFill>
      </fill>
    </dxf>
    <dxf>
      <fill>
        <patternFill patternType="solid">
          <fgColor rgb="FFC5DA80"/>
          <bgColor rgb="FF000000"/>
        </patternFill>
      </fill>
    </dxf>
    <dxf>
      <fill>
        <patternFill patternType="solid">
          <fgColor rgb="FFCDDC81"/>
          <bgColor rgb="FF000000"/>
        </patternFill>
      </fill>
    </dxf>
    <dxf>
      <fill>
        <patternFill patternType="solid">
          <fgColor rgb="FFCEDD81"/>
          <bgColor rgb="FF000000"/>
        </patternFill>
      </fill>
    </dxf>
    <dxf>
      <fill>
        <patternFill patternType="solid">
          <fgColor rgb="FFD0E0E3"/>
          <bgColor rgb="FF000000"/>
        </patternFill>
      </fill>
    </dxf>
    <dxf>
      <fill>
        <patternFill patternType="solid">
          <fgColor rgb="FFD1DE81"/>
          <bgColor rgb="FF000000"/>
        </patternFill>
      </fill>
    </dxf>
    <dxf>
      <fill>
        <patternFill patternType="solid">
          <fgColor rgb="FFD5DF81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fgColor rgb="FFE0E282"/>
          <bgColor rgb="FF000000"/>
        </patternFill>
      </fill>
    </dxf>
    <dxf>
      <fill>
        <patternFill patternType="solid">
          <fgColor rgb="FFEDE582"/>
          <bgColor rgb="FF000000"/>
        </patternFill>
      </fill>
    </dxf>
    <dxf>
      <fill>
        <patternFill patternType="solid">
          <fgColor rgb="FFEDE683"/>
          <bgColor rgb="FF000000"/>
        </patternFill>
      </fill>
    </dxf>
    <dxf>
      <fill>
        <patternFill patternType="solid">
          <fgColor rgb="FFF1E683"/>
          <bgColor rgb="FF000000"/>
        </patternFill>
      </fill>
    </dxf>
    <dxf>
      <fill>
        <patternFill patternType="solid">
          <fgColor rgb="FFF1E783"/>
          <bgColor rgb="FF000000"/>
        </patternFill>
      </fill>
    </dxf>
    <dxf>
      <fill>
        <patternFill patternType="solid">
          <fgColor rgb="FFF3E783"/>
          <bgColor rgb="FF000000"/>
        </patternFill>
      </fill>
    </dxf>
    <dxf>
      <fill>
        <patternFill patternType="solid">
          <fgColor rgb="FFF4E883"/>
          <bgColor rgb="FF000000"/>
        </patternFill>
      </fill>
    </dxf>
    <dxf>
      <fill>
        <patternFill patternType="solid">
          <fgColor rgb="FFF96B6C"/>
          <bgColor rgb="FF000000"/>
        </patternFill>
      </fill>
    </dxf>
    <dxf>
      <fill>
        <patternFill patternType="solid">
          <fgColor rgb="FFF9716D"/>
          <bgColor rgb="FF000000"/>
        </patternFill>
      </fill>
    </dxf>
    <dxf>
      <fill>
        <patternFill patternType="solid">
          <fgColor rgb="FFF9736D"/>
          <bgColor rgb="FF000000"/>
        </patternFill>
      </fill>
    </dxf>
    <dxf>
      <fill>
        <patternFill patternType="solid">
          <fgColor rgb="FFF9756E"/>
          <bgColor rgb="FF000000"/>
        </patternFill>
      </fill>
    </dxf>
    <dxf>
      <fill>
        <patternFill patternType="solid">
          <fgColor rgb="FFFA8571"/>
          <bgColor rgb="FF000000"/>
        </patternFill>
      </fill>
    </dxf>
    <dxf>
      <fill>
        <patternFill patternType="solid">
          <fgColor rgb="FFFA8971"/>
          <bgColor rgb="FF000000"/>
        </patternFill>
      </fill>
    </dxf>
    <dxf>
      <fill>
        <patternFill patternType="solid">
          <fgColor rgb="FFFA8C72"/>
          <bgColor rgb="FF000000"/>
        </patternFill>
      </fill>
    </dxf>
    <dxf>
      <fill>
        <patternFill patternType="solid">
          <fgColor rgb="FFFA8F73"/>
          <bgColor rgb="FF000000"/>
        </patternFill>
      </fill>
    </dxf>
    <dxf>
      <fill>
        <patternFill patternType="solid">
          <fgColor rgb="FFFB9073"/>
          <bgColor rgb="FF000000"/>
        </patternFill>
      </fill>
    </dxf>
    <dxf>
      <fill>
        <patternFill patternType="solid">
          <fgColor rgb="FFFB9574"/>
          <bgColor rgb="FF000000"/>
        </patternFill>
      </fill>
    </dxf>
    <dxf>
      <fill>
        <patternFill patternType="solid">
          <fgColor rgb="FFFB9674"/>
          <bgColor rgb="FF000000"/>
        </patternFill>
      </fill>
    </dxf>
    <dxf>
      <fill>
        <patternFill patternType="solid">
          <fgColor rgb="FFFCA176"/>
          <bgColor rgb="FF000000"/>
        </patternFill>
      </fill>
    </dxf>
    <dxf>
      <fill>
        <patternFill patternType="solid">
          <fgColor rgb="FFFCA477"/>
          <bgColor rgb="FF000000"/>
        </patternFill>
      </fill>
    </dxf>
    <dxf>
      <fill>
        <patternFill patternType="solid">
          <fgColor rgb="FFFCA878"/>
          <bgColor rgb="FF000000"/>
        </patternFill>
      </fill>
    </dxf>
    <dxf>
      <fill>
        <patternFill patternType="solid">
          <fgColor rgb="FFFCAB78"/>
          <bgColor rgb="FF000000"/>
        </patternFill>
      </fill>
    </dxf>
    <dxf>
      <fill>
        <patternFill patternType="solid">
          <fgColor rgb="FFFCAD79"/>
          <bgColor rgb="FF000000"/>
        </patternFill>
      </fill>
    </dxf>
    <dxf>
      <fill>
        <patternFill patternType="solid">
          <fgColor rgb="FFFCAF79"/>
          <bgColor rgb="FF000000"/>
        </patternFill>
      </fill>
    </dxf>
    <dxf>
      <fill>
        <patternFill patternType="solid">
          <fgColor rgb="FFFCB37A"/>
          <bgColor rgb="FF000000"/>
        </patternFill>
      </fill>
    </dxf>
    <dxf>
      <fill>
        <patternFill patternType="solid">
          <fgColor rgb="FFFCEA83"/>
          <bgColor rgb="FF000000"/>
        </patternFill>
      </fill>
    </dxf>
    <dxf>
      <fill>
        <patternFill patternType="solid">
          <fgColor rgb="FFFDBD7B"/>
          <bgColor rgb="FF000000"/>
        </patternFill>
      </fill>
    </dxf>
    <dxf>
      <fill>
        <patternFill patternType="solid">
          <fgColor rgb="FFFDBD7C"/>
          <bgColor rgb="FF000000"/>
        </patternFill>
      </fill>
    </dxf>
    <dxf>
      <fill>
        <patternFill patternType="solid">
          <fgColor rgb="FFFEC67D"/>
          <bgColor rgb="FF000000"/>
        </patternFill>
      </fill>
    </dxf>
    <dxf>
      <fill>
        <patternFill patternType="solid">
          <fgColor rgb="FFFECC7F"/>
          <bgColor rgb="FF000000"/>
        </patternFill>
      </fill>
    </dxf>
    <dxf>
      <fill>
        <patternFill patternType="solid">
          <fgColor rgb="FFF96F6C"/>
          <bgColor rgb="FF000000"/>
        </patternFill>
      </fill>
    </dxf>
    <dxf>
      <fill>
        <patternFill patternType="solid">
          <fgColor rgb="FFFB9273"/>
          <bgColor rgb="FF000000"/>
        </patternFill>
      </fill>
    </dxf>
    <dxf>
      <fill>
        <patternFill patternType="solid">
          <fgColor rgb="FFFB9875"/>
          <bgColor rgb="FF000000"/>
        </patternFill>
      </fill>
    </dxf>
    <dxf>
      <fill>
        <patternFill patternType="solid">
          <fgColor rgb="FFFB9C75"/>
          <bgColor rgb="FF000000"/>
        </patternFill>
      </fill>
    </dxf>
    <dxf>
      <fill>
        <patternFill patternType="solid">
          <fgColor rgb="FFFA8070"/>
          <bgColor rgb="FF000000"/>
        </patternFill>
      </fill>
    </dxf>
    <dxf>
      <fill>
        <patternFill patternType="solid">
          <fgColor rgb="FFFB9373"/>
          <bgColor rgb="FF000000"/>
        </patternFill>
      </fill>
    </dxf>
    <dxf>
      <fill>
        <patternFill patternType="solid">
          <fgColor rgb="FFFB9474"/>
          <bgColor rgb="FF000000"/>
        </patternFill>
      </fill>
    </dxf>
    <dxf>
      <fill>
        <patternFill patternType="solid">
          <fgColor rgb="FFFCA376"/>
          <bgColor rgb="FF000000"/>
        </patternFill>
      </fill>
    </dxf>
    <dxf>
      <fill>
        <patternFill patternType="solid">
          <fgColor rgb="FFF97A6F"/>
          <bgColor rgb="FF000000"/>
        </patternFill>
      </fill>
    </dxf>
    <dxf>
      <fill>
        <patternFill patternType="solid">
          <fgColor rgb="FFF9766E"/>
          <bgColor rgb="FF000000"/>
        </patternFill>
      </fill>
    </dxf>
    <dxf>
      <fill>
        <patternFill patternType="solid">
          <fgColor rgb="FFF9786E"/>
          <bgColor rgb="FF000000"/>
        </patternFill>
      </fill>
    </dxf>
    <dxf>
      <fill>
        <patternFill patternType="solid">
          <fgColor rgb="FF1F4E78"/>
          <bgColor rgb="FF000000"/>
        </patternFill>
      </fill>
    </dxf>
    <dxf>
      <fill>
        <patternFill patternType="solid">
          <fgColor rgb="FFD9E1F2"/>
          <bgColor rgb="FF000000"/>
        </patternFill>
      </fill>
    </dxf>
    <dxf>
      <fill>
        <patternFill patternType="solid">
          <fgColor rgb="FF9ACE7E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5B3D7"/>
      <rgbColor rgb="FF993366"/>
      <rgbColor rgb="FFFFF2CC"/>
      <rgbColor rgb="FFC0E6F5"/>
      <rgbColor rgb="FF741B47"/>
      <rgbColor rgb="FFE06666"/>
      <rgbColor rgb="FF0066CC"/>
      <rgbColor rgb="FFD9D2E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D0E0E3"/>
      <rgbColor rgb="FFD9D9D9"/>
      <rgbColor rgb="FF9FC5E8"/>
      <rgbColor rgb="FFF6B26B"/>
      <rgbColor rgb="FFEAD1DC"/>
      <rgbColor rgb="FFF9CB9C"/>
      <rgbColor rgb="FF3366FF"/>
      <rgbColor rgb="FF44B3E1"/>
      <rgbColor rgb="FFB6D7A8"/>
      <rgbColor rgb="FFF4CCCC"/>
      <rgbColor rgb="FFFF9900"/>
      <rgbColor rgb="FFFF6600"/>
      <rgbColor rgb="FF595959"/>
      <rgbColor rgb="FF93C47D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P26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2" min="2" style="0" width="5.38"/>
    <col collapsed="false" customWidth="true" hidden="false" outlineLevel="0" max="3" min="3" style="0" width="8.25"/>
    <col collapsed="false" customWidth="true" hidden="false" outlineLevel="0" max="4" min="4" style="0" width="26.12"/>
    <col collapsed="false" customWidth="true" hidden="false" outlineLevel="0" max="6" min="5" style="0" width="18"/>
    <col collapsed="false" customWidth="true" hidden="false" outlineLevel="0" max="7" min="7" style="0" width="9.75"/>
    <col collapsed="false" customWidth="true" hidden="false" outlineLevel="0" max="8" min="8" style="0" width="6.51"/>
    <col collapsed="false" customWidth="true" hidden="false" outlineLevel="0" max="9" min="9" style="0" width="9.38"/>
    <col collapsed="false" customWidth="true" hidden="false" outlineLevel="0" max="10" min="10" style="0" width="10.75"/>
    <col collapsed="false" customWidth="true" hidden="false" outlineLevel="0" max="11" min="11" style="0" width="10.25"/>
    <col collapsed="false" customWidth="true" hidden="false" outlineLevel="0" max="12" min="12" style="0" width="7"/>
    <col collapsed="false" customWidth="true" hidden="false" outlineLevel="0" max="13" min="13" style="0" width="16.5"/>
    <col collapsed="false" customWidth="true" hidden="false" outlineLevel="0" max="14" min="14" style="0" width="17.13"/>
    <col collapsed="false" customWidth="true" hidden="false" outlineLevel="0" max="15" min="15" style="0" width="17.75"/>
    <col collapsed="false" customWidth="true" hidden="false" outlineLevel="0" max="16" min="16" style="0" width="9.38"/>
  </cols>
  <sheetData>
    <row r="1" customFormat="false" ht="15.75" hidden="false" customHeight="false" outlineLevel="0" collapsed="false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2" t="s">
        <v>6</v>
      </c>
      <c r="I1" s="3" t="s">
        <v>7</v>
      </c>
      <c r="J1" s="3" t="s">
        <v>8</v>
      </c>
      <c r="K1" s="3" t="s">
        <v>9</v>
      </c>
      <c r="L1" s="4" t="s">
        <v>10</v>
      </c>
      <c r="M1" s="5" t="s">
        <v>11</v>
      </c>
      <c r="N1" s="6" t="s">
        <v>12</v>
      </c>
      <c r="O1" s="7" t="s">
        <v>13</v>
      </c>
      <c r="P1" s="8" t="s">
        <v>14</v>
      </c>
    </row>
    <row r="2" customFormat="false" ht="15.75" hidden="false" customHeight="false" outlineLevel="0" collapsed="false">
      <c r="B2" s="9" t="s">
        <v>15</v>
      </c>
      <c r="C2" s="10" t="s">
        <v>16</v>
      </c>
      <c r="D2" s="9" t="s">
        <v>17</v>
      </c>
      <c r="E2" s="11" t="str">
        <f aca="false">IF(D2="","",IFERROR(INDEX('CLM &amp; IM Mapping'!$B$2:$B$270,MATCH(TRIM(D2),'CLM &amp; IM Mapping'!$A$2:$A$270,0)),"Not Mapped"))</f>
        <v>Saddam Hussain</v>
      </c>
      <c r="F2" s="11" t="str">
        <f aca="false">IF(D2="","",IFERROR(INDEX('CLM &amp; IM Mapping'!$C$2:$C$270,MATCH(TRIM(D2),'CLM &amp; IM Mapping'!$A$2:$A$270,0)),"Not Mapped"))</f>
        <v>Un Mapped</v>
      </c>
      <c r="G2" s="10" t="s">
        <v>18</v>
      </c>
      <c r="H2" s="12" t="n">
        <v>-22532</v>
      </c>
      <c r="I2" s="12" t="n">
        <v>2440</v>
      </c>
      <c r="J2" s="12" t="n">
        <v>0</v>
      </c>
      <c r="K2" s="12" t="n">
        <v>0</v>
      </c>
      <c r="L2" s="12" t="n">
        <v>697</v>
      </c>
      <c r="M2" s="12" t="n">
        <v>0</v>
      </c>
      <c r="N2" s="12" t="n">
        <v>0</v>
      </c>
      <c r="O2" s="12" t="n">
        <v>0</v>
      </c>
      <c r="P2" s="12" t="n">
        <v>-19395</v>
      </c>
    </row>
    <row r="3" customFormat="false" ht="15.75" hidden="false" customHeight="false" outlineLevel="0" collapsed="false">
      <c r="B3" s="9" t="s">
        <v>15</v>
      </c>
      <c r="C3" s="10" t="s">
        <v>16</v>
      </c>
      <c r="D3" s="9" t="s">
        <v>19</v>
      </c>
      <c r="E3" s="11" t="str">
        <f aca="false">IF(D3="","",IFERROR(INDEX('CLM &amp; IM Mapping'!$B$2:$B$270,MATCH(TRIM(D3),'CLM &amp; IM Mapping'!$A$2:$A$270,0)),"Not Mapped"))</f>
        <v>Ashwath S</v>
      </c>
      <c r="F3" s="11" t="str">
        <f aca="false">IF(D3="","",IFERROR(INDEX('CLM &amp; IM Mapping'!$C$2:$C$270,MATCH(TRIM(D3),'CLM &amp; IM Mapping'!$A$2:$A$270,0)),"Not Mapped"))</f>
        <v>Kantha Kumar</v>
      </c>
      <c r="G3" s="10" t="s">
        <v>18</v>
      </c>
      <c r="H3" s="12" t="n">
        <v>21341</v>
      </c>
      <c r="I3" s="12" t="n">
        <v>9514</v>
      </c>
      <c r="J3" s="12" t="n">
        <v>308</v>
      </c>
      <c r="K3" s="12" t="n">
        <v>0</v>
      </c>
      <c r="L3" s="12" t="n">
        <v>0</v>
      </c>
      <c r="M3" s="12" t="n">
        <v>0</v>
      </c>
      <c r="N3" s="12" t="n">
        <v>1394</v>
      </c>
      <c r="O3" s="12" t="n">
        <v>0</v>
      </c>
      <c r="P3" s="12" t="n">
        <v>32557</v>
      </c>
    </row>
    <row r="4" customFormat="false" ht="15.75" hidden="false" customHeight="false" outlineLevel="0" collapsed="false">
      <c r="B4" s="9" t="s">
        <v>15</v>
      </c>
      <c r="C4" s="10" t="s">
        <v>16</v>
      </c>
      <c r="D4" s="9" t="s">
        <v>20</v>
      </c>
      <c r="E4" s="11" t="str">
        <f aca="false">IF(D4="","",IFERROR(INDEX('CLM &amp; IM Mapping'!$B$2:$B$270,MATCH(TRIM(D4),'CLM &amp; IM Mapping'!$A$2:$A$270,0)),"Not Mapped"))</f>
        <v>Vijay M</v>
      </c>
      <c r="F4" s="11" t="str">
        <f aca="false">IF(D4="","",IFERROR(INDEX('CLM &amp; IM Mapping'!$C$2:$C$270,MATCH(TRIM(D4),'CLM &amp; IM Mapping'!$A$2:$A$270,0)),"Not Mapped"))</f>
        <v>Kantha Kumar</v>
      </c>
      <c r="G4" s="10" t="s">
        <v>18</v>
      </c>
      <c r="H4" s="12" t="n">
        <v>-11044</v>
      </c>
      <c r="I4" s="12" t="n">
        <v>4177</v>
      </c>
      <c r="J4" s="12" t="n">
        <v>0</v>
      </c>
      <c r="K4" s="12" t="n">
        <v>197</v>
      </c>
      <c r="L4" s="12" t="n">
        <v>686</v>
      </c>
      <c r="M4" s="12" t="n">
        <v>0</v>
      </c>
      <c r="N4" s="12" t="n">
        <v>0</v>
      </c>
      <c r="O4" s="12" t="n">
        <v>348</v>
      </c>
      <c r="P4" s="12" t="n">
        <v>-5636</v>
      </c>
    </row>
    <row r="5" customFormat="false" ht="15.75" hidden="false" customHeight="false" outlineLevel="0" collapsed="false">
      <c r="B5" s="9" t="s">
        <v>15</v>
      </c>
      <c r="C5" s="10" t="s">
        <v>16</v>
      </c>
      <c r="D5" s="9" t="s">
        <v>21</v>
      </c>
      <c r="E5" s="11" t="str">
        <f aca="false">IF(D5="","",IFERROR(INDEX('CLM &amp; IM Mapping'!$B$2:$B$270,MATCH(TRIM(D5),'CLM &amp; IM Mapping'!$A$2:$A$270,0)),"Not Mapped"))</f>
        <v>Arun Raj</v>
      </c>
      <c r="F5" s="11" t="str">
        <f aca="false">IF(D5="","",IFERROR(INDEX('CLM &amp; IM Mapping'!$C$2:$C$270,MATCH(TRIM(D5),'CLM &amp; IM Mapping'!$A$2:$A$270,0)),"Not Mapped"))</f>
        <v>Simon Manoharan</v>
      </c>
      <c r="G5" s="10" t="s">
        <v>22</v>
      </c>
      <c r="H5" s="12" t="n">
        <v>-2036</v>
      </c>
      <c r="I5" s="12" t="n">
        <v>111</v>
      </c>
      <c r="J5" s="12" t="n">
        <v>0</v>
      </c>
      <c r="K5" s="12" t="n">
        <v>0</v>
      </c>
      <c r="L5" s="12" t="n">
        <v>523</v>
      </c>
      <c r="M5" s="12" t="n">
        <v>0</v>
      </c>
      <c r="N5" s="12" t="n">
        <v>17559</v>
      </c>
      <c r="O5" s="12" t="n">
        <v>0</v>
      </c>
      <c r="P5" s="12" t="n">
        <v>16158</v>
      </c>
    </row>
    <row r="6" customFormat="false" ht="15.75" hidden="false" customHeight="false" outlineLevel="0" collapsed="false">
      <c r="B6" s="9" t="s">
        <v>15</v>
      </c>
      <c r="C6" s="10" t="s">
        <v>16</v>
      </c>
      <c r="D6" s="9" t="s">
        <v>23</v>
      </c>
      <c r="E6" s="11" t="str">
        <f aca="false">IF(D6="","",IFERROR(INDEX('CLM &amp; IM Mapping'!$B$2:$B$270,MATCH(TRIM(D6),'CLM &amp; IM Mapping'!$A$2:$A$270,0)),"Not Mapped"))</f>
        <v>Akshay P</v>
      </c>
      <c r="F6" s="11" t="str">
        <f aca="false">IF(D6="","",IFERROR(INDEX('CLM &amp; IM Mapping'!$C$2:$C$270,MATCH(TRIM(D6),'CLM &amp; IM Mapping'!$A$2:$A$270,0)),"Not Mapped"))</f>
        <v>Srittam Dhal</v>
      </c>
      <c r="G6" s="10" t="s">
        <v>18</v>
      </c>
      <c r="H6" s="12" t="n">
        <v>-1395</v>
      </c>
      <c r="I6" s="12" t="n">
        <v>8104</v>
      </c>
      <c r="J6" s="12" t="n">
        <v>0</v>
      </c>
      <c r="K6" s="12" t="n">
        <v>0</v>
      </c>
      <c r="L6" s="12" t="n">
        <v>573</v>
      </c>
      <c r="M6" s="12" t="n">
        <v>0</v>
      </c>
      <c r="N6" s="12" t="n">
        <v>0</v>
      </c>
      <c r="O6" s="12" t="n">
        <v>0</v>
      </c>
      <c r="P6" s="12" t="n">
        <v>7282</v>
      </c>
    </row>
    <row r="7" customFormat="false" ht="15.75" hidden="false" customHeight="false" outlineLevel="0" collapsed="false">
      <c r="B7" s="9" t="s">
        <v>15</v>
      </c>
      <c r="C7" s="10" t="s">
        <v>16</v>
      </c>
      <c r="D7" s="9" t="s">
        <v>24</v>
      </c>
      <c r="E7" s="11" t="str">
        <f aca="false">IF(D7="","",IFERROR(INDEX('CLM &amp; IM Mapping'!$B$2:$B$270,MATCH(TRIM(D7),'CLM &amp; IM Mapping'!$A$2:$A$270,0)),"Not Mapped"))</f>
        <v>Balaji G</v>
      </c>
      <c r="F7" s="11" t="str">
        <f aca="false">IF(D7="","",IFERROR(INDEX('CLM &amp; IM Mapping'!$C$2:$C$270,MATCH(TRIM(D7),'CLM &amp; IM Mapping'!$A$2:$A$270,0)),"Not Mapped"))</f>
        <v>Mohammed Akbar</v>
      </c>
      <c r="G7" s="10" t="s">
        <v>18</v>
      </c>
      <c r="H7" s="12" t="n">
        <v>-46809</v>
      </c>
      <c r="I7" s="12" t="n">
        <v>291</v>
      </c>
      <c r="J7" s="12" t="n">
        <v>0</v>
      </c>
      <c r="K7" s="12" t="n">
        <v>0</v>
      </c>
      <c r="L7" s="12" t="n">
        <v>179</v>
      </c>
      <c r="M7" s="12" t="n">
        <v>0</v>
      </c>
      <c r="N7" s="12" t="n">
        <v>1166</v>
      </c>
      <c r="O7" s="12" t="n">
        <v>0</v>
      </c>
      <c r="P7" s="12" t="n">
        <v>-45174</v>
      </c>
    </row>
    <row r="8" customFormat="false" ht="15.75" hidden="false" customHeight="false" outlineLevel="0" collapsed="false">
      <c r="B8" s="9" t="s">
        <v>15</v>
      </c>
      <c r="C8" s="10" t="s">
        <v>16</v>
      </c>
      <c r="D8" s="9" t="s">
        <v>25</v>
      </c>
      <c r="E8" s="11" t="str">
        <f aca="false">IF(D8="","",IFERROR(INDEX('CLM &amp; IM Mapping'!$B$2:$B$270,MATCH(TRIM(D8),'CLM &amp; IM Mapping'!$A$2:$A$270,0)),"Not Mapped"))</f>
        <v>Sundaresh S</v>
      </c>
      <c r="F8" s="11" t="str">
        <f aca="false">IF(D8="","",IFERROR(INDEX('CLM &amp; IM Mapping'!$C$2:$C$270,MATCH(TRIM(D8),'CLM &amp; IM Mapping'!$A$2:$A$270,0)),"Not Mapped"))</f>
        <v>Un Mapped</v>
      </c>
      <c r="G8" s="10" t="s">
        <v>18</v>
      </c>
      <c r="H8" s="12" t="n">
        <v>-14078</v>
      </c>
      <c r="I8" s="12" t="n">
        <v>1038</v>
      </c>
      <c r="J8" s="12" t="n">
        <v>0</v>
      </c>
      <c r="K8" s="12" t="n">
        <v>0</v>
      </c>
      <c r="L8" s="12" t="n">
        <v>62</v>
      </c>
      <c r="M8" s="12" t="n">
        <v>0</v>
      </c>
      <c r="N8" s="12" t="n">
        <v>1375</v>
      </c>
      <c r="O8" s="12" t="n">
        <v>506</v>
      </c>
      <c r="P8" s="12" t="n">
        <v>-11098</v>
      </c>
    </row>
    <row r="9" customFormat="false" ht="15.75" hidden="false" customHeight="false" outlineLevel="0" collapsed="false">
      <c r="B9" s="9" t="s">
        <v>15</v>
      </c>
      <c r="C9" s="10" t="s">
        <v>16</v>
      </c>
      <c r="D9" s="9" t="s">
        <v>26</v>
      </c>
      <c r="E9" s="11" t="str">
        <f aca="false">IF(D9="","",IFERROR(INDEX('CLM &amp; IM Mapping'!$B$2:$B$270,MATCH(TRIM(D9),'CLM &amp; IM Mapping'!$A$2:$A$270,0)),"Not Mapped"))</f>
        <v>Suhas N</v>
      </c>
      <c r="F9" s="11" t="str">
        <f aca="false">IF(D9="","",IFERROR(INDEX('CLM &amp; IM Mapping'!$C$2:$C$270,MATCH(TRIM(D9),'CLM &amp; IM Mapping'!$A$2:$A$270,0)),"Not Mapped"))</f>
        <v>Aravind S</v>
      </c>
      <c r="G9" s="10" t="s">
        <v>18</v>
      </c>
      <c r="H9" s="12" t="n">
        <v>-12944</v>
      </c>
      <c r="I9" s="12" t="n">
        <v>4491</v>
      </c>
      <c r="J9" s="12" t="n">
        <v>0</v>
      </c>
      <c r="K9" s="12" t="n">
        <v>648</v>
      </c>
      <c r="L9" s="12" t="n">
        <v>0</v>
      </c>
      <c r="M9" s="12" t="n">
        <v>0</v>
      </c>
      <c r="N9" s="12" t="n">
        <v>0</v>
      </c>
      <c r="O9" s="12" t="n">
        <v>0</v>
      </c>
      <c r="P9" s="12" t="n">
        <v>-7805</v>
      </c>
    </row>
    <row r="10" customFormat="false" ht="15.75" hidden="false" customHeight="false" outlineLevel="0" collapsed="false">
      <c r="B10" s="9" t="s">
        <v>15</v>
      </c>
      <c r="C10" s="10" t="s">
        <v>16</v>
      </c>
      <c r="D10" s="9" t="s">
        <v>27</v>
      </c>
      <c r="E10" s="11" t="str">
        <f aca="false">IF(D10="","",IFERROR(INDEX('CLM &amp; IM Mapping'!$B$2:$B$270,MATCH(TRIM(D10),'CLM &amp; IM Mapping'!$A$2:$A$270,0)),"Not Mapped"))</f>
        <v>Arun Raj</v>
      </c>
      <c r="F10" s="11" t="str">
        <f aca="false">IF(D10="","",IFERROR(INDEX('CLM &amp; IM Mapping'!$C$2:$C$270,MATCH(TRIM(D10),'CLM &amp; IM Mapping'!$A$2:$A$270,0)),"Not Mapped"))</f>
        <v>Simon Manoharan</v>
      </c>
      <c r="G10" s="10" t="s">
        <v>22</v>
      </c>
      <c r="H10" s="12" t="n">
        <v>18075</v>
      </c>
      <c r="I10" s="12" t="n">
        <v>115931</v>
      </c>
      <c r="J10" s="12" t="n">
        <v>-13909</v>
      </c>
      <c r="K10" s="12" t="n">
        <v>463</v>
      </c>
      <c r="L10" s="12" t="n">
        <v>14666</v>
      </c>
      <c r="M10" s="12" t="n">
        <v>0</v>
      </c>
      <c r="N10" s="12" t="n">
        <v>0</v>
      </c>
      <c r="O10" s="12" t="n">
        <v>0</v>
      </c>
      <c r="P10" s="12" t="n">
        <v>135225</v>
      </c>
    </row>
    <row r="11" customFormat="false" ht="15.75" hidden="false" customHeight="false" outlineLevel="0" collapsed="false">
      <c r="B11" s="9" t="s">
        <v>15</v>
      </c>
      <c r="C11" s="10" t="s">
        <v>16</v>
      </c>
      <c r="D11" s="9" t="s">
        <v>28</v>
      </c>
      <c r="E11" s="11" t="str">
        <f aca="false">IF(D11="","",IFERROR(INDEX('CLM &amp; IM Mapping'!$B$2:$B$270,MATCH(TRIM(D11),'CLM &amp; IM Mapping'!$A$2:$A$270,0)),"Not Mapped"))</f>
        <v>Ravishankar gowda</v>
      </c>
      <c r="F11" s="11" t="str">
        <f aca="false">IF(D11="","",IFERROR(INDEX('CLM &amp; IM Mapping'!$C$2:$C$270,MATCH(TRIM(D11),'CLM &amp; IM Mapping'!$A$2:$A$270,0)),"Not Mapped"))</f>
        <v>Kishor K</v>
      </c>
      <c r="G11" s="10" t="s">
        <v>18</v>
      </c>
      <c r="H11" s="12" t="n">
        <v>-12397</v>
      </c>
      <c r="I11" s="12" t="n">
        <v>9854</v>
      </c>
      <c r="J11" s="12" t="n">
        <v>0</v>
      </c>
      <c r="K11" s="12" t="n">
        <v>129</v>
      </c>
      <c r="L11" s="12" t="n">
        <v>321</v>
      </c>
      <c r="M11" s="12" t="n">
        <v>0</v>
      </c>
      <c r="N11" s="12" t="n">
        <v>165</v>
      </c>
      <c r="O11" s="12" t="n">
        <v>0</v>
      </c>
      <c r="P11" s="12" t="n">
        <v>-1928</v>
      </c>
    </row>
    <row r="12" customFormat="false" ht="15.75" hidden="false" customHeight="false" outlineLevel="0" collapsed="false">
      <c r="B12" s="9" t="s">
        <v>15</v>
      </c>
      <c r="C12" s="10" t="s">
        <v>16</v>
      </c>
      <c r="D12" s="9" t="s">
        <v>29</v>
      </c>
      <c r="E12" s="11" t="str">
        <f aca="false">IF(D12="","",IFERROR(INDEX('CLM &amp; IM Mapping'!$B$2:$B$270,MATCH(TRIM(D12),'CLM &amp; IM Mapping'!$A$2:$A$270,0)),"Not Mapped"))</f>
        <v>Rizwan Ahmed</v>
      </c>
      <c r="F12" s="11" t="str">
        <f aca="false">IF(D12="","",IFERROR(INDEX('CLM &amp; IM Mapping'!$C$2:$C$270,MATCH(TRIM(D12),'CLM &amp; IM Mapping'!$A$2:$A$270,0)),"Not Mapped"))</f>
        <v>Un Mapped</v>
      </c>
      <c r="G12" s="10" t="s">
        <v>18</v>
      </c>
      <c r="H12" s="12" t="n">
        <v>-10959</v>
      </c>
      <c r="I12" s="12" t="n">
        <v>3796</v>
      </c>
      <c r="J12" s="12" t="n">
        <v>0</v>
      </c>
      <c r="K12" s="12" t="n">
        <v>260</v>
      </c>
      <c r="L12" s="12" t="n">
        <v>73</v>
      </c>
      <c r="M12" s="12" t="n">
        <v>0</v>
      </c>
      <c r="N12" s="12" t="n">
        <v>0</v>
      </c>
      <c r="O12" s="12" t="n">
        <v>0</v>
      </c>
      <c r="P12" s="12" t="n">
        <v>-6830</v>
      </c>
    </row>
    <row r="13" customFormat="false" ht="15.75" hidden="false" customHeight="false" outlineLevel="0" collapsed="false">
      <c r="B13" s="9" t="s">
        <v>15</v>
      </c>
      <c r="C13" s="10" t="s">
        <v>16</v>
      </c>
      <c r="D13" s="9" t="s">
        <v>30</v>
      </c>
      <c r="E13" s="11" t="str">
        <f aca="false">IF(D13="","",IFERROR(INDEX('CLM &amp; IM Mapping'!$B$2:$B$270,MATCH(TRIM(D13),'CLM &amp; IM Mapping'!$A$2:$A$270,0)),"Not Mapped"))</f>
        <v>Ravishankar gowda</v>
      </c>
      <c r="F13" s="11" t="str">
        <f aca="false">IF(D13="","",IFERROR(INDEX('CLM &amp; IM Mapping'!$C$2:$C$270,MATCH(TRIM(D13),'CLM &amp; IM Mapping'!$A$2:$A$270,0)),"Not Mapped"))</f>
        <v>Kishor K</v>
      </c>
      <c r="G13" s="10" t="s">
        <v>18</v>
      </c>
      <c r="H13" s="12" t="n">
        <v>-1992</v>
      </c>
      <c r="I13" s="12" t="n">
        <v>3967</v>
      </c>
      <c r="J13" s="12" t="n">
        <v>0</v>
      </c>
      <c r="K13" s="12" t="n">
        <v>0</v>
      </c>
      <c r="L13" s="12" t="n">
        <v>0</v>
      </c>
      <c r="M13" s="12" t="n">
        <v>0</v>
      </c>
      <c r="N13" s="12" t="n">
        <v>0</v>
      </c>
      <c r="O13" s="12" t="n">
        <v>0</v>
      </c>
      <c r="P13" s="12" t="n">
        <v>1975</v>
      </c>
    </row>
    <row r="14" customFormat="false" ht="15.75" hidden="false" customHeight="false" outlineLevel="0" collapsed="false">
      <c r="B14" s="9" t="s">
        <v>15</v>
      </c>
      <c r="C14" s="10" t="s">
        <v>31</v>
      </c>
      <c r="D14" s="9" t="s">
        <v>32</v>
      </c>
      <c r="E14" s="11" t="str">
        <f aca="false">IF(D14="","",IFERROR(INDEX('CLM &amp; IM Mapping'!$B$2:$B$270,MATCH(TRIM(D14),'CLM &amp; IM Mapping'!$A$2:$A$270,0)),"Not Mapped"))</f>
        <v>Santhosha M</v>
      </c>
      <c r="F14" s="11" t="str">
        <f aca="false">IF(D14="","",IFERROR(INDEX('CLM &amp; IM Mapping'!$C$2:$C$270,MATCH(TRIM(D14),'CLM &amp; IM Mapping'!$A$2:$A$270,0)),"Not Mapped"))</f>
        <v>Aravind S</v>
      </c>
      <c r="G14" s="10" t="s">
        <v>18</v>
      </c>
      <c r="H14" s="12" t="n">
        <v>-15</v>
      </c>
      <c r="I14" s="12" t="n">
        <v>415</v>
      </c>
      <c r="J14" s="12" t="n">
        <v>0</v>
      </c>
      <c r="K14" s="12" t="n">
        <v>0</v>
      </c>
      <c r="L14" s="12" t="n">
        <v>0</v>
      </c>
      <c r="M14" s="12" t="n">
        <v>0</v>
      </c>
      <c r="N14" s="12" t="n">
        <v>0</v>
      </c>
      <c r="O14" s="12" t="n">
        <v>0</v>
      </c>
      <c r="P14" s="12" t="n">
        <v>400</v>
      </c>
    </row>
    <row r="15" customFormat="false" ht="15.75" hidden="false" customHeight="false" outlineLevel="0" collapsed="false">
      <c r="B15" s="9" t="s">
        <v>15</v>
      </c>
      <c r="C15" s="10" t="s">
        <v>33</v>
      </c>
      <c r="D15" s="9" t="s">
        <v>34</v>
      </c>
      <c r="E15" s="11" t="str">
        <f aca="false">IF(D15="","",IFERROR(INDEX('CLM &amp; IM Mapping'!$B$2:$B$270,MATCH(TRIM(D15),'CLM &amp; IM Mapping'!$A$2:$A$270,0)),"Not Mapped"))</f>
        <v>Vishnu V</v>
      </c>
      <c r="F15" s="11" t="str">
        <f aca="false">IF(D15="","",IFERROR(INDEX('CLM &amp; IM Mapping'!$C$2:$C$270,MATCH(TRIM(D15),'CLM &amp; IM Mapping'!$A$2:$A$270,0)),"Not Mapped"))</f>
        <v>Arivind S</v>
      </c>
      <c r="G15" s="10" t="s">
        <v>18</v>
      </c>
      <c r="H15" s="12" t="n">
        <v>-6649</v>
      </c>
      <c r="I15" s="12" t="n">
        <v>0</v>
      </c>
      <c r="J15" s="12" t="n">
        <v>0</v>
      </c>
      <c r="K15" s="12" t="n">
        <v>0</v>
      </c>
      <c r="L15" s="12" t="n">
        <v>0</v>
      </c>
      <c r="M15" s="12" t="n">
        <v>0</v>
      </c>
      <c r="N15" s="12" t="n">
        <v>0</v>
      </c>
      <c r="O15" s="12" t="n">
        <v>0</v>
      </c>
      <c r="P15" s="12" t="n">
        <v>-6649</v>
      </c>
    </row>
    <row r="16" customFormat="false" ht="15.75" hidden="false" customHeight="false" outlineLevel="0" collapsed="false">
      <c r="B16" s="9" t="s">
        <v>15</v>
      </c>
      <c r="C16" s="10" t="s">
        <v>16</v>
      </c>
      <c r="D16" s="9" t="s">
        <v>35</v>
      </c>
      <c r="E16" s="11" t="str">
        <f aca="false">IF(D16="","",IFERROR(INDEX('CLM &amp; IM Mapping'!$B$2:$B$270,MATCH(TRIM(D16),'CLM &amp; IM Mapping'!$A$2:$A$270,0)),"Not Mapped"))</f>
        <v>Manjunatha V</v>
      </c>
      <c r="F16" s="11" t="str">
        <f aca="false">IF(D16="","",IFERROR(INDEX('CLM &amp; IM Mapping'!$C$2:$C$270,MATCH(TRIM(D16),'CLM &amp; IM Mapping'!$A$2:$A$270,0)),"Not Mapped"))</f>
        <v>Un Mapped</v>
      </c>
      <c r="G16" s="10" t="s">
        <v>18</v>
      </c>
      <c r="H16" s="12" t="n">
        <v>-11184</v>
      </c>
      <c r="I16" s="12" t="n">
        <v>4108</v>
      </c>
      <c r="J16" s="12" t="n">
        <v>0</v>
      </c>
      <c r="K16" s="12" t="n">
        <v>0</v>
      </c>
      <c r="L16" s="12" t="n">
        <v>182</v>
      </c>
      <c r="M16" s="12" t="n">
        <v>0</v>
      </c>
      <c r="N16" s="12" t="n">
        <v>491</v>
      </c>
      <c r="O16" s="12" t="n">
        <v>0</v>
      </c>
      <c r="P16" s="12" t="n">
        <v>-6403</v>
      </c>
    </row>
    <row r="17" customFormat="false" ht="15.75" hidden="false" customHeight="false" outlineLevel="0" collapsed="false">
      <c r="B17" s="9" t="s">
        <v>15</v>
      </c>
      <c r="C17" s="10" t="s">
        <v>16</v>
      </c>
      <c r="D17" s="9" t="s">
        <v>36</v>
      </c>
      <c r="E17" s="11" t="str">
        <f aca="false">IF(D17="","",IFERROR(INDEX('CLM &amp; IM Mapping'!$B$2:$B$270,MATCH(TRIM(D17),'CLM &amp; IM Mapping'!$A$2:$A$270,0)),"Not Mapped"))</f>
        <v>Keshav G</v>
      </c>
      <c r="F17" s="11" t="str">
        <f aca="false">IF(D17="","",IFERROR(INDEX('CLM &amp; IM Mapping'!$C$2:$C$270,MATCH(TRIM(D17),'CLM &amp; IM Mapping'!$A$2:$A$270,0)),"Not Mapped"))</f>
        <v>Un Mapped</v>
      </c>
      <c r="G17" s="10" t="s">
        <v>18</v>
      </c>
      <c r="H17" s="12" t="n">
        <v>-18949</v>
      </c>
      <c r="I17" s="12" t="n">
        <v>6267</v>
      </c>
      <c r="J17" s="12" t="n">
        <v>0</v>
      </c>
      <c r="K17" s="12" t="n">
        <v>0</v>
      </c>
      <c r="L17" s="12" t="n">
        <v>146</v>
      </c>
      <c r="M17" s="12" t="n">
        <v>0</v>
      </c>
      <c r="N17" s="12" t="n">
        <v>0</v>
      </c>
      <c r="O17" s="12" t="n">
        <v>0</v>
      </c>
      <c r="P17" s="12" t="n">
        <v>-12536</v>
      </c>
    </row>
    <row r="18" customFormat="false" ht="15.75" hidden="false" customHeight="false" outlineLevel="0" collapsed="false">
      <c r="B18" s="9" t="s">
        <v>15</v>
      </c>
      <c r="C18" s="10" t="s">
        <v>16</v>
      </c>
      <c r="D18" s="9" t="s">
        <v>37</v>
      </c>
      <c r="E18" s="11" t="str">
        <f aca="false">IF(D18="","",IFERROR(INDEX('CLM &amp; IM Mapping'!$B$2:$B$270,MATCH(TRIM(D18),'CLM &amp; IM Mapping'!$A$2:$A$270,0)),"Not Mapped"))</f>
        <v>Balaji G</v>
      </c>
      <c r="F18" s="11" t="str">
        <f aca="false">IF(D18="","",IFERROR(INDEX('CLM &amp; IM Mapping'!$C$2:$C$270,MATCH(TRIM(D18),'CLM &amp; IM Mapping'!$A$2:$A$270,0)),"Not Mapped"))</f>
        <v>Mohammed Akbar</v>
      </c>
      <c r="G18" s="10" t="s">
        <v>18</v>
      </c>
      <c r="H18" s="12" t="n">
        <v>-482</v>
      </c>
      <c r="I18" s="12" t="n">
        <v>7047</v>
      </c>
      <c r="J18" s="12" t="n">
        <v>0</v>
      </c>
      <c r="K18" s="12" t="n">
        <v>0</v>
      </c>
      <c r="L18" s="12" t="n">
        <v>970</v>
      </c>
      <c r="M18" s="12" t="n">
        <v>0</v>
      </c>
      <c r="N18" s="12" t="n">
        <v>0</v>
      </c>
      <c r="O18" s="12" t="n">
        <v>0</v>
      </c>
      <c r="P18" s="12" t="n">
        <v>7536</v>
      </c>
    </row>
    <row r="19" customFormat="false" ht="15.75" hidden="false" customHeight="false" outlineLevel="0" collapsed="false">
      <c r="B19" s="9" t="s">
        <v>15</v>
      </c>
      <c r="C19" s="10" t="s">
        <v>16</v>
      </c>
      <c r="D19" s="9" t="s">
        <v>38</v>
      </c>
      <c r="E19" s="11" t="str">
        <f aca="false">IF(D19="","",IFERROR(INDEX('CLM &amp; IM Mapping'!$B$2:$B$270,MATCH(TRIM(D19),'CLM &amp; IM Mapping'!$A$2:$A$270,0)),"Not Mapped"))</f>
        <v>Saddam Hussain</v>
      </c>
      <c r="F19" s="11" t="str">
        <f aca="false">IF(D19="","",IFERROR(INDEX('CLM &amp; IM Mapping'!$C$2:$C$270,MATCH(TRIM(D19),'CLM &amp; IM Mapping'!$A$2:$A$270,0)),"Not Mapped"))</f>
        <v>Un Mapped</v>
      </c>
      <c r="G19" s="10" t="s">
        <v>18</v>
      </c>
      <c r="H19" s="12" t="n">
        <v>21968</v>
      </c>
      <c r="I19" s="12" t="n">
        <v>12107</v>
      </c>
      <c r="J19" s="12" t="n">
        <v>0</v>
      </c>
      <c r="K19" s="12" t="n">
        <v>5366</v>
      </c>
      <c r="L19" s="12" t="n">
        <v>0</v>
      </c>
      <c r="M19" s="12" t="n">
        <v>0</v>
      </c>
      <c r="N19" s="12" t="n">
        <v>0</v>
      </c>
      <c r="O19" s="12" t="n">
        <v>0</v>
      </c>
      <c r="P19" s="12" t="n">
        <v>39440</v>
      </c>
    </row>
    <row r="20" customFormat="false" ht="15.75" hidden="false" customHeight="false" outlineLevel="0" collapsed="false">
      <c r="B20" s="9" t="s">
        <v>15</v>
      </c>
      <c r="C20" s="10" t="s">
        <v>16</v>
      </c>
      <c r="D20" s="9" t="s">
        <v>39</v>
      </c>
      <c r="E20" s="11" t="str">
        <f aca="false">IF(D20="","",IFERROR(INDEX('CLM &amp; IM Mapping'!$B$2:$B$270,MATCH(TRIM(D20),'CLM &amp; IM Mapping'!$A$2:$A$270,0)),"Not Mapped"))</f>
        <v>Arun Raj</v>
      </c>
      <c r="F20" s="11" t="str">
        <f aca="false">IF(D20="","",IFERROR(INDEX('CLM &amp; IM Mapping'!$C$2:$C$270,MATCH(TRIM(D20),'CLM &amp; IM Mapping'!$A$2:$A$270,0)),"Not Mapped"))</f>
        <v>Simon Manoharan</v>
      </c>
      <c r="G20" s="10" t="s">
        <v>22</v>
      </c>
      <c r="H20" s="12" t="n">
        <v>6867</v>
      </c>
      <c r="I20" s="12" t="n">
        <v>11317</v>
      </c>
      <c r="J20" s="12" t="n">
        <v>0</v>
      </c>
      <c r="K20" s="12" t="n">
        <v>0</v>
      </c>
      <c r="L20" s="12" t="n">
        <v>876</v>
      </c>
      <c r="M20" s="12" t="n">
        <v>0</v>
      </c>
      <c r="N20" s="12" t="n">
        <v>0</v>
      </c>
      <c r="O20" s="12" t="n">
        <v>0</v>
      </c>
      <c r="P20" s="12" t="n">
        <v>19060</v>
      </c>
    </row>
    <row r="21" customFormat="false" ht="15.75" hidden="false" customHeight="false" outlineLevel="0" collapsed="false">
      <c r="B21" s="9" t="s">
        <v>15</v>
      </c>
      <c r="C21" s="10" t="s">
        <v>16</v>
      </c>
      <c r="D21" s="9" t="s">
        <v>40</v>
      </c>
      <c r="E21" s="11" t="str">
        <f aca="false">IF(D21="","",IFERROR(INDEX('CLM &amp; IM Mapping'!$B$2:$B$270,MATCH(TRIM(D21),'CLM &amp; IM Mapping'!$A$2:$A$270,0)),"Not Mapped"))</f>
        <v>Narasimhamurthy R</v>
      </c>
      <c r="F21" s="11" t="str">
        <f aca="false">IF(D21="","",IFERROR(INDEX('CLM &amp; IM Mapping'!$C$2:$C$270,MATCH(TRIM(D21),'CLM &amp; IM Mapping'!$A$2:$A$270,0)),"Not Mapped"))</f>
        <v>Kishor K</v>
      </c>
      <c r="G21" s="10" t="s">
        <v>18</v>
      </c>
      <c r="H21" s="12" t="n">
        <v>-20322</v>
      </c>
      <c r="I21" s="12" t="n">
        <v>8876</v>
      </c>
      <c r="J21" s="12" t="n">
        <v>128</v>
      </c>
      <c r="K21" s="12" t="n">
        <v>8507</v>
      </c>
      <c r="L21" s="12" t="n">
        <v>370</v>
      </c>
      <c r="M21" s="12" t="n">
        <v>0</v>
      </c>
      <c r="N21" s="12" t="n">
        <v>0</v>
      </c>
      <c r="O21" s="12" t="n">
        <v>0</v>
      </c>
      <c r="P21" s="12" t="n">
        <v>-2441</v>
      </c>
    </row>
    <row r="22" customFormat="false" ht="15.75" hidden="false" customHeight="false" outlineLevel="0" collapsed="false">
      <c r="B22" s="9" t="s">
        <v>15</v>
      </c>
      <c r="C22" s="10" t="s">
        <v>16</v>
      </c>
      <c r="D22" s="9" t="s">
        <v>41</v>
      </c>
      <c r="E22" s="11" t="str">
        <f aca="false">IF(D22="","",IFERROR(INDEX('CLM &amp; IM Mapping'!$B$2:$B$270,MATCH(TRIM(D22),'CLM &amp; IM Mapping'!$A$2:$A$270,0)),"Not Mapped"))</f>
        <v>Silambarasan E</v>
      </c>
      <c r="F22" s="11" t="str">
        <f aca="false">IF(D22="","",IFERROR(INDEX('CLM &amp; IM Mapping'!$C$2:$C$270,MATCH(TRIM(D22),'CLM &amp; IM Mapping'!$A$2:$A$270,0)),"Not Mapped"))</f>
        <v>Arivind S</v>
      </c>
      <c r="G22" s="10" t="s">
        <v>18</v>
      </c>
      <c r="H22" s="12" t="n">
        <v>527</v>
      </c>
      <c r="I22" s="12" t="n">
        <v>14651</v>
      </c>
      <c r="J22" s="12" t="n">
        <v>599</v>
      </c>
      <c r="K22" s="12" t="n">
        <v>1905</v>
      </c>
      <c r="L22" s="12" t="n">
        <v>2728</v>
      </c>
      <c r="M22" s="12" t="n">
        <v>0</v>
      </c>
      <c r="N22" s="12" t="n">
        <v>179</v>
      </c>
      <c r="O22" s="12" t="n">
        <v>773</v>
      </c>
      <c r="P22" s="12" t="n">
        <v>21363</v>
      </c>
    </row>
    <row r="23" customFormat="false" ht="15.75" hidden="false" customHeight="false" outlineLevel="0" collapsed="false">
      <c r="B23" s="9" t="s">
        <v>15</v>
      </c>
      <c r="C23" s="10" t="s">
        <v>16</v>
      </c>
      <c r="D23" s="9" t="s">
        <v>42</v>
      </c>
      <c r="E23" s="11" t="str">
        <f aca="false">IF(D23="","",IFERROR(INDEX('CLM &amp; IM Mapping'!$B$2:$B$270,MATCH(TRIM(D23),'CLM &amp; IM Mapping'!$A$2:$A$270,0)),"Not Mapped"))</f>
        <v>Vijay M</v>
      </c>
      <c r="F23" s="11" t="str">
        <f aca="false">IF(D23="","",IFERROR(INDEX('CLM &amp; IM Mapping'!$C$2:$C$270,MATCH(TRIM(D23),'CLM &amp; IM Mapping'!$A$2:$A$270,0)),"Not Mapped"))</f>
        <v>Kantha Kumar</v>
      </c>
      <c r="G23" s="10" t="s">
        <v>18</v>
      </c>
      <c r="H23" s="12" t="n">
        <v>-17737</v>
      </c>
      <c r="I23" s="12" t="n">
        <v>18120</v>
      </c>
      <c r="J23" s="12" t="n">
        <v>166</v>
      </c>
      <c r="K23" s="12" t="n">
        <v>1924</v>
      </c>
      <c r="L23" s="12" t="n">
        <v>232</v>
      </c>
      <c r="M23" s="12" t="n">
        <v>0</v>
      </c>
      <c r="N23" s="12" t="n">
        <v>0</v>
      </c>
      <c r="O23" s="12" t="n">
        <v>0</v>
      </c>
      <c r="P23" s="12" t="n">
        <v>2706</v>
      </c>
    </row>
    <row r="24" customFormat="false" ht="15.75" hidden="false" customHeight="false" outlineLevel="0" collapsed="false">
      <c r="B24" s="9" t="s">
        <v>15</v>
      </c>
      <c r="C24" s="10" t="s">
        <v>16</v>
      </c>
      <c r="D24" s="9" t="s">
        <v>43</v>
      </c>
      <c r="E24" s="11" t="str">
        <f aca="false">IF(D24="","",IFERROR(INDEX('CLM &amp; IM Mapping'!$B$2:$B$270,MATCH(TRIM(D24),'CLM &amp; IM Mapping'!$A$2:$A$270,0)),"Not Mapped"))</f>
        <v>Vijay M</v>
      </c>
      <c r="F24" s="11" t="str">
        <f aca="false">IF(D24="","",IFERROR(INDEX('CLM &amp; IM Mapping'!$C$2:$C$270,MATCH(TRIM(D24),'CLM &amp; IM Mapping'!$A$2:$A$270,0)),"Not Mapped"))</f>
        <v>Kantha Kumar</v>
      </c>
      <c r="G24" s="10" t="s">
        <v>18</v>
      </c>
      <c r="H24" s="12" t="n">
        <v>23160</v>
      </c>
      <c r="I24" s="12" t="n">
        <v>5953</v>
      </c>
      <c r="J24" s="12" t="n">
        <v>227</v>
      </c>
      <c r="K24" s="12" t="n">
        <v>0</v>
      </c>
      <c r="L24" s="12" t="n">
        <v>479</v>
      </c>
      <c r="M24" s="12" t="n">
        <v>0</v>
      </c>
      <c r="N24" s="12" t="n">
        <v>198</v>
      </c>
      <c r="O24" s="12" t="n">
        <v>0</v>
      </c>
      <c r="P24" s="12" t="n">
        <v>30017</v>
      </c>
    </row>
    <row r="25" customFormat="false" ht="15.75" hidden="false" customHeight="false" outlineLevel="0" collapsed="false">
      <c r="B25" s="9" t="s">
        <v>15</v>
      </c>
      <c r="C25" s="10" t="s">
        <v>44</v>
      </c>
      <c r="D25" s="9" t="s">
        <v>45</v>
      </c>
      <c r="E25" s="11" t="str">
        <f aca="false">IF(D25="","",IFERROR(INDEX('CLM &amp; IM Mapping'!$B$2:$B$270,MATCH(TRIM(D25),'CLM &amp; IM Mapping'!$A$2:$A$270,0)),"Not Mapped"))</f>
        <v>Vishnu V</v>
      </c>
      <c r="F25" s="11" t="str">
        <f aca="false">IF(D25="","",IFERROR(INDEX('CLM &amp; IM Mapping'!$C$2:$C$270,MATCH(TRIM(D25),'CLM &amp; IM Mapping'!$A$2:$A$270,0)),"Not Mapped"))</f>
        <v>Arivind S</v>
      </c>
      <c r="G25" s="10" t="s">
        <v>22</v>
      </c>
      <c r="H25" s="12" t="n">
        <v>122</v>
      </c>
      <c r="I25" s="12" t="n">
        <v>17260</v>
      </c>
      <c r="J25" s="12" t="n">
        <v>0</v>
      </c>
      <c r="K25" s="12" t="n">
        <v>0</v>
      </c>
      <c r="L25" s="12" t="n">
        <v>0</v>
      </c>
      <c r="M25" s="12" t="n">
        <v>0</v>
      </c>
      <c r="N25" s="12" t="n">
        <v>0</v>
      </c>
      <c r="O25" s="12" t="n">
        <v>0</v>
      </c>
      <c r="P25" s="12" t="n">
        <v>17382</v>
      </c>
    </row>
    <row r="26" customFormat="false" ht="15.75" hidden="false" customHeight="false" outlineLevel="0" collapsed="false">
      <c r="B26" s="9" t="s">
        <v>15</v>
      </c>
      <c r="C26" s="10" t="s">
        <v>16</v>
      </c>
      <c r="D26" s="9" t="s">
        <v>46</v>
      </c>
      <c r="E26" s="11" t="str">
        <f aca="false">IF(D26="","",IFERROR(INDEX('CLM &amp; IM Mapping'!$B$2:$B$270,MATCH(TRIM(D26),'CLM &amp; IM Mapping'!$A$2:$A$270,0)),"Not Mapped"))</f>
        <v>Ashwath S</v>
      </c>
      <c r="F26" s="11" t="str">
        <f aca="false">IF(D26="","",IFERROR(INDEX('CLM &amp; IM Mapping'!$C$2:$C$270,MATCH(TRIM(D26),'CLM &amp; IM Mapping'!$A$2:$A$270,0)),"Not Mapped"))</f>
        <v>Kantha Kumar</v>
      </c>
      <c r="G26" s="10" t="s">
        <v>18</v>
      </c>
      <c r="H26" s="12" t="n">
        <v>-5055</v>
      </c>
      <c r="I26" s="12" t="n">
        <v>0</v>
      </c>
      <c r="J26" s="12" t="n">
        <v>0</v>
      </c>
      <c r="K26" s="12" t="n">
        <v>0</v>
      </c>
      <c r="L26" s="12" t="n">
        <v>43</v>
      </c>
      <c r="M26" s="12" t="n">
        <v>0</v>
      </c>
      <c r="N26" s="12" t="n">
        <v>0</v>
      </c>
      <c r="O26" s="12" t="n">
        <v>194</v>
      </c>
      <c r="P26" s="12" t="n">
        <v>-4818</v>
      </c>
    </row>
    <row r="27" customFormat="false" ht="15.75" hidden="false" customHeight="false" outlineLevel="0" collapsed="false">
      <c r="B27" s="9" t="s">
        <v>15</v>
      </c>
      <c r="C27" s="10" t="s">
        <v>47</v>
      </c>
      <c r="D27" s="9" t="s">
        <v>48</v>
      </c>
      <c r="E27" s="11" t="str">
        <f aca="false">IF(D27="","",IFERROR(INDEX('CLM &amp; IM Mapping'!$B$2:$B$270,MATCH(TRIM(D27),'CLM &amp; IM Mapping'!$A$2:$A$270,0)),"Not Mapped"))</f>
        <v>John Britto</v>
      </c>
      <c r="F27" s="11" t="str">
        <f aca="false">IF(D27="","",IFERROR(INDEX('CLM &amp; IM Mapping'!$C$2:$C$270,MATCH(TRIM(D27),'CLM &amp; IM Mapping'!$A$2:$A$270,0)),"Not Mapped"))</f>
        <v>Aravind S</v>
      </c>
      <c r="G27" s="10" t="s">
        <v>18</v>
      </c>
      <c r="H27" s="12" t="n">
        <v>2784</v>
      </c>
      <c r="I27" s="12" t="n">
        <v>1073</v>
      </c>
      <c r="J27" s="12" t="n">
        <v>0</v>
      </c>
      <c r="K27" s="12" t="n">
        <v>0</v>
      </c>
      <c r="L27" s="12" t="n">
        <v>295</v>
      </c>
      <c r="M27" s="12" t="n">
        <v>0</v>
      </c>
      <c r="N27" s="12" t="n">
        <v>0</v>
      </c>
      <c r="O27" s="12" t="n">
        <v>0</v>
      </c>
      <c r="P27" s="12" t="n">
        <v>4151</v>
      </c>
    </row>
    <row r="28" customFormat="false" ht="15.75" hidden="false" customHeight="false" outlineLevel="0" collapsed="false">
      <c r="B28" s="9" t="s">
        <v>15</v>
      </c>
      <c r="C28" s="10" t="s">
        <v>44</v>
      </c>
      <c r="D28" s="9" t="s">
        <v>49</v>
      </c>
      <c r="E28" s="11" t="str">
        <f aca="false">IF(D28="","",IFERROR(INDEX('CLM &amp; IM Mapping'!$B$2:$B$270,MATCH(TRIM(D28),'CLM &amp; IM Mapping'!$A$2:$A$270,0)),"Not Mapped"))</f>
        <v>Vishnu V</v>
      </c>
      <c r="F28" s="11" t="str">
        <f aca="false">IF(D28="","",IFERROR(INDEX('CLM &amp; IM Mapping'!$C$2:$C$270,MATCH(TRIM(D28),'CLM &amp; IM Mapping'!$A$2:$A$270,0)),"Not Mapped"))</f>
        <v>Arivind S</v>
      </c>
      <c r="G28" s="10" t="s">
        <v>18</v>
      </c>
      <c r="H28" s="12" t="n">
        <v>-5122</v>
      </c>
      <c r="I28" s="12" t="n">
        <v>9454</v>
      </c>
      <c r="J28" s="12" t="n">
        <v>0</v>
      </c>
      <c r="K28" s="12" t="n">
        <v>0</v>
      </c>
      <c r="L28" s="12" t="n">
        <v>0</v>
      </c>
      <c r="M28" s="12" t="n">
        <v>0</v>
      </c>
      <c r="N28" s="12" t="n">
        <v>0</v>
      </c>
      <c r="O28" s="12" t="n">
        <v>0</v>
      </c>
      <c r="P28" s="12" t="n">
        <v>4332</v>
      </c>
    </row>
    <row r="29" customFormat="false" ht="15.75" hidden="false" customHeight="false" outlineLevel="0" collapsed="false">
      <c r="B29" s="9" t="s">
        <v>15</v>
      </c>
      <c r="C29" s="10" t="s">
        <v>16</v>
      </c>
      <c r="D29" s="9" t="s">
        <v>50</v>
      </c>
      <c r="E29" s="11" t="str">
        <f aca="false">IF(D29="","",IFERROR(INDEX('CLM &amp; IM Mapping'!$B$2:$B$270,MATCH(TRIM(D29),'CLM &amp; IM Mapping'!$A$2:$A$270,0)),"Not Mapped"))</f>
        <v>Akshay P</v>
      </c>
      <c r="F29" s="11" t="str">
        <f aca="false">IF(D29="","",IFERROR(INDEX('CLM &amp; IM Mapping'!$C$2:$C$270,MATCH(TRIM(D29),'CLM &amp; IM Mapping'!$A$2:$A$270,0)),"Not Mapped"))</f>
        <v>Srittam Dhal</v>
      </c>
      <c r="G29" s="10" t="s">
        <v>18</v>
      </c>
      <c r="H29" s="12" t="n">
        <v>-11107</v>
      </c>
      <c r="I29" s="12" t="n">
        <v>0</v>
      </c>
      <c r="J29" s="12" t="n">
        <v>0</v>
      </c>
      <c r="K29" s="12" t="n">
        <v>0</v>
      </c>
      <c r="L29" s="12" t="n">
        <v>48</v>
      </c>
      <c r="M29" s="12" t="n">
        <v>0</v>
      </c>
      <c r="N29" s="12" t="n">
        <v>0</v>
      </c>
      <c r="O29" s="12" t="n">
        <v>0</v>
      </c>
      <c r="P29" s="12" t="n">
        <v>-11059</v>
      </c>
    </row>
    <row r="30" customFormat="false" ht="15.75" hidden="false" customHeight="false" outlineLevel="0" collapsed="false">
      <c r="B30" s="9" t="s">
        <v>15</v>
      </c>
      <c r="C30" s="10" t="s">
        <v>16</v>
      </c>
      <c r="D30" s="9" t="s">
        <v>51</v>
      </c>
      <c r="E30" s="11" t="str">
        <f aca="false">IF(D30="","",IFERROR(INDEX('CLM &amp; IM Mapping'!$B$2:$B$270,MATCH(TRIM(D30),'CLM &amp; IM Mapping'!$A$2:$A$270,0)),"Not Mapped"))</f>
        <v>Arun Raj</v>
      </c>
      <c r="F30" s="11" t="str">
        <f aca="false">IF(D30="","",IFERROR(INDEX('CLM &amp; IM Mapping'!$C$2:$C$270,MATCH(TRIM(D30),'CLM &amp; IM Mapping'!$A$2:$A$270,0)),"Not Mapped"))</f>
        <v>Simon Manoharan</v>
      </c>
      <c r="G30" s="10" t="s">
        <v>22</v>
      </c>
      <c r="H30" s="12" t="n">
        <v>-2019</v>
      </c>
      <c r="I30" s="12" t="n">
        <v>6545</v>
      </c>
      <c r="J30" s="12" t="n">
        <v>0</v>
      </c>
      <c r="K30" s="12" t="n">
        <v>272</v>
      </c>
      <c r="L30" s="12" t="n">
        <v>4026</v>
      </c>
      <c r="M30" s="12" t="n">
        <v>0</v>
      </c>
      <c r="N30" s="12" t="n">
        <v>0</v>
      </c>
      <c r="O30" s="12" t="n">
        <v>0</v>
      </c>
      <c r="P30" s="12" t="n">
        <v>8825</v>
      </c>
    </row>
    <row r="31" customFormat="false" ht="15.75" hidden="false" customHeight="false" outlineLevel="0" collapsed="false">
      <c r="B31" s="9" t="s">
        <v>15</v>
      </c>
      <c r="C31" s="10" t="s">
        <v>44</v>
      </c>
      <c r="D31" s="9" t="s">
        <v>52</v>
      </c>
      <c r="E31" s="11" t="str">
        <f aca="false">IF(D31="","",IFERROR(INDEX('CLM &amp; IM Mapping'!$B$2:$B$270,MATCH(TRIM(D31),'CLM &amp; IM Mapping'!$A$2:$A$270,0)),"Not Mapped"))</f>
        <v>Vishnu V</v>
      </c>
      <c r="F31" s="11" t="str">
        <f aca="false">IF(D31="","",IFERROR(INDEX('CLM &amp; IM Mapping'!$C$2:$C$270,MATCH(TRIM(D31),'CLM &amp; IM Mapping'!$A$2:$A$270,0)),"Not Mapped"))</f>
        <v>Arivind S</v>
      </c>
      <c r="G31" s="10" t="s">
        <v>18</v>
      </c>
      <c r="H31" s="12" t="n">
        <v>-3321</v>
      </c>
      <c r="I31" s="12" t="n">
        <v>216</v>
      </c>
      <c r="J31" s="12" t="n">
        <v>0</v>
      </c>
      <c r="K31" s="12" t="n">
        <v>0</v>
      </c>
      <c r="L31" s="12" t="n">
        <v>86</v>
      </c>
      <c r="M31" s="12" t="n">
        <v>0</v>
      </c>
      <c r="N31" s="12" t="n">
        <v>0</v>
      </c>
      <c r="O31" s="12" t="n">
        <v>0</v>
      </c>
      <c r="P31" s="12" t="n">
        <v>-3019</v>
      </c>
    </row>
    <row r="32" customFormat="false" ht="15.75" hidden="false" customHeight="false" outlineLevel="0" collapsed="false">
      <c r="B32" s="9" t="s">
        <v>15</v>
      </c>
      <c r="C32" s="10" t="s">
        <v>16</v>
      </c>
      <c r="D32" s="9" t="s">
        <v>53</v>
      </c>
      <c r="E32" s="11" t="str">
        <f aca="false">IF(D32="","",IFERROR(INDEX('CLM &amp; IM Mapping'!$B$2:$B$270,MATCH(TRIM(D32),'CLM &amp; IM Mapping'!$A$2:$A$270,0)),"Not Mapped"))</f>
        <v>Ashwath S</v>
      </c>
      <c r="F32" s="11" t="str">
        <f aca="false">IF(D32="","",IFERROR(INDEX('CLM &amp; IM Mapping'!$C$2:$C$270,MATCH(TRIM(D32),'CLM &amp; IM Mapping'!$A$2:$A$270,0)),"Not Mapped"))</f>
        <v>Kantha Kumar</v>
      </c>
      <c r="G32" s="10" t="s">
        <v>18</v>
      </c>
      <c r="H32" s="12" t="n">
        <v>15739</v>
      </c>
      <c r="I32" s="12" t="n">
        <v>11064</v>
      </c>
      <c r="J32" s="12" t="n">
        <v>497</v>
      </c>
      <c r="K32" s="12" t="n">
        <v>2098</v>
      </c>
      <c r="L32" s="12" t="n">
        <v>354</v>
      </c>
      <c r="M32" s="12" t="n">
        <v>0</v>
      </c>
      <c r="N32" s="12" t="n">
        <v>0</v>
      </c>
      <c r="O32" s="12" t="n">
        <v>0</v>
      </c>
      <c r="P32" s="12" t="n">
        <v>29752</v>
      </c>
    </row>
    <row r="33" customFormat="false" ht="15.75" hidden="false" customHeight="false" outlineLevel="0" collapsed="false">
      <c r="B33" s="9" t="s">
        <v>15</v>
      </c>
      <c r="C33" s="10" t="s">
        <v>16</v>
      </c>
      <c r="D33" s="9" t="s">
        <v>54</v>
      </c>
      <c r="E33" s="11" t="str">
        <f aca="false">IF(D33="","",IFERROR(INDEX('CLM &amp; IM Mapping'!$B$2:$B$270,MATCH(TRIM(D33),'CLM &amp; IM Mapping'!$A$2:$A$270,0)),"Not Mapped"))</f>
        <v>Manoj Kj</v>
      </c>
      <c r="F33" s="11" t="str">
        <f aca="false">IF(D33="","",IFERROR(INDEX('CLM &amp; IM Mapping'!$C$2:$C$270,MATCH(TRIM(D33),'CLM &amp; IM Mapping'!$A$2:$A$270,0)),"Not Mapped"))</f>
        <v>Srittam Dhal</v>
      </c>
      <c r="G33" s="10" t="s">
        <v>18</v>
      </c>
      <c r="H33" s="12" t="n">
        <v>-7353</v>
      </c>
      <c r="I33" s="12" t="n">
        <v>11485</v>
      </c>
      <c r="J33" s="12" t="n">
        <v>0</v>
      </c>
      <c r="K33" s="12" t="n">
        <v>0</v>
      </c>
      <c r="L33" s="12" t="n">
        <v>0</v>
      </c>
      <c r="M33" s="12" t="n">
        <v>0</v>
      </c>
      <c r="N33" s="12" t="n">
        <v>260</v>
      </c>
      <c r="O33" s="12" t="n">
        <v>0</v>
      </c>
      <c r="P33" s="12" t="n">
        <v>4392</v>
      </c>
    </row>
    <row r="34" customFormat="false" ht="15.75" hidden="false" customHeight="false" outlineLevel="0" collapsed="false">
      <c r="B34" s="9" t="s">
        <v>15</v>
      </c>
      <c r="C34" s="10" t="s">
        <v>16</v>
      </c>
      <c r="D34" s="9" t="s">
        <v>55</v>
      </c>
      <c r="E34" s="11" t="str">
        <f aca="false">IF(D34="","",IFERROR(INDEX('CLM &amp; IM Mapping'!$B$2:$B$270,MATCH(TRIM(D34),'CLM &amp; IM Mapping'!$A$2:$A$270,0)),"Not Mapped"))</f>
        <v>Suhas N</v>
      </c>
      <c r="F34" s="11" t="str">
        <f aca="false">IF(D34="","",IFERROR(INDEX('CLM &amp; IM Mapping'!$C$2:$C$270,MATCH(TRIM(D34),'CLM &amp; IM Mapping'!$A$2:$A$270,0)),"Not Mapped"))</f>
        <v>Aravind S</v>
      </c>
      <c r="G34" s="10" t="s">
        <v>18</v>
      </c>
      <c r="H34" s="12" t="n">
        <v>-5788</v>
      </c>
      <c r="I34" s="12" t="n">
        <v>5360</v>
      </c>
      <c r="J34" s="12" t="n">
        <v>0</v>
      </c>
      <c r="K34" s="12" t="n">
        <v>6955</v>
      </c>
      <c r="L34" s="12" t="n">
        <v>142</v>
      </c>
      <c r="M34" s="12" t="n">
        <v>0</v>
      </c>
      <c r="N34" s="12" t="n">
        <v>0</v>
      </c>
      <c r="O34" s="12" t="n">
        <v>0</v>
      </c>
      <c r="P34" s="12" t="n">
        <v>6668</v>
      </c>
    </row>
    <row r="35" customFormat="false" ht="15.75" hidden="false" customHeight="false" outlineLevel="0" collapsed="false">
      <c r="B35" s="9" t="s">
        <v>15</v>
      </c>
      <c r="C35" s="10" t="s">
        <v>16</v>
      </c>
      <c r="D35" s="9" t="s">
        <v>56</v>
      </c>
      <c r="E35" s="11" t="str">
        <f aca="false">IF(D35="","",IFERROR(INDEX('CLM &amp; IM Mapping'!$B$2:$B$270,MATCH(TRIM(D35),'CLM &amp; IM Mapping'!$A$2:$A$270,0)),"Not Mapped"))</f>
        <v>Balaji G</v>
      </c>
      <c r="F35" s="11" t="str">
        <f aca="false">IF(D35="","",IFERROR(INDEX('CLM &amp; IM Mapping'!$C$2:$C$270,MATCH(TRIM(D35),'CLM &amp; IM Mapping'!$A$2:$A$270,0)),"Not Mapped"))</f>
        <v>Mohammed Akbar</v>
      </c>
      <c r="G35" s="10" t="s">
        <v>18</v>
      </c>
      <c r="H35" s="12" t="n">
        <v>-10294</v>
      </c>
      <c r="I35" s="12" t="n">
        <v>4340</v>
      </c>
      <c r="J35" s="12" t="n">
        <v>0</v>
      </c>
      <c r="K35" s="12" t="n">
        <v>702</v>
      </c>
      <c r="L35" s="12" t="n">
        <v>119</v>
      </c>
      <c r="M35" s="12" t="n">
        <v>0</v>
      </c>
      <c r="N35" s="12" t="n">
        <v>0</v>
      </c>
      <c r="O35" s="12" t="n">
        <v>0</v>
      </c>
      <c r="P35" s="12" t="n">
        <v>-5133</v>
      </c>
    </row>
    <row r="36" customFormat="false" ht="15.75" hidden="false" customHeight="false" outlineLevel="0" collapsed="false">
      <c r="B36" s="9" t="s">
        <v>15</v>
      </c>
      <c r="C36" s="10" t="s">
        <v>16</v>
      </c>
      <c r="D36" s="9" t="s">
        <v>57</v>
      </c>
      <c r="E36" s="11" t="str">
        <f aca="false">IF(D36="","",IFERROR(INDEX('CLM &amp; IM Mapping'!$B$2:$B$270,MATCH(TRIM(D36),'CLM &amp; IM Mapping'!$A$2:$A$270,0)),"Not Mapped"))</f>
        <v>Suhas N</v>
      </c>
      <c r="F36" s="11" t="str">
        <f aca="false">IF(D36="","",IFERROR(INDEX('CLM &amp; IM Mapping'!$C$2:$C$270,MATCH(TRIM(D36),'CLM &amp; IM Mapping'!$A$2:$A$270,0)),"Not Mapped"))</f>
        <v>Aravind S</v>
      </c>
      <c r="G36" s="10" t="s">
        <v>18</v>
      </c>
      <c r="H36" s="12" t="n">
        <v>29203</v>
      </c>
      <c r="I36" s="12" t="n">
        <v>9567</v>
      </c>
      <c r="J36" s="12" t="n">
        <v>0</v>
      </c>
      <c r="K36" s="12" t="n">
        <v>778</v>
      </c>
      <c r="L36" s="12" t="n">
        <v>2992</v>
      </c>
      <c r="M36" s="12" t="n">
        <v>0</v>
      </c>
      <c r="N36" s="12" t="n">
        <v>0</v>
      </c>
      <c r="O36" s="12" t="n">
        <v>0</v>
      </c>
      <c r="P36" s="12" t="n">
        <v>42540</v>
      </c>
    </row>
    <row r="37" customFormat="false" ht="15.75" hidden="false" customHeight="false" outlineLevel="0" collapsed="false">
      <c r="B37" s="9" t="s">
        <v>15</v>
      </c>
      <c r="C37" s="10" t="s">
        <v>16</v>
      </c>
      <c r="D37" s="9" t="s">
        <v>58</v>
      </c>
      <c r="E37" s="11" t="str">
        <f aca="false">IF(D37="","",IFERROR(INDEX('CLM &amp; IM Mapping'!$B$2:$B$270,MATCH(TRIM(D37),'CLM &amp; IM Mapping'!$A$2:$A$270,0)),"Not Mapped"))</f>
        <v>Ashwath S</v>
      </c>
      <c r="F37" s="11" t="str">
        <f aca="false">IF(D37="","",IFERROR(INDEX('CLM &amp; IM Mapping'!$C$2:$C$270,MATCH(TRIM(D37),'CLM &amp; IM Mapping'!$A$2:$A$270,0)),"Not Mapped"))</f>
        <v>Kantha Kumar</v>
      </c>
      <c r="G37" s="10" t="s">
        <v>18</v>
      </c>
      <c r="H37" s="12" t="n">
        <v>-6644</v>
      </c>
      <c r="I37" s="12" t="n">
        <v>7146</v>
      </c>
      <c r="J37" s="12" t="n">
        <v>1302</v>
      </c>
      <c r="K37" s="12" t="n">
        <v>2188</v>
      </c>
      <c r="L37" s="12" t="n">
        <v>0</v>
      </c>
      <c r="M37" s="12" t="n">
        <v>0</v>
      </c>
      <c r="N37" s="12" t="n">
        <v>0</v>
      </c>
      <c r="O37" s="12" t="n">
        <v>0</v>
      </c>
      <c r="P37" s="12" t="n">
        <v>3992</v>
      </c>
    </row>
    <row r="38" customFormat="false" ht="15.75" hidden="false" customHeight="false" outlineLevel="0" collapsed="false">
      <c r="B38" s="9" t="s">
        <v>15</v>
      </c>
      <c r="C38" s="10" t="s">
        <v>16</v>
      </c>
      <c r="D38" s="9" t="s">
        <v>59</v>
      </c>
      <c r="E38" s="11" t="str">
        <f aca="false">IF(D38="","",IFERROR(INDEX('CLM &amp; IM Mapping'!$B$2:$B$270,MATCH(TRIM(D38),'CLM &amp; IM Mapping'!$A$2:$A$270,0)),"Not Mapped"))</f>
        <v>Manoj Kj</v>
      </c>
      <c r="F38" s="11" t="str">
        <f aca="false">IF(D38="","",IFERROR(INDEX('CLM &amp; IM Mapping'!$C$2:$C$270,MATCH(TRIM(D38),'CLM &amp; IM Mapping'!$A$2:$A$270,0)),"Not Mapped"))</f>
        <v>Srittam Dhal</v>
      </c>
      <c r="G38" s="10" t="s">
        <v>18</v>
      </c>
      <c r="H38" s="12" t="n">
        <v>24834</v>
      </c>
      <c r="I38" s="12" t="n">
        <v>7008</v>
      </c>
      <c r="J38" s="12" t="n">
        <v>0</v>
      </c>
      <c r="K38" s="12" t="n">
        <v>0</v>
      </c>
      <c r="L38" s="12" t="n">
        <v>218</v>
      </c>
      <c r="M38" s="12" t="n">
        <v>0</v>
      </c>
      <c r="N38" s="12" t="n">
        <v>0</v>
      </c>
      <c r="O38" s="12" t="n">
        <v>0</v>
      </c>
      <c r="P38" s="12" t="n">
        <v>32060</v>
      </c>
    </row>
    <row r="39" customFormat="false" ht="15.75" hidden="false" customHeight="false" outlineLevel="0" collapsed="false">
      <c r="B39" s="9" t="s">
        <v>15</v>
      </c>
      <c r="C39" s="10" t="s">
        <v>16</v>
      </c>
      <c r="D39" s="9" t="s">
        <v>60</v>
      </c>
      <c r="E39" s="11" t="str">
        <f aca="false">IF(D39="","",IFERROR(INDEX('CLM &amp; IM Mapping'!$B$2:$B$270,MATCH(TRIM(D39),'CLM &amp; IM Mapping'!$A$2:$A$270,0)),"Not Mapped"))</f>
        <v>Basil Scariya</v>
      </c>
      <c r="F39" s="11" t="str">
        <f aca="false">IF(D39="","",IFERROR(INDEX('CLM &amp; IM Mapping'!$C$2:$C$270,MATCH(TRIM(D39),'CLM &amp; IM Mapping'!$A$2:$A$270,0)),"Not Mapped"))</f>
        <v>Prakash BS</v>
      </c>
      <c r="G39" s="10" t="s">
        <v>18</v>
      </c>
      <c r="H39" s="12" t="n">
        <v>-14853</v>
      </c>
      <c r="I39" s="12" t="n">
        <v>19035</v>
      </c>
      <c r="J39" s="12" t="n">
        <v>0</v>
      </c>
      <c r="K39" s="12" t="n">
        <v>873</v>
      </c>
      <c r="L39" s="12" t="n">
        <v>3511</v>
      </c>
      <c r="M39" s="12" t="n">
        <v>0</v>
      </c>
      <c r="N39" s="12" t="n">
        <v>2507</v>
      </c>
      <c r="O39" s="12" t="n">
        <v>0</v>
      </c>
      <c r="P39" s="12" t="n">
        <v>11074</v>
      </c>
    </row>
    <row r="40" customFormat="false" ht="15.75" hidden="false" customHeight="false" outlineLevel="0" collapsed="false">
      <c r="B40" s="9" t="s">
        <v>15</v>
      </c>
      <c r="C40" s="10" t="s">
        <v>16</v>
      </c>
      <c r="D40" s="9" t="s">
        <v>61</v>
      </c>
      <c r="E40" s="11" t="str">
        <f aca="false">IF(D40="","",IFERROR(INDEX('CLM &amp; IM Mapping'!$B$2:$B$270,MATCH(TRIM(D40),'CLM &amp; IM Mapping'!$A$2:$A$270,0)),"Not Mapped"))</f>
        <v>Basil Scariya</v>
      </c>
      <c r="F40" s="11" t="str">
        <f aca="false">IF(D40="","",IFERROR(INDEX('CLM &amp; IM Mapping'!$C$2:$C$270,MATCH(TRIM(D40),'CLM &amp; IM Mapping'!$A$2:$A$270,0)),"Not Mapped"))</f>
        <v>Prakash BS</v>
      </c>
      <c r="G40" s="10" t="s">
        <v>18</v>
      </c>
      <c r="H40" s="12" t="n">
        <v>-35339</v>
      </c>
      <c r="I40" s="12" t="n">
        <v>4958</v>
      </c>
      <c r="J40" s="12" t="n">
        <v>0</v>
      </c>
      <c r="K40" s="12" t="n">
        <v>4381</v>
      </c>
      <c r="L40" s="12" t="n">
        <v>203</v>
      </c>
      <c r="M40" s="12" t="n">
        <v>0</v>
      </c>
      <c r="N40" s="12" t="n">
        <v>0</v>
      </c>
      <c r="O40" s="12" t="n">
        <v>0</v>
      </c>
      <c r="P40" s="12" t="n">
        <v>-25796</v>
      </c>
    </row>
    <row r="41" customFormat="false" ht="15.75" hidden="false" customHeight="false" outlineLevel="0" collapsed="false">
      <c r="B41" s="9" t="s">
        <v>15</v>
      </c>
      <c r="C41" s="10" t="s">
        <v>16</v>
      </c>
      <c r="D41" s="9" t="s">
        <v>62</v>
      </c>
      <c r="E41" s="11" t="str">
        <f aca="false">IF(D41="","",IFERROR(INDEX('CLM &amp; IM Mapping'!$B$2:$B$270,MATCH(TRIM(D41),'CLM &amp; IM Mapping'!$A$2:$A$270,0)),"Not Mapped"))</f>
        <v>Sundaresh S</v>
      </c>
      <c r="F41" s="11" t="str">
        <f aca="false">IF(D41="","",IFERROR(INDEX('CLM &amp; IM Mapping'!$C$2:$C$270,MATCH(TRIM(D41),'CLM &amp; IM Mapping'!$A$2:$A$270,0)),"Not Mapped"))</f>
        <v>Un Mapped</v>
      </c>
      <c r="G41" s="10" t="s">
        <v>18</v>
      </c>
      <c r="H41" s="12" t="n">
        <v>-26123</v>
      </c>
      <c r="I41" s="12" t="n">
        <v>1504</v>
      </c>
      <c r="J41" s="12" t="n">
        <v>434</v>
      </c>
      <c r="K41" s="12" t="n">
        <v>527</v>
      </c>
      <c r="L41" s="12" t="n">
        <v>23</v>
      </c>
      <c r="M41" s="12" t="n">
        <v>0</v>
      </c>
      <c r="N41" s="12" t="n">
        <v>404</v>
      </c>
      <c r="O41" s="12" t="n">
        <v>0</v>
      </c>
      <c r="P41" s="12" t="n">
        <v>-23232</v>
      </c>
    </row>
    <row r="42" customFormat="false" ht="15.75" hidden="false" customHeight="false" outlineLevel="0" collapsed="false">
      <c r="B42" s="9" t="s">
        <v>15</v>
      </c>
      <c r="C42" s="10" t="s">
        <v>16</v>
      </c>
      <c r="D42" s="9" t="s">
        <v>63</v>
      </c>
      <c r="E42" s="11" t="str">
        <f aca="false">IF(D42="","",IFERROR(INDEX('CLM &amp; IM Mapping'!$B$2:$B$270,MATCH(TRIM(D42),'CLM &amp; IM Mapping'!$A$2:$A$270,0)),"Not Mapped"))</f>
        <v>Ravishankar gowda</v>
      </c>
      <c r="F42" s="11" t="str">
        <f aca="false">IF(D42="","",IFERROR(INDEX('CLM &amp; IM Mapping'!$C$2:$C$270,MATCH(TRIM(D42),'CLM &amp; IM Mapping'!$A$2:$A$270,0)),"Not Mapped"))</f>
        <v>Kishor K</v>
      </c>
      <c r="G42" s="10" t="s">
        <v>18</v>
      </c>
      <c r="H42" s="12" t="n">
        <v>-1590</v>
      </c>
      <c r="I42" s="12" t="n">
        <v>6841</v>
      </c>
      <c r="J42" s="12" t="n">
        <v>0</v>
      </c>
      <c r="K42" s="12" t="n">
        <v>882</v>
      </c>
      <c r="L42" s="12" t="n">
        <v>209</v>
      </c>
      <c r="M42" s="12" t="n">
        <v>0</v>
      </c>
      <c r="N42" s="12" t="n">
        <v>0</v>
      </c>
      <c r="O42" s="12" t="n">
        <v>0</v>
      </c>
      <c r="P42" s="12" t="n">
        <v>6342</v>
      </c>
    </row>
    <row r="43" customFormat="false" ht="15.75" hidden="false" customHeight="false" outlineLevel="0" collapsed="false">
      <c r="B43" s="9" t="s">
        <v>15</v>
      </c>
      <c r="C43" s="10" t="s">
        <v>16</v>
      </c>
      <c r="D43" s="9" t="s">
        <v>64</v>
      </c>
      <c r="E43" s="11" t="str">
        <f aca="false">IF(D43="","",IFERROR(INDEX('CLM &amp; IM Mapping'!$B$2:$B$270,MATCH(TRIM(D43),'CLM &amp; IM Mapping'!$A$2:$A$270,0)),"Not Mapped"))</f>
        <v>Akshay P</v>
      </c>
      <c r="F43" s="11" t="str">
        <f aca="false">IF(D43="","",IFERROR(INDEX('CLM &amp; IM Mapping'!$C$2:$C$270,MATCH(TRIM(D43),'CLM &amp; IM Mapping'!$A$2:$A$270,0)),"Not Mapped"))</f>
        <v>Srittam Dhal</v>
      </c>
      <c r="G43" s="10" t="s">
        <v>18</v>
      </c>
      <c r="H43" s="12" t="n">
        <v>12137</v>
      </c>
      <c r="I43" s="12" t="n">
        <v>1776</v>
      </c>
      <c r="J43" s="12" t="n">
        <v>51</v>
      </c>
      <c r="K43" s="12" t="n">
        <v>111</v>
      </c>
      <c r="L43" s="12" t="n">
        <v>1054</v>
      </c>
      <c r="M43" s="12" t="n">
        <v>0</v>
      </c>
      <c r="N43" s="12" t="n">
        <v>0</v>
      </c>
      <c r="O43" s="12" t="n">
        <v>0</v>
      </c>
      <c r="P43" s="12" t="n">
        <v>15130</v>
      </c>
    </row>
    <row r="44" customFormat="false" ht="15.75" hidden="false" customHeight="false" outlineLevel="0" collapsed="false">
      <c r="B44" s="9" t="s">
        <v>15</v>
      </c>
      <c r="C44" s="10" t="s">
        <v>16</v>
      </c>
      <c r="D44" s="9" t="s">
        <v>65</v>
      </c>
      <c r="E44" s="11" t="str">
        <f aca="false">IF(D44="","",IFERROR(INDEX('CLM &amp; IM Mapping'!$B$2:$B$270,MATCH(TRIM(D44),'CLM &amp; IM Mapping'!$A$2:$A$270,0)),"Not Mapped"))</f>
        <v>Rizwan Ahmed</v>
      </c>
      <c r="F44" s="11" t="str">
        <f aca="false">IF(D44="","",IFERROR(INDEX('CLM &amp; IM Mapping'!$C$2:$C$270,MATCH(TRIM(D44),'CLM &amp; IM Mapping'!$A$2:$A$270,0)),"Not Mapped"))</f>
        <v>Un Mapped</v>
      </c>
      <c r="G44" s="10" t="s">
        <v>18</v>
      </c>
      <c r="H44" s="12" t="n">
        <v>-5163</v>
      </c>
      <c r="I44" s="12" t="n">
        <v>2380</v>
      </c>
      <c r="J44" s="12" t="n">
        <v>0</v>
      </c>
      <c r="K44" s="12" t="n">
        <v>0</v>
      </c>
      <c r="L44" s="12" t="n">
        <v>45</v>
      </c>
      <c r="M44" s="12" t="n">
        <v>0</v>
      </c>
      <c r="N44" s="12" t="n">
        <v>0</v>
      </c>
      <c r="O44" s="12" t="n">
        <v>0</v>
      </c>
      <c r="P44" s="12" t="n">
        <v>-2738</v>
      </c>
    </row>
    <row r="45" customFormat="false" ht="15.75" hidden="false" customHeight="false" outlineLevel="0" collapsed="false">
      <c r="B45" s="9" t="s">
        <v>15</v>
      </c>
      <c r="C45" s="10" t="s">
        <v>16</v>
      </c>
      <c r="D45" s="9" t="s">
        <v>66</v>
      </c>
      <c r="E45" s="11" t="str">
        <f aca="false">IF(D45="","",IFERROR(INDEX('CLM &amp; IM Mapping'!$B$2:$B$270,MATCH(TRIM(D45),'CLM &amp; IM Mapping'!$A$2:$A$270,0)),"Not Mapped"))</f>
        <v>Narasimhamurthy R</v>
      </c>
      <c r="F45" s="11" t="str">
        <f aca="false">IF(D45="","",IFERROR(INDEX('CLM &amp; IM Mapping'!$C$2:$C$270,MATCH(TRIM(D45),'CLM &amp; IM Mapping'!$A$2:$A$270,0)),"Not Mapped"))</f>
        <v>Kishor K</v>
      </c>
      <c r="G45" s="10" t="s">
        <v>18</v>
      </c>
      <c r="H45" s="12" t="n">
        <v>26779</v>
      </c>
      <c r="I45" s="12" t="n">
        <v>20348</v>
      </c>
      <c r="J45" s="12" t="n">
        <v>0</v>
      </c>
      <c r="K45" s="12" t="n">
        <v>1436</v>
      </c>
      <c r="L45" s="12" t="n">
        <v>101</v>
      </c>
      <c r="M45" s="12" t="n">
        <v>0</v>
      </c>
      <c r="N45" s="12" t="n">
        <v>0</v>
      </c>
      <c r="O45" s="12" t="n">
        <v>0</v>
      </c>
      <c r="P45" s="12" t="n">
        <v>48665</v>
      </c>
    </row>
    <row r="46" customFormat="false" ht="15.75" hidden="false" customHeight="false" outlineLevel="0" collapsed="false">
      <c r="B46" s="9" t="s">
        <v>15</v>
      </c>
      <c r="C46" s="10" t="s">
        <v>16</v>
      </c>
      <c r="D46" s="9" t="s">
        <v>67</v>
      </c>
      <c r="E46" s="11" t="str">
        <f aca="false">IF(D46="","",IFERROR(INDEX('CLM &amp; IM Mapping'!$B$2:$B$270,MATCH(TRIM(D46),'CLM &amp; IM Mapping'!$A$2:$A$270,0)),"Not Mapped"))</f>
        <v>Raghavendra Vernekar</v>
      </c>
      <c r="F46" s="11" t="str">
        <f aca="false">IF(D46="","",IFERROR(INDEX('CLM &amp; IM Mapping'!$C$2:$C$270,MATCH(TRIM(D46),'CLM &amp; IM Mapping'!$A$2:$A$270,0)),"Not Mapped"))</f>
        <v>Prakash BS</v>
      </c>
      <c r="G46" s="10" t="s">
        <v>18</v>
      </c>
      <c r="H46" s="12" t="n">
        <v>201</v>
      </c>
      <c r="I46" s="12" t="n">
        <v>2037</v>
      </c>
      <c r="J46" s="12" t="n">
        <v>0</v>
      </c>
      <c r="K46" s="12" t="n">
        <v>0</v>
      </c>
      <c r="L46" s="12" t="n">
        <v>170</v>
      </c>
      <c r="M46" s="12" t="n">
        <v>0</v>
      </c>
      <c r="N46" s="12" t="n">
        <v>41386</v>
      </c>
      <c r="O46" s="12" t="n">
        <v>0</v>
      </c>
      <c r="P46" s="12" t="n">
        <v>43795</v>
      </c>
    </row>
    <row r="47" customFormat="false" ht="15.75" hidden="false" customHeight="false" outlineLevel="0" collapsed="false">
      <c r="B47" s="9" t="s">
        <v>15</v>
      </c>
      <c r="C47" s="10" t="s">
        <v>16</v>
      </c>
      <c r="D47" s="9" t="s">
        <v>68</v>
      </c>
      <c r="E47" s="11" t="str">
        <f aca="false">IF(D47="","",IFERROR(INDEX('CLM &amp; IM Mapping'!$B$2:$B$270,MATCH(TRIM(D47),'CLM &amp; IM Mapping'!$A$2:$A$270,0)),"Not Mapped"))</f>
        <v>Silambarasan E</v>
      </c>
      <c r="F47" s="11" t="str">
        <f aca="false">IF(D47="","",IFERROR(INDEX('CLM &amp; IM Mapping'!$C$2:$C$270,MATCH(TRIM(D47),'CLM &amp; IM Mapping'!$A$2:$A$270,0)),"Not Mapped"))</f>
        <v>Arivind S</v>
      </c>
      <c r="G47" s="10" t="s">
        <v>18</v>
      </c>
      <c r="H47" s="12" t="n">
        <v>24616</v>
      </c>
      <c r="I47" s="12" t="n">
        <v>1423</v>
      </c>
      <c r="J47" s="12" t="n">
        <v>38</v>
      </c>
      <c r="K47" s="12" t="n">
        <v>0</v>
      </c>
      <c r="L47" s="12" t="n">
        <v>1222</v>
      </c>
      <c r="M47" s="12" t="n">
        <v>0</v>
      </c>
      <c r="N47" s="12" t="n">
        <v>0</v>
      </c>
      <c r="O47" s="12" t="n">
        <v>0</v>
      </c>
      <c r="P47" s="12" t="n">
        <v>27298</v>
      </c>
    </row>
    <row r="48" customFormat="false" ht="15.75" hidden="false" customHeight="false" outlineLevel="0" collapsed="false">
      <c r="B48" s="9" t="s">
        <v>15</v>
      </c>
      <c r="C48" s="10" t="s">
        <v>16</v>
      </c>
      <c r="D48" s="9" t="s">
        <v>69</v>
      </c>
      <c r="E48" s="11" t="str">
        <f aca="false">IF(D48="","",IFERROR(INDEX('CLM &amp; IM Mapping'!$B$2:$B$270,MATCH(TRIM(D48),'CLM &amp; IM Mapping'!$A$2:$A$270,0)),"Not Mapped"))</f>
        <v>Akshay P</v>
      </c>
      <c r="F48" s="11" t="str">
        <f aca="false">IF(D48="","",IFERROR(INDEX('CLM &amp; IM Mapping'!$C$2:$C$270,MATCH(TRIM(D48),'CLM &amp; IM Mapping'!$A$2:$A$270,0)),"Not Mapped"))</f>
        <v>Srittam Dhal</v>
      </c>
      <c r="G48" s="10" t="s">
        <v>18</v>
      </c>
      <c r="H48" s="12" t="n">
        <v>-7256</v>
      </c>
      <c r="I48" s="12" t="n">
        <v>9465</v>
      </c>
      <c r="J48" s="12" t="n">
        <v>0</v>
      </c>
      <c r="K48" s="12" t="n">
        <v>0</v>
      </c>
      <c r="L48" s="12" t="n">
        <v>2002</v>
      </c>
      <c r="M48" s="12" t="n">
        <v>0</v>
      </c>
      <c r="N48" s="12" t="n">
        <v>0</v>
      </c>
      <c r="O48" s="12" t="n">
        <v>0</v>
      </c>
      <c r="P48" s="12" t="n">
        <v>4210</v>
      </c>
    </row>
    <row r="49" customFormat="false" ht="15.75" hidden="false" customHeight="false" outlineLevel="0" collapsed="false">
      <c r="B49" s="9" t="s">
        <v>15</v>
      </c>
      <c r="C49" s="10" t="s">
        <v>16</v>
      </c>
      <c r="D49" s="9" t="s">
        <v>70</v>
      </c>
      <c r="E49" s="11" t="str">
        <f aca="false">IF(D49="","",IFERROR(INDEX('CLM &amp; IM Mapping'!$B$2:$B$270,MATCH(TRIM(D49),'CLM &amp; IM Mapping'!$A$2:$A$270,0)),"Not Mapped"))</f>
        <v>Arun Raj</v>
      </c>
      <c r="F49" s="11" t="str">
        <f aca="false">IF(D49="","",IFERROR(INDEX('CLM &amp; IM Mapping'!$C$2:$C$270,MATCH(TRIM(D49),'CLM &amp; IM Mapping'!$A$2:$A$270,0)),"Not Mapped"))</f>
        <v>Simon Manoharan</v>
      </c>
      <c r="G49" s="10" t="s">
        <v>22</v>
      </c>
      <c r="H49" s="12" t="n">
        <v>-6193</v>
      </c>
      <c r="I49" s="12" t="n">
        <v>4717</v>
      </c>
      <c r="J49" s="12" t="n">
        <v>0</v>
      </c>
      <c r="K49" s="12" t="n">
        <v>0</v>
      </c>
      <c r="L49" s="12" t="n">
        <v>1988</v>
      </c>
      <c r="M49" s="12" t="n">
        <v>0</v>
      </c>
      <c r="N49" s="12" t="n">
        <v>0</v>
      </c>
      <c r="O49" s="12" t="n">
        <v>0</v>
      </c>
      <c r="P49" s="12" t="n">
        <v>513</v>
      </c>
    </row>
    <row r="50" customFormat="false" ht="15.75" hidden="false" customHeight="false" outlineLevel="0" collapsed="false">
      <c r="B50" s="9" t="s">
        <v>15</v>
      </c>
      <c r="C50" s="10" t="s">
        <v>16</v>
      </c>
      <c r="D50" s="9" t="s">
        <v>71</v>
      </c>
      <c r="E50" s="11" t="str">
        <f aca="false">IF(D50="","",IFERROR(INDEX('CLM &amp; IM Mapping'!$B$2:$B$270,MATCH(TRIM(D50),'CLM &amp; IM Mapping'!$A$2:$A$270,0)),"Not Mapped"))</f>
        <v>Manoj Kj</v>
      </c>
      <c r="F50" s="11" t="str">
        <f aca="false">IF(D50="","",IFERROR(INDEX('CLM &amp; IM Mapping'!$C$2:$C$270,MATCH(TRIM(D50),'CLM &amp; IM Mapping'!$A$2:$A$270,0)),"Not Mapped"))</f>
        <v>Srittam Dhal</v>
      </c>
      <c r="G50" s="10" t="s">
        <v>18</v>
      </c>
      <c r="H50" s="12" t="n">
        <v>-82711</v>
      </c>
      <c r="I50" s="12" t="n">
        <v>0</v>
      </c>
      <c r="J50" s="12" t="n">
        <v>0</v>
      </c>
      <c r="K50" s="12" t="n">
        <v>191944</v>
      </c>
      <c r="L50" s="12" t="n">
        <v>0</v>
      </c>
      <c r="M50" s="12" t="n">
        <v>0</v>
      </c>
      <c r="N50" s="12" t="n">
        <v>0</v>
      </c>
      <c r="O50" s="12" t="n">
        <v>1470</v>
      </c>
      <c r="P50" s="12" t="n">
        <v>110703</v>
      </c>
    </row>
    <row r="51" customFormat="false" ht="15.75" hidden="false" customHeight="false" outlineLevel="0" collapsed="false">
      <c r="B51" s="9" t="s">
        <v>15</v>
      </c>
      <c r="C51" s="10" t="s">
        <v>16</v>
      </c>
      <c r="D51" s="9" t="s">
        <v>72</v>
      </c>
      <c r="E51" s="11" t="str">
        <f aca="false">IF(D51="","",IFERROR(INDEX('CLM &amp; IM Mapping'!$B$2:$B$270,MATCH(TRIM(D51),'CLM &amp; IM Mapping'!$A$2:$A$270,0)),"Not Mapped"))</f>
        <v>Basil Scariya</v>
      </c>
      <c r="F51" s="11" t="str">
        <f aca="false">IF(D51="","",IFERROR(INDEX('CLM &amp; IM Mapping'!$C$2:$C$270,MATCH(TRIM(D51),'CLM &amp; IM Mapping'!$A$2:$A$270,0)),"Not Mapped"))</f>
        <v>Prakash BS</v>
      </c>
      <c r="G51" s="10" t="s">
        <v>18</v>
      </c>
      <c r="H51" s="12" t="n">
        <v>-2327</v>
      </c>
      <c r="I51" s="12" t="n">
        <v>6483</v>
      </c>
      <c r="J51" s="12" t="n">
        <v>0</v>
      </c>
      <c r="K51" s="12" t="n">
        <v>107</v>
      </c>
      <c r="L51" s="12" t="n">
        <v>124</v>
      </c>
      <c r="M51" s="12" t="n">
        <v>0</v>
      </c>
      <c r="N51" s="12" t="n">
        <v>0</v>
      </c>
      <c r="O51" s="12" t="n">
        <v>0</v>
      </c>
      <c r="P51" s="12" t="n">
        <v>4387</v>
      </c>
    </row>
    <row r="52" customFormat="false" ht="15.75" hidden="false" customHeight="false" outlineLevel="0" collapsed="false">
      <c r="B52" s="9" t="s">
        <v>15</v>
      </c>
      <c r="C52" s="10" t="s">
        <v>16</v>
      </c>
      <c r="D52" s="9" t="s">
        <v>73</v>
      </c>
      <c r="E52" s="11" t="str">
        <f aca="false">IF(D52="","",IFERROR(INDEX('CLM &amp; IM Mapping'!$B$2:$B$270,MATCH(TRIM(D52),'CLM &amp; IM Mapping'!$A$2:$A$270,0)),"Not Mapped"))</f>
        <v>Rizwan Ahmed</v>
      </c>
      <c r="F52" s="11" t="str">
        <f aca="false">IF(D52="","",IFERROR(INDEX('CLM &amp; IM Mapping'!$C$2:$C$270,MATCH(TRIM(D52),'CLM &amp; IM Mapping'!$A$2:$A$270,0)),"Not Mapped"))</f>
        <v>Un Mapped</v>
      </c>
      <c r="G52" s="10" t="s">
        <v>18</v>
      </c>
      <c r="H52" s="12" t="n">
        <v>5407</v>
      </c>
      <c r="I52" s="12" t="n">
        <v>2745</v>
      </c>
      <c r="J52" s="12" t="n">
        <v>0</v>
      </c>
      <c r="K52" s="12" t="n">
        <v>0</v>
      </c>
      <c r="L52" s="12" t="n">
        <v>0</v>
      </c>
      <c r="M52" s="12" t="n">
        <v>0</v>
      </c>
      <c r="N52" s="12" t="n">
        <v>0</v>
      </c>
      <c r="O52" s="12" t="n">
        <v>0</v>
      </c>
      <c r="P52" s="12" t="n">
        <v>8152</v>
      </c>
    </row>
    <row r="53" customFormat="false" ht="15.75" hidden="false" customHeight="false" outlineLevel="0" collapsed="false">
      <c r="B53" s="9" t="s">
        <v>15</v>
      </c>
      <c r="C53" s="10" t="s">
        <v>16</v>
      </c>
      <c r="D53" s="9" t="s">
        <v>74</v>
      </c>
      <c r="E53" s="11" t="str">
        <f aca="false">IF(D53="","",IFERROR(INDEX('CLM &amp; IM Mapping'!$B$2:$B$270,MATCH(TRIM(D53),'CLM &amp; IM Mapping'!$A$2:$A$270,0)),"Not Mapped"))</f>
        <v>Balaji G</v>
      </c>
      <c r="F53" s="11" t="str">
        <f aca="false">IF(D53="","",IFERROR(INDEX('CLM &amp; IM Mapping'!$C$2:$C$270,MATCH(TRIM(D53),'CLM &amp; IM Mapping'!$A$2:$A$270,0)),"Not Mapped"))</f>
        <v>Mohammed Akbar</v>
      </c>
      <c r="G53" s="10" t="s">
        <v>18</v>
      </c>
      <c r="H53" s="12" t="n">
        <v>-25203</v>
      </c>
      <c r="I53" s="12" t="n">
        <v>13631</v>
      </c>
      <c r="J53" s="12" t="n">
        <v>0</v>
      </c>
      <c r="K53" s="12" t="n">
        <v>0</v>
      </c>
      <c r="L53" s="12" t="n">
        <v>258</v>
      </c>
      <c r="M53" s="12" t="n">
        <v>0</v>
      </c>
      <c r="N53" s="12" t="n">
        <v>0</v>
      </c>
      <c r="O53" s="12" t="n">
        <v>0</v>
      </c>
      <c r="P53" s="12" t="n">
        <v>-11314</v>
      </c>
    </row>
    <row r="54" customFormat="false" ht="15.75" hidden="false" customHeight="false" outlineLevel="0" collapsed="false">
      <c r="B54" s="9" t="s">
        <v>15</v>
      </c>
      <c r="C54" s="10" t="s">
        <v>16</v>
      </c>
      <c r="D54" s="9" t="s">
        <v>75</v>
      </c>
      <c r="E54" s="11" t="str">
        <f aca="false">IF(D54="","",IFERROR(INDEX('CLM &amp; IM Mapping'!$B$2:$B$270,MATCH(TRIM(D54),'CLM &amp; IM Mapping'!$A$2:$A$270,0)),"Not Mapped"))</f>
        <v>Akshay P</v>
      </c>
      <c r="F54" s="11" t="str">
        <f aca="false">IF(D54="","",IFERROR(INDEX('CLM &amp; IM Mapping'!$C$2:$C$270,MATCH(TRIM(D54),'CLM &amp; IM Mapping'!$A$2:$A$270,0)),"Not Mapped"))</f>
        <v>Srittam Dhal</v>
      </c>
      <c r="G54" s="10" t="s">
        <v>18</v>
      </c>
      <c r="H54" s="12" t="n">
        <v>-2729</v>
      </c>
      <c r="I54" s="12" t="n">
        <v>14097</v>
      </c>
      <c r="J54" s="12" t="n">
        <v>0</v>
      </c>
      <c r="K54" s="12" t="n">
        <v>0</v>
      </c>
      <c r="L54" s="12" t="n">
        <v>273</v>
      </c>
      <c r="M54" s="12" t="n">
        <v>0</v>
      </c>
      <c r="N54" s="12" t="n">
        <v>0</v>
      </c>
      <c r="O54" s="12" t="n">
        <v>0</v>
      </c>
      <c r="P54" s="12" t="n">
        <v>11641</v>
      </c>
    </row>
    <row r="55" customFormat="false" ht="15.75" hidden="false" customHeight="false" outlineLevel="0" collapsed="false">
      <c r="B55" s="9" t="s">
        <v>15</v>
      </c>
      <c r="C55" s="10" t="s">
        <v>16</v>
      </c>
      <c r="D55" s="9" t="s">
        <v>76</v>
      </c>
      <c r="E55" s="11" t="str">
        <f aca="false">IF(D55="","",IFERROR(INDEX('CLM &amp; IM Mapping'!$B$2:$B$270,MATCH(TRIM(D55),'CLM &amp; IM Mapping'!$A$2:$A$270,0)),"Not Mapped"))</f>
        <v>Silambarasan E</v>
      </c>
      <c r="F55" s="11" t="str">
        <f aca="false">IF(D55="","",IFERROR(INDEX('CLM &amp; IM Mapping'!$C$2:$C$270,MATCH(TRIM(D55),'CLM &amp; IM Mapping'!$A$2:$A$270,0)),"Not Mapped"))</f>
        <v>Arivind S</v>
      </c>
      <c r="G55" s="10" t="s">
        <v>18</v>
      </c>
      <c r="H55" s="12" t="n">
        <v>44009</v>
      </c>
      <c r="I55" s="12" t="n">
        <v>4060</v>
      </c>
      <c r="J55" s="12" t="n">
        <v>0</v>
      </c>
      <c r="K55" s="12" t="n">
        <v>0</v>
      </c>
      <c r="L55" s="12" t="n">
        <v>190</v>
      </c>
      <c r="M55" s="12" t="n">
        <v>0</v>
      </c>
      <c r="N55" s="12" t="n">
        <v>0</v>
      </c>
      <c r="O55" s="12" t="n">
        <v>0</v>
      </c>
      <c r="P55" s="12" t="n">
        <v>48259</v>
      </c>
    </row>
    <row r="56" customFormat="false" ht="15.75" hidden="false" customHeight="false" outlineLevel="0" collapsed="false">
      <c r="B56" s="9" t="s">
        <v>15</v>
      </c>
      <c r="C56" s="10" t="s">
        <v>16</v>
      </c>
      <c r="D56" s="9" t="s">
        <v>77</v>
      </c>
      <c r="E56" s="11" t="str">
        <f aca="false">IF(D56="","",IFERROR(INDEX('CLM &amp; IM Mapping'!$B$2:$B$270,MATCH(TRIM(D56),'CLM &amp; IM Mapping'!$A$2:$A$270,0)),"Not Mapped"))</f>
        <v>Manjunatha V</v>
      </c>
      <c r="F56" s="11" t="str">
        <f aca="false">IF(D56="","",IFERROR(INDEX('CLM &amp; IM Mapping'!$C$2:$C$270,MATCH(TRIM(D56),'CLM &amp; IM Mapping'!$A$2:$A$270,0)),"Not Mapped"))</f>
        <v>Un Mapped</v>
      </c>
      <c r="G56" s="10" t="s">
        <v>18</v>
      </c>
      <c r="H56" s="12" t="n">
        <v>-49282</v>
      </c>
      <c r="I56" s="12" t="n">
        <v>0</v>
      </c>
      <c r="J56" s="12" t="n">
        <v>0</v>
      </c>
      <c r="K56" s="12" t="n">
        <v>34008</v>
      </c>
      <c r="L56" s="12" t="n">
        <v>0</v>
      </c>
      <c r="M56" s="12" t="n">
        <v>0</v>
      </c>
      <c r="N56" s="12" t="n">
        <v>0</v>
      </c>
      <c r="O56" s="12" t="n">
        <v>0</v>
      </c>
      <c r="P56" s="12" t="n">
        <v>-15274</v>
      </c>
    </row>
    <row r="57" customFormat="false" ht="15.75" hidden="false" customHeight="false" outlineLevel="0" collapsed="false">
      <c r="B57" s="9" t="s">
        <v>15</v>
      </c>
      <c r="C57" s="10" t="s">
        <v>16</v>
      </c>
      <c r="D57" s="9" t="s">
        <v>78</v>
      </c>
      <c r="E57" s="11" t="str">
        <f aca="false">IF(D57="","",IFERROR(INDEX('CLM &amp; IM Mapping'!$B$2:$B$270,MATCH(TRIM(D57),'CLM &amp; IM Mapping'!$A$2:$A$270,0)),"Not Mapped"))</f>
        <v>Raghavendra Vernekar</v>
      </c>
      <c r="F57" s="11" t="str">
        <f aca="false">IF(D57="","",IFERROR(INDEX('CLM &amp; IM Mapping'!$C$2:$C$270,MATCH(TRIM(D57),'CLM &amp; IM Mapping'!$A$2:$A$270,0)),"Not Mapped"))</f>
        <v>Prakash BS</v>
      </c>
      <c r="G57" s="10" t="s">
        <v>18</v>
      </c>
      <c r="H57" s="12" t="n">
        <v>0</v>
      </c>
      <c r="I57" s="12" t="n">
        <v>0</v>
      </c>
      <c r="J57" s="12" t="n">
        <v>0</v>
      </c>
      <c r="K57" s="12" t="n">
        <v>0</v>
      </c>
      <c r="L57" s="12" t="n">
        <v>0</v>
      </c>
      <c r="M57" s="12" t="n">
        <v>0</v>
      </c>
      <c r="N57" s="12" t="n">
        <v>0</v>
      </c>
      <c r="O57" s="12" t="n">
        <v>0</v>
      </c>
      <c r="P57" s="12" t="n">
        <v>0</v>
      </c>
    </row>
    <row r="58" customFormat="false" ht="15.75" hidden="false" customHeight="false" outlineLevel="0" collapsed="false">
      <c r="B58" s="9" t="s">
        <v>15</v>
      </c>
      <c r="C58" s="10" t="s">
        <v>16</v>
      </c>
      <c r="D58" s="9" t="s">
        <v>79</v>
      </c>
      <c r="E58" s="11" t="str">
        <f aca="false">IF(D58="","",IFERROR(INDEX('CLM &amp; IM Mapping'!$B$2:$B$270,MATCH(TRIM(D58),'CLM &amp; IM Mapping'!$A$2:$A$270,0)),"Not Mapped"))</f>
        <v>Akshay P</v>
      </c>
      <c r="F58" s="11" t="str">
        <f aca="false">IF(D58="","",IFERROR(INDEX('CLM &amp; IM Mapping'!$C$2:$C$270,MATCH(TRIM(D58),'CLM &amp; IM Mapping'!$A$2:$A$270,0)),"Not Mapped"))</f>
        <v>Srittam Dhal</v>
      </c>
      <c r="G58" s="10" t="s">
        <v>18</v>
      </c>
      <c r="H58" s="12" t="n">
        <v>0</v>
      </c>
      <c r="I58" s="12" t="n">
        <v>0</v>
      </c>
      <c r="J58" s="12" t="n">
        <v>0</v>
      </c>
      <c r="K58" s="12" t="n">
        <v>0</v>
      </c>
      <c r="L58" s="12" t="n">
        <v>0</v>
      </c>
      <c r="M58" s="12" t="n">
        <v>0</v>
      </c>
      <c r="N58" s="12" t="n">
        <v>0</v>
      </c>
      <c r="O58" s="12" t="n">
        <v>0</v>
      </c>
      <c r="P58" s="12" t="n">
        <v>0</v>
      </c>
    </row>
    <row r="59" customFormat="false" ht="15.75" hidden="false" customHeight="false" outlineLevel="0" collapsed="false">
      <c r="B59" s="9" t="s">
        <v>15</v>
      </c>
      <c r="C59" s="10" t="s">
        <v>44</v>
      </c>
      <c r="D59" s="9" t="s">
        <v>80</v>
      </c>
      <c r="E59" s="11" t="str">
        <f aca="false">IF(D59="","",IFERROR(INDEX('CLM &amp; IM Mapping'!$B$2:$B$270,MATCH(TRIM(D59),'CLM &amp; IM Mapping'!$A$2:$A$270,0)),"Not Mapped"))</f>
        <v>Vishnu V</v>
      </c>
      <c r="F59" s="11" t="str">
        <f aca="false">IF(D59="","",IFERROR(INDEX('CLM &amp; IM Mapping'!$C$2:$C$270,MATCH(TRIM(D59),'CLM &amp; IM Mapping'!$A$2:$A$270,0)),"Not Mapped"))</f>
        <v>Arivind S</v>
      </c>
      <c r="G59" s="10" t="s">
        <v>18</v>
      </c>
      <c r="H59" s="12" t="n">
        <v>-19476</v>
      </c>
      <c r="I59" s="12" t="n">
        <v>6667</v>
      </c>
      <c r="J59" s="12" t="n">
        <v>1000</v>
      </c>
      <c r="K59" s="12" t="n">
        <v>0</v>
      </c>
      <c r="L59" s="12" t="n">
        <v>0</v>
      </c>
      <c r="M59" s="12" t="n">
        <v>0</v>
      </c>
      <c r="N59" s="12" t="n">
        <v>3786</v>
      </c>
      <c r="O59" s="12" t="n">
        <v>0</v>
      </c>
      <c r="P59" s="12" t="n">
        <v>-8023</v>
      </c>
    </row>
    <row r="60" customFormat="false" ht="15.75" hidden="false" customHeight="false" outlineLevel="0" collapsed="false">
      <c r="B60" s="9" t="s">
        <v>15</v>
      </c>
      <c r="C60" s="10" t="s">
        <v>16</v>
      </c>
      <c r="D60" s="9" t="s">
        <v>81</v>
      </c>
      <c r="E60" s="11" t="str">
        <f aca="false">IF(D60="","",IFERROR(INDEX('CLM &amp; IM Mapping'!$B$2:$B$270,MATCH(TRIM(D60),'CLM &amp; IM Mapping'!$A$2:$A$270,0)),"Not Mapped"))</f>
        <v>Sundaresh S</v>
      </c>
      <c r="F60" s="11" t="str">
        <f aca="false">IF(D60="","",IFERROR(INDEX('CLM &amp; IM Mapping'!$C$2:$C$270,MATCH(TRIM(D60),'CLM &amp; IM Mapping'!$A$2:$A$270,0)),"Not Mapped"))</f>
        <v>Un Mapped</v>
      </c>
      <c r="G60" s="10" t="s">
        <v>18</v>
      </c>
      <c r="H60" s="12" t="n">
        <v>-12067</v>
      </c>
      <c r="I60" s="12" t="n">
        <v>954</v>
      </c>
      <c r="J60" s="12" t="n">
        <v>214</v>
      </c>
      <c r="K60" s="12" t="n">
        <v>4030</v>
      </c>
      <c r="L60" s="12" t="n">
        <v>268</v>
      </c>
      <c r="M60" s="12" t="n">
        <v>0</v>
      </c>
      <c r="N60" s="12" t="n">
        <v>5326</v>
      </c>
      <c r="O60" s="12" t="n">
        <v>0</v>
      </c>
      <c r="P60" s="12" t="n">
        <v>-1276</v>
      </c>
    </row>
    <row r="61" customFormat="false" ht="15.75" hidden="false" customHeight="false" outlineLevel="0" collapsed="false">
      <c r="B61" s="9" t="s">
        <v>15</v>
      </c>
      <c r="C61" s="10" t="s">
        <v>16</v>
      </c>
      <c r="D61" s="9" t="s">
        <v>82</v>
      </c>
      <c r="E61" s="11" t="str">
        <f aca="false">IF(D61="","",IFERROR(INDEX('CLM &amp; IM Mapping'!$B$2:$B$270,MATCH(TRIM(D61),'CLM &amp; IM Mapping'!$A$2:$A$270,0)),"Not Mapped"))</f>
        <v>Narasimhamurthy R</v>
      </c>
      <c r="F61" s="11" t="str">
        <f aca="false">IF(D61="","",IFERROR(INDEX('CLM &amp; IM Mapping'!$C$2:$C$270,MATCH(TRIM(D61),'CLM &amp; IM Mapping'!$A$2:$A$270,0)),"Not Mapped"))</f>
        <v>Kishor K</v>
      </c>
      <c r="G61" s="10" t="s">
        <v>18</v>
      </c>
      <c r="H61" s="12" t="n">
        <v>-7590</v>
      </c>
      <c r="I61" s="12" t="n">
        <v>1741</v>
      </c>
      <c r="J61" s="12" t="n">
        <v>115</v>
      </c>
      <c r="K61" s="12" t="n">
        <v>0</v>
      </c>
      <c r="L61" s="12" t="n">
        <v>403</v>
      </c>
      <c r="M61" s="12" t="n">
        <v>0</v>
      </c>
      <c r="N61" s="12" t="n">
        <v>0</v>
      </c>
      <c r="O61" s="12" t="n">
        <v>0</v>
      </c>
      <c r="P61" s="12" t="n">
        <v>-5331</v>
      </c>
    </row>
    <row r="62" customFormat="false" ht="15.75" hidden="false" customHeight="false" outlineLevel="0" collapsed="false">
      <c r="B62" s="9" t="s">
        <v>15</v>
      </c>
      <c r="C62" s="10" t="s">
        <v>44</v>
      </c>
      <c r="D62" s="9" t="s">
        <v>83</v>
      </c>
      <c r="E62" s="11" t="str">
        <f aca="false">IF(D62="","",IFERROR(INDEX('CLM &amp; IM Mapping'!$B$2:$B$270,MATCH(TRIM(D62),'CLM &amp; IM Mapping'!$A$2:$A$270,0)),"Not Mapped"))</f>
        <v>Vishnu V</v>
      </c>
      <c r="F62" s="11" t="str">
        <f aca="false">IF(D62="","",IFERROR(INDEX('CLM &amp; IM Mapping'!$C$2:$C$270,MATCH(TRIM(D62),'CLM &amp; IM Mapping'!$A$2:$A$270,0)),"Not Mapped"))</f>
        <v>Arivind S</v>
      </c>
      <c r="G62" s="10" t="s">
        <v>18</v>
      </c>
      <c r="H62" s="12" t="n">
        <v>-3369</v>
      </c>
      <c r="I62" s="12" t="n">
        <v>10805</v>
      </c>
      <c r="J62" s="12" t="n">
        <v>748</v>
      </c>
      <c r="K62" s="12" t="n">
        <v>0</v>
      </c>
      <c r="L62" s="12" t="n">
        <v>535</v>
      </c>
      <c r="M62" s="12" t="n">
        <v>0</v>
      </c>
      <c r="N62" s="12" t="n">
        <v>0</v>
      </c>
      <c r="O62" s="12" t="n">
        <v>0</v>
      </c>
      <c r="P62" s="12" t="n">
        <v>8719</v>
      </c>
    </row>
    <row r="63" customFormat="false" ht="15.75" hidden="false" customHeight="false" outlineLevel="0" collapsed="false">
      <c r="B63" s="9" t="s">
        <v>15</v>
      </c>
      <c r="C63" s="10" t="s">
        <v>16</v>
      </c>
      <c r="D63" s="9" t="s">
        <v>84</v>
      </c>
      <c r="E63" s="11" t="str">
        <f aca="false">IF(D63="","",IFERROR(INDEX('CLM &amp; IM Mapping'!$B$2:$B$270,MATCH(TRIM(D63),'CLM &amp; IM Mapping'!$A$2:$A$270,0)),"Not Mapped"))</f>
        <v>Mohaideen DH</v>
      </c>
      <c r="F63" s="11" t="str">
        <f aca="false">IF(D63="","",IFERROR(INDEX('CLM &amp; IM Mapping'!$C$2:$C$270,MATCH(TRIM(D63),'CLM &amp; IM Mapping'!$A$2:$A$270,0)),"Not Mapped"))</f>
        <v>Mohammed Akbar</v>
      </c>
      <c r="G63" s="10" t="s">
        <v>18</v>
      </c>
      <c r="H63" s="12" t="n">
        <v>-31906</v>
      </c>
      <c r="I63" s="12" t="n">
        <v>673</v>
      </c>
      <c r="J63" s="12" t="n">
        <v>0</v>
      </c>
      <c r="K63" s="12" t="n">
        <v>73</v>
      </c>
      <c r="L63" s="12" t="n">
        <v>307</v>
      </c>
      <c r="M63" s="12" t="n">
        <v>0</v>
      </c>
      <c r="N63" s="12" t="n">
        <v>0</v>
      </c>
      <c r="O63" s="12" t="n">
        <v>0</v>
      </c>
      <c r="P63" s="12" t="n">
        <v>-30854</v>
      </c>
    </row>
    <row r="64" customFormat="false" ht="15.75" hidden="false" customHeight="false" outlineLevel="0" collapsed="false">
      <c r="B64" s="9" t="s">
        <v>15</v>
      </c>
      <c r="C64" s="10" t="s">
        <v>16</v>
      </c>
      <c r="D64" s="9" t="s">
        <v>85</v>
      </c>
      <c r="E64" s="11" t="str">
        <f aca="false">IF(D64="","",IFERROR(INDEX('CLM &amp; IM Mapping'!$B$2:$B$270,MATCH(TRIM(D64),'CLM &amp; IM Mapping'!$A$2:$A$270,0)),"Not Mapped"))</f>
        <v>Narasimhamurthy R</v>
      </c>
      <c r="F64" s="11" t="str">
        <f aca="false">IF(D64="","",IFERROR(INDEX('CLM &amp; IM Mapping'!$C$2:$C$270,MATCH(TRIM(D64),'CLM &amp; IM Mapping'!$A$2:$A$270,0)),"Not Mapped"))</f>
        <v>Kishor K</v>
      </c>
      <c r="G64" s="10" t="s">
        <v>18</v>
      </c>
      <c r="H64" s="12" t="n">
        <v>-13313</v>
      </c>
      <c r="I64" s="12" t="n">
        <v>0</v>
      </c>
      <c r="J64" s="12" t="n">
        <v>0</v>
      </c>
      <c r="K64" s="12" t="n">
        <v>63</v>
      </c>
      <c r="L64" s="12" t="n">
        <v>23</v>
      </c>
      <c r="M64" s="12" t="n">
        <v>0</v>
      </c>
      <c r="N64" s="12" t="n">
        <v>0</v>
      </c>
      <c r="O64" s="12" t="n">
        <v>0</v>
      </c>
      <c r="P64" s="12" t="n">
        <v>-13227</v>
      </c>
    </row>
    <row r="65" customFormat="false" ht="15.75" hidden="false" customHeight="false" outlineLevel="0" collapsed="false">
      <c r="B65" s="9" t="s">
        <v>15</v>
      </c>
      <c r="C65" s="10" t="s">
        <v>16</v>
      </c>
      <c r="D65" s="9" t="s">
        <v>86</v>
      </c>
      <c r="E65" s="11" t="str">
        <f aca="false">IF(D65="","",IFERROR(INDEX('CLM &amp; IM Mapping'!$B$2:$B$270,MATCH(TRIM(D65),'CLM &amp; IM Mapping'!$A$2:$A$270,0)),"Not Mapped"))</f>
        <v>Adhavan Subramani</v>
      </c>
      <c r="F65" s="11" t="str">
        <f aca="false">IF(D65="","",IFERROR(INDEX('CLM &amp; IM Mapping'!$C$2:$C$270,MATCH(TRIM(D65),'CLM &amp; IM Mapping'!$A$2:$A$270,0)),"Not Mapped"))</f>
        <v>Mohammed Akbar</v>
      </c>
      <c r="G65" s="10" t="s">
        <v>18</v>
      </c>
      <c r="H65" s="12" t="n">
        <v>16761</v>
      </c>
      <c r="I65" s="12" t="n">
        <v>27598</v>
      </c>
      <c r="J65" s="12" t="n">
        <v>0</v>
      </c>
      <c r="K65" s="12" t="n">
        <v>5808</v>
      </c>
      <c r="L65" s="12" t="n">
        <v>1603</v>
      </c>
      <c r="M65" s="12" t="n">
        <v>0</v>
      </c>
      <c r="N65" s="12" t="n">
        <v>0</v>
      </c>
      <c r="O65" s="12" t="n">
        <v>0</v>
      </c>
      <c r="P65" s="12" t="n">
        <v>51771</v>
      </c>
    </row>
    <row r="66" customFormat="false" ht="15.75" hidden="false" customHeight="false" outlineLevel="0" collapsed="false">
      <c r="B66" s="9" t="s">
        <v>15</v>
      </c>
      <c r="C66" s="10" t="s">
        <v>16</v>
      </c>
      <c r="D66" s="9" t="s">
        <v>87</v>
      </c>
      <c r="E66" s="11" t="str">
        <f aca="false">IF(D66="","",IFERROR(INDEX('CLM &amp; IM Mapping'!$B$2:$B$270,MATCH(TRIM(D66),'CLM &amp; IM Mapping'!$A$2:$A$270,0)),"Not Mapped"))</f>
        <v>Richard Harris</v>
      </c>
      <c r="F66" s="11" t="str">
        <f aca="false">IF(D66="","",IFERROR(INDEX('CLM &amp; IM Mapping'!$C$2:$C$270,MATCH(TRIM(D66),'CLM &amp; IM Mapping'!$A$2:$A$270,0)),"Not Mapped"))</f>
        <v>Kantha Kumar</v>
      </c>
      <c r="G66" s="10" t="s">
        <v>18</v>
      </c>
      <c r="H66" s="12" t="n">
        <v>6414</v>
      </c>
      <c r="I66" s="12" t="n">
        <v>11926</v>
      </c>
      <c r="J66" s="12" t="n">
        <v>0</v>
      </c>
      <c r="K66" s="12" t="n">
        <v>1448</v>
      </c>
      <c r="L66" s="12" t="n">
        <v>63</v>
      </c>
      <c r="M66" s="12" t="n">
        <v>0</v>
      </c>
      <c r="N66" s="12" t="n">
        <v>0</v>
      </c>
      <c r="O66" s="12" t="n">
        <v>7417</v>
      </c>
      <c r="P66" s="12" t="n">
        <v>27268</v>
      </c>
    </row>
    <row r="67" customFormat="false" ht="15.75" hidden="false" customHeight="false" outlineLevel="0" collapsed="false">
      <c r="B67" s="9" t="s">
        <v>15</v>
      </c>
      <c r="C67" s="10" t="s">
        <v>47</v>
      </c>
      <c r="D67" s="9" t="s">
        <v>88</v>
      </c>
      <c r="E67" s="11" t="str">
        <f aca="false">IF(D67="","",IFERROR(INDEX('CLM &amp; IM Mapping'!$B$2:$B$270,MATCH(TRIM(D67),'CLM &amp; IM Mapping'!$A$2:$A$270,0)),"Not Mapped"))</f>
        <v>John Britto</v>
      </c>
      <c r="F67" s="11" t="str">
        <f aca="false">IF(D67="","",IFERROR(INDEX('CLM &amp; IM Mapping'!$C$2:$C$270,MATCH(TRIM(D67),'CLM &amp; IM Mapping'!$A$2:$A$270,0)),"Not Mapped"))</f>
        <v>Aravind S</v>
      </c>
      <c r="G67" s="10" t="s">
        <v>18</v>
      </c>
      <c r="H67" s="12" t="n">
        <v>-7519</v>
      </c>
      <c r="I67" s="12" t="n">
        <v>299</v>
      </c>
      <c r="J67" s="12" t="n">
        <v>0</v>
      </c>
      <c r="K67" s="12" t="n">
        <v>0</v>
      </c>
      <c r="L67" s="12" t="n">
        <v>0</v>
      </c>
      <c r="M67" s="12" t="n">
        <v>0</v>
      </c>
      <c r="N67" s="12" t="n">
        <v>0</v>
      </c>
      <c r="O67" s="12" t="n">
        <v>0</v>
      </c>
      <c r="P67" s="12" t="n">
        <v>-7220</v>
      </c>
    </row>
    <row r="68" customFormat="false" ht="15.75" hidden="false" customHeight="false" outlineLevel="0" collapsed="false">
      <c r="B68" s="9" t="s">
        <v>15</v>
      </c>
      <c r="C68" s="10" t="s">
        <v>44</v>
      </c>
      <c r="D68" s="9" t="s">
        <v>89</v>
      </c>
      <c r="E68" s="11" t="str">
        <f aca="false">IF(D68="","",IFERROR(INDEX('CLM &amp; IM Mapping'!$B$2:$B$270,MATCH(TRIM(D68),'CLM &amp; IM Mapping'!$A$2:$A$270,0)),"Not Mapped"))</f>
        <v>Vishnu V</v>
      </c>
      <c r="F68" s="11" t="str">
        <f aca="false">IF(D68="","",IFERROR(INDEX('CLM &amp; IM Mapping'!$C$2:$C$270,MATCH(TRIM(D68),'CLM &amp; IM Mapping'!$A$2:$A$270,0)),"Not Mapped"))</f>
        <v>Arivind S</v>
      </c>
      <c r="G68" s="10" t="s">
        <v>18</v>
      </c>
      <c r="H68" s="12" t="n">
        <v>-334</v>
      </c>
      <c r="I68" s="12" t="n">
        <v>1200</v>
      </c>
      <c r="J68" s="12" t="n">
        <v>0</v>
      </c>
      <c r="K68" s="12" t="n">
        <v>183</v>
      </c>
      <c r="L68" s="12" t="n">
        <v>0</v>
      </c>
      <c r="M68" s="12" t="n">
        <v>0</v>
      </c>
      <c r="N68" s="12" t="n">
        <v>0</v>
      </c>
      <c r="O68" s="12" t="n">
        <v>0</v>
      </c>
      <c r="P68" s="12" t="n">
        <v>1049</v>
      </c>
    </row>
    <row r="69" customFormat="false" ht="15.75" hidden="false" customHeight="false" outlineLevel="0" collapsed="false">
      <c r="B69" s="9" t="s">
        <v>15</v>
      </c>
      <c r="C69" s="10" t="s">
        <v>16</v>
      </c>
      <c r="D69" s="9" t="s">
        <v>90</v>
      </c>
      <c r="E69" s="11" t="str">
        <f aca="false">IF(D69="","",IFERROR(INDEX('CLM &amp; IM Mapping'!$B$2:$B$270,MATCH(TRIM(D69),'CLM &amp; IM Mapping'!$A$2:$A$270,0)),"Not Mapped"))</f>
        <v>Ashwath S</v>
      </c>
      <c r="F69" s="11" t="str">
        <f aca="false">IF(D69="","",IFERROR(INDEX('CLM &amp; IM Mapping'!$C$2:$C$270,MATCH(TRIM(D69),'CLM &amp; IM Mapping'!$A$2:$A$270,0)),"Not Mapped"))</f>
        <v>Kantha Kumar</v>
      </c>
      <c r="G69" s="10" t="s">
        <v>18</v>
      </c>
      <c r="H69" s="12" t="n">
        <v>-1423</v>
      </c>
      <c r="I69" s="12" t="n">
        <v>3189</v>
      </c>
      <c r="J69" s="12" t="n">
        <v>0</v>
      </c>
      <c r="K69" s="12" t="n">
        <v>1771</v>
      </c>
      <c r="L69" s="12" t="n">
        <v>99</v>
      </c>
      <c r="M69" s="12" t="n">
        <v>0</v>
      </c>
      <c r="N69" s="12" t="n">
        <v>0</v>
      </c>
      <c r="O69" s="12" t="n">
        <v>0</v>
      </c>
      <c r="P69" s="12" t="n">
        <v>3636</v>
      </c>
    </row>
    <row r="70" customFormat="false" ht="15.75" hidden="false" customHeight="false" outlineLevel="0" collapsed="false">
      <c r="B70" s="9" t="s">
        <v>15</v>
      </c>
      <c r="C70" s="10" t="s">
        <v>16</v>
      </c>
      <c r="D70" s="9" t="s">
        <v>91</v>
      </c>
      <c r="E70" s="11" t="str">
        <f aca="false">IF(D70="","",IFERROR(INDEX('CLM &amp; IM Mapping'!$B$2:$B$270,MATCH(TRIM(D70),'CLM &amp; IM Mapping'!$A$2:$A$270,0)),"Not Mapped"))</f>
        <v>Manoj Kj</v>
      </c>
      <c r="F70" s="11" t="str">
        <f aca="false">IF(D70="","",IFERROR(INDEX('CLM &amp; IM Mapping'!$C$2:$C$270,MATCH(TRIM(D70),'CLM &amp; IM Mapping'!$A$2:$A$270,0)),"Not Mapped"))</f>
        <v>Srittam Dhal</v>
      </c>
      <c r="G70" s="10" t="s">
        <v>18</v>
      </c>
      <c r="H70" s="12" t="n">
        <v>84</v>
      </c>
      <c r="I70" s="12" t="n">
        <v>0</v>
      </c>
      <c r="J70" s="12" t="n">
        <v>0</v>
      </c>
      <c r="K70" s="12" t="n">
        <v>16377</v>
      </c>
      <c r="L70" s="12" t="n">
        <v>0</v>
      </c>
      <c r="M70" s="12" t="n">
        <v>0</v>
      </c>
      <c r="N70" s="12" t="n">
        <v>0</v>
      </c>
      <c r="O70" s="12" t="n">
        <v>0</v>
      </c>
      <c r="P70" s="12" t="n">
        <v>16461</v>
      </c>
    </row>
    <row r="71" customFormat="false" ht="15.75" hidden="false" customHeight="false" outlineLevel="0" collapsed="false">
      <c r="B71" s="9" t="s">
        <v>15</v>
      </c>
      <c r="C71" s="10" t="s">
        <v>92</v>
      </c>
      <c r="D71" s="9" t="s">
        <v>93</v>
      </c>
      <c r="E71" s="11" t="str">
        <f aca="false">IF(D71="","",IFERROR(INDEX('CLM &amp; IM Mapping'!$B$2:$B$270,MATCH(TRIM(D71),'CLM &amp; IM Mapping'!$A$2:$A$270,0)),"Not Mapped"))</f>
        <v>Bangareppa CS</v>
      </c>
      <c r="F71" s="11" t="str">
        <f aca="false">IF(D71="","",IFERROR(INDEX('CLM &amp; IM Mapping'!$C$2:$C$270,MATCH(TRIM(D71),'CLM &amp; IM Mapping'!$A$2:$A$270,0)),"Not Mapped"))</f>
        <v>Kishor K</v>
      </c>
      <c r="G71" s="10" t="s">
        <v>18</v>
      </c>
      <c r="H71" s="12" t="n">
        <v>18163</v>
      </c>
      <c r="I71" s="12" t="n">
        <v>1919</v>
      </c>
      <c r="J71" s="12" t="n">
        <v>0</v>
      </c>
      <c r="K71" s="12" t="n">
        <v>0</v>
      </c>
      <c r="L71" s="12" t="n">
        <v>735</v>
      </c>
      <c r="M71" s="12" t="n">
        <v>0</v>
      </c>
      <c r="N71" s="12" t="n">
        <v>0</v>
      </c>
      <c r="O71" s="12" t="n">
        <v>0</v>
      </c>
      <c r="P71" s="12" t="n">
        <v>20817</v>
      </c>
    </row>
    <row r="72" customFormat="false" ht="15.75" hidden="false" customHeight="false" outlineLevel="0" collapsed="false">
      <c r="B72" s="9" t="s">
        <v>15</v>
      </c>
      <c r="C72" s="10" t="s">
        <v>16</v>
      </c>
      <c r="D72" s="9" t="s">
        <v>94</v>
      </c>
      <c r="E72" s="11" t="str">
        <f aca="false">IF(D72="","",IFERROR(INDEX('CLM &amp; IM Mapping'!$B$2:$B$270,MATCH(TRIM(D72),'CLM &amp; IM Mapping'!$A$2:$A$270,0)),"Not Mapped"))</f>
        <v>Raghavendra Vernekar</v>
      </c>
      <c r="F72" s="11" t="str">
        <f aca="false">IF(D72="","",IFERROR(INDEX('CLM &amp; IM Mapping'!$C$2:$C$270,MATCH(TRIM(D72),'CLM &amp; IM Mapping'!$A$2:$A$270,0)),"Not Mapped"))</f>
        <v>Prakash BS</v>
      </c>
      <c r="G72" s="10" t="s">
        <v>18</v>
      </c>
      <c r="H72" s="12" t="n">
        <v>-29868</v>
      </c>
      <c r="I72" s="12" t="n">
        <v>39442</v>
      </c>
      <c r="J72" s="12" t="n">
        <v>156</v>
      </c>
      <c r="K72" s="12" t="n">
        <v>119</v>
      </c>
      <c r="L72" s="12" t="n">
        <v>1093</v>
      </c>
      <c r="M72" s="12" t="n">
        <v>0</v>
      </c>
      <c r="N72" s="12" t="n">
        <v>0</v>
      </c>
      <c r="O72" s="12" t="n">
        <v>0</v>
      </c>
      <c r="P72" s="12" t="n">
        <v>10941</v>
      </c>
    </row>
    <row r="73" customFormat="false" ht="15.75" hidden="false" customHeight="false" outlineLevel="0" collapsed="false">
      <c r="B73" s="9" t="s">
        <v>15</v>
      </c>
      <c r="C73" s="10" t="s">
        <v>16</v>
      </c>
      <c r="D73" s="9" t="s">
        <v>95</v>
      </c>
      <c r="E73" s="11" t="str">
        <f aca="false">IF(D73="","",IFERROR(INDEX('CLM &amp; IM Mapping'!$B$2:$B$270,MATCH(TRIM(D73),'CLM &amp; IM Mapping'!$A$2:$A$270,0)),"Not Mapped"))</f>
        <v>Arun Raj</v>
      </c>
      <c r="F73" s="11" t="str">
        <f aca="false">IF(D73="","",IFERROR(INDEX('CLM &amp; IM Mapping'!$C$2:$C$270,MATCH(TRIM(D73),'CLM &amp; IM Mapping'!$A$2:$A$270,0)),"Not Mapped"))</f>
        <v>Simon Manoharan</v>
      </c>
      <c r="G73" s="10" t="s">
        <v>22</v>
      </c>
      <c r="H73" s="12" t="n">
        <v>-8918</v>
      </c>
      <c r="I73" s="12" t="n">
        <v>787</v>
      </c>
      <c r="J73" s="12" t="n">
        <v>0</v>
      </c>
      <c r="K73" s="12" t="n">
        <v>0</v>
      </c>
      <c r="L73" s="12" t="n">
        <v>754</v>
      </c>
      <c r="M73" s="12" t="n">
        <v>0</v>
      </c>
      <c r="N73" s="12" t="n">
        <v>0</v>
      </c>
      <c r="O73" s="12" t="n">
        <v>3862</v>
      </c>
      <c r="P73" s="12" t="n">
        <v>-3514</v>
      </c>
    </row>
    <row r="74" customFormat="false" ht="15.75" hidden="false" customHeight="false" outlineLevel="0" collapsed="false">
      <c r="B74" s="9" t="s">
        <v>15</v>
      </c>
      <c r="C74" s="10" t="s">
        <v>16</v>
      </c>
      <c r="D74" s="9" t="s">
        <v>96</v>
      </c>
      <c r="E74" s="11" t="str">
        <f aca="false">IF(D74="","",IFERROR(INDEX('CLM &amp; IM Mapping'!$B$2:$B$270,MATCH(TRIM(D74),'CLM &amp; IM Mapping'!$A$2:$A$270,0)),"Not Mapped"))</f>
        <v>Girish N</v>
      </c>
      <c r="F74" s="11" t="str">
        <f aca="false">IF(D74="","",IFERROR(INDEX('CLM &amp; IM Mapping'!$C$2:$C$270,MATCH(TRIM(D74),'CLM &amp; IM Mapping'!$A$2:$A$270,0)),"Not Mapped"))</f>
        <v>Un Mapped</v>
      </c>
      <c r="G74" s="10" t="s">
        <v>18</v>
      </c>
      <c r="H74" s="12" t="n">
        <v>-4546</v>
      </c>
      <c r="I74" s="12" t="n">
        <v>23681</v>
      </c>
      <c r="J74" s="12" t="n">
        <v>0</v>
      </c>
      <c r="K74" s="12" t="n">
        <v>617</v>
      </c>
      <c r="L74" s="12" t="n">
        <v>5061</v>
      </c>
      <c r="M74" s="12" t="n">
        <v>0</v>
      </c>
      <c r="N74" s="12" t="n">
        <v>0</v>
      </c>
      <c r="O74" s="12" t="n">
        <v>0</v>
      </c>
      <c r="P74" s="12" t="n">
        <v>24812</v>
      </c>
    </row>
    <row r="75" customFormat="false" ht="15.75" hidden="false" customHeight="false" outlineLevel="0" collapsed="false">
      <c r="B75" s="9" t="s">
        <v>15</v>
      </c>
      <c r="C75" s="10" t="s">
        <v>16</v>
      </c>
      <c r="D75" s="9" t="s">
        <v>97</v>
      </c>
      <c r="E75" s="11" t="str">
        <f aca="false">IF(D75="","",IFERROR(INDEX('CLM &amp; IM Mapping'!$B$2:$B$270,MATCH(TRIM(D75),'CLM &amp; IM Mapping'!$A$2:$A$270,0)),"Not Mapped"))</f>
        <v>Arun Raj</v>
      </c>
      <c r="F75" s="11" t="str">
        <f aca="false">IF(D75="","",IFERROR(INDEX('CLM &amp; IM Mapping'!$C$2:$C$270,MATCH(TRIM(D75),'CLM &amp; IM Mapping'!$A$2:$A$270,0)),"Not Mapped"))</f>
        <v>Simon Manoharan</v>
      </c>
      <c r="G75" s="10" t="s">
        <v>22</v>
      </c>
      <c r="H75" s="12" t="n">
        <v>19452</v>
      </c>
      <c r="I75" s="12" t="n">
        <v>38867</v>
      </c>
      <c r="J75" s="12" t="n">
        <v>0</v>
      </c>
      <c r="K75" s="12" t="n">
        <v>0</v>
      </c>
      <c r="L75" s="12" t="n">
        <v>530</v>
      </c>
      <c r="M75" s="12" t="n">
        <v>0</v>
      </c>
      <c r="N75" s="12" t="n">
        <v>37</v>
      </c>
      <c r="O75" s="12" t="n">
        <v>0</v>
      </c>
      <c r="P75" s="12" t="n">
        <v>58886</v>
      </c>
    </row>
    <row r="76" customFormat="false" ht="15.75" hidden="false" customHeight="false" outlineLevel="0" collapsed="false">
      <c r="B76" s="9" t="s">
        <v>15</v>
      </c>
      <c r="C76" s="10" t="s">
        <v>16</v>
      </c>
      <c r="D76" s="9" t="s">
        <v>98</v>
      </c>
      <c r="E76" s="11" t="str">
        <f aca="false">IF(D76="","",IFERROR(INDEX('CLM &amp; IM Mapping'!$B$2:$B$270,MATCH(TRIM(D76),'CLM &amp; IM Mapping'!$A$2:$A$270,0)),"Not Mapped"))</f>
        <v>Silambarasan E</v>
      </c>
      <c r="F76" s="11" t="str">
        <f aca="false">IF(D76="","",IFERROR(INDEX('CLM &amp; IM Mapping'!$C$2:$C$270,MATCH(TRIM(D76),'CLM &amp; IM Mapping'!$A$2:$A$270,0)),"Not Mapped"))</f>
        <v>Arivind S</v>
      </c>
      <c r="G76" s="10" t="s">
        <v>18</v>
      </c>
      <c r="H76" s="12" t="n">
        <v>8356</v>
      </c>
      <c r="I76" s="12" t="n">
        <v>9481</v>
      </c>
      <c r="J76" s="12" t="n">
        <v>1526</v>
      </c>
      <c r="K76" s="12" t="n">
        <v>0</v>
      </c>
      <c r="L76" s="12" t="n">
        <v>589</v>
      </c>
      <c r="M76" s="12" t="n">
        <v>0</v>
      </c>
      <c r="N76" s="12" t="n">
        <v>0</v>
      </c>
      <c r="O76" s="12" t="n">
        <v>0</v>
      </c>
      <c r="P76" s="12" t="n">
        <v>19952</v>
      </c>
    </row>
    <row r="77" customFormat="false" ht="15.75" hidden="false" customHeight="false" outlineLevel="0" collapsed="false">
      <c r="B77" s="9" t="s">
        <v>15</v>
      </c>
      <c r="C77" s="10" t="s">
        <v>16</v>
      </c>
      <c r="D77" s="9" t="s">
        <v>99</v>
      </c>
      <c r="E77" s="11" t="str">
        <f aca="false">IF(D77="","",IFERROR(INDEX('CLM &amp; IM Mapping'!$B$2:$B$270,MATCH(TRIM(D77),'CLM &amp; IM Mapping'!$A$2:$A$270,0)),"Not Mapped"))</f>
        <v>Rizwan Ahmed</v>
      </c>
      <c r="F77" s="11" t="str">
        <f aca="false">IF(D77="","",IFERROR(INDEX('CLM &amp; IM Mapping'!$C$2:$C$270,MATCH(TRIM(D77),'CLM &amp; IM Mapping'!$A$2:$A$270,0)),"Not Mapped"))</f>
        <v>Un Mapped</v>
      </c>
      <c r="G77" s="10" t="s">
        <v>18</v>
      </c>
      <c r="H77" s="12" t="n">
        <v>71595</v>
      </c>
      <c r="I77" s="12" t="n">
        <v>9181</v>
      </c>
      <c r="J77" s="12" t="n">
        <v>0</v>
      </c>
      <c r="K77" s="12" t="n">
        <v>360</v>
      </c>
      <c r="L77" s="12" t="n">
        <v>87</v>
      </c>
      <c r="M77" s="12" t="n">
        <v>0</v>
      </c>
      <c r="N77" s="12" t="n">
        <v>1957</v>
      </c>
      <c r="O77" s="12" t="n">
        <v>0</v>
      </c>
      <c r="P77" s="12" t="n">
        <v>83180</v>
      </c>
    </row>
    <row r="78" customFormat="false" ht="15.75" hidden="false" customHeight="false" outlineLevel="0" collapsed="false">
      <c r="B78" s="9" t="s">
        <v>15</v>
      </c>
      <c r="C78" s="10" t="s">
        <v>16</v>
      </c>
      <c r="D78" s="9" t="s">
        <v>100</v>
      </c>
      <c r="E78" s="11" t="str">
        <f aca="false">IF(D78="","",IFERROR(INDEX('CLM &amp; IM Mapping'!$B$2:$B$270,MATCH(TRIM(D78),'CLM &amp; IM Mapping'!$A$2:$A$270,0)),"Not Mapped"))</f>
        <v>Adhavan Subramani</v>
      </c>
      <c r="F78" s="11" t="str">
        <f aca="false">IF(D78="","",IFERROR(INDEX('CLM &amp; IM Mapping'!$C$2:$C$270,MATCH(TRIM(D78),'CLM &amp; IM Mapping'!$A$2:$A$270,0)),"Not Mapped"))</f>
        <v>Mohammed Akbar</v>
      </c>
      <c r="G78" s="10" t="s">
        <v>18</v>
      </c>
      <c r="H78" s="12" t="n">
        <v>14994</v>
      </c>
      <c r="I78" s="12" t="n">
        <v>5392</v>
      </c>
      <c r="J78" s="12" t="n">
        <v>580</v>
      </c>
      <c r="K78" s="12" t="n">
        <v>44</v>
      </c>
      <c r="L78" s="12" t="n">
        <v>23</v>
      </c>
      <c r="M78" s="12" t="n">
        <v>0</v>
      </c>
      <c r="N78" s="12" t="n">
        <v>1321</v>
      </c>
      <c r="O78" s="12" t="n">
        <v>0</v>
      </c>
      <c r="P78" s="12" t="n">
        <v>22354</v>
      </c>
    </row>
    <row r="79" customFormat="false" ht="15.75" hidden="false" customHeight="false" outlineLevel="0" collapsed="false">
      <c r="B79" s="9" t="s">
        <v>15</v>
      </c>
      <c r="C79" s="10" t="s">
        <v>16</v>
      </c>
      <c r="D79" s="9" t="s">
        <v>101</v>
      </c>
      <c r="E79" s="11" t="str">
        <f aca="false">IF(D79="","",IFERROR(INDEX('CLM &amp; IM Mapping'!$B$2:$B$270,MATCH(TRIM(D79),'CLM &amp; IM Mapping'!$A$2:$A$270,0)),"Not Mapped"))</f>
        <v>Arun Raj</v>
      </c>
      <c r="F79" s="11" t="str">
        <f aca="false">IF(D79="","",IFERROR(INDEX('CLM &amp; IM Mapping'!$C$2:$C$270,MATCH(TRIM(D79),'CLM &amp; IM Mapping'!$A$2:$A$270,0)),"Not Mapped"))</f>
        <v>Simon Manoharan</v>
      </c>
      <c r="G79" s="10" t="s">
        <v>22</v>
      </c>
      <c r="H79" s="12" t="n">
        <v>137</v>
      </c>
      <c r="I79" s="12" t="n">
        <v>14237</v>
      </c>
      <c r="J79" s="12" t="n">
        <v>0</v>
      </c>
      <c r="K79" s="12" t="n">
        <v>0</v>
      </c>
      <c r="L79" s="12" t="n">
        <v>1674</v>
      </c>
      <c r="M79" s="12" t="n">
        <v>0</v>
      </c>
      <c r="N79" s="12" t="n">
        <v>0</v>
      </c>
      <c r="O79" s="12" t="n">
        <v>0</v>
      </c>
      <c r="P79" s="12" t="n">
        <v>16049</v>
      </c>
    </row>
    <row r="80" customFormat="false" ht="15.75" hidden="false" customHeight="false" outlineLevel="0" collapsed="false">
      <c r="B80" s="9" t="s">
        <v>15</v>
      </c>
      <c r="C80" s="10" t="s">
        <v>16</v>
      </c>
      <c r="D80" s="9" t="s">
        <v>102</v>
      </c>
      <c r="E80" s="11" t="str">
        <f aca="false">IF(D80="","",IFERROR(INDEX('CLM &amp; IM Mapping'!$B$2:$B$270,MATCH(TRIM(D80),'CLM &amp; IM Mapping'!$A$2:$A$270,0)),"Not Mapped"))</f>
        <v>Saddam Hussain</v>
      </c>
      <c r="F80" s="11" t="str">
        <f aca="false">IF(D80="","",IFERROR(INDEX('CLM &amp; IM Mapping'!$C$2:$C$270,MATCH(TRIM(D80),'CLM &amp; IM Mapping'!$A$2:$A$270,0)),"Not Mapped"))</f>
        <v>Un Mapped</v>
      </c>
      <c r="G80" s="10" t="s">
        <v>18</v>
      </c>
      <c r="H80" s="12" t="n">
        <v>-8358</v>
      </c>
      <c r="I80" s="12" t="n">
        <v>6455</v>
      </c>
      <c r="J80" s="12" t="n">
        <v>0</v>
      </c>
      <c r="K80" s="12" t="n">
        <v>0</v>
      </c>
      <c r="L80" s="12" t="n">
        <v>841</v>
      </c>
      <c r="M80" s="12" t="n">
        <v>0</v>
      </c>
      <c r="N80" s="12" t="n">
        <v>0</v>
      </c>
      <c r="O80" s="12" t="n">
        <v>0</v>
      </c>
      <c r="P80" s="12" t="n">
        <v>-1062</v>
      </c>
    </row>
    <row r="81" customFormat="false" ht="15.75" hidden="false" customHeight="false" outlineLevel="0" collapsed="false">
      <c r="B81" s="9" t="s">
        <v>15</v>
      </c>
      <c r="C81" s="10" t="s">
        <v>16</v>
      </c>
      <c r="D81" s="9" t="s">
        <v>103</v>
      </c>
      <c r="E81" s="11" t="str">
        <f aca="false">IF(D81="","",IFERROR(INDEX('CLM &amp; IM Mapping'!$B$2:$B$270,MATCH(TRIM(D81),'CLM &amp; IM Mapping'!$A$2:$A$270,0)),"Not Mapped"))</f>
        <v>Suhas N</v>
      </c>
      <c r="F81" s="11" t="str">
        <f aca="false">IF(D81="","",IFERROR(INDEX('CLM &amp; IM Mapping'!$C$2:$C$270,MATCH(TRIM(D81),'CLM &amp; IM Mapping'!$A$2:$A$270,0)),"Not Mapped"))</f>
        <v>Aravind S</v>
      </c>
      <c r="G81" s="10" t="s">
        <v>18</v>
      </c>
      <c r="H81" s="12" t="n">
        <v>2224</v>
      </c>
      <c r="I81" s="12" t="n">
        <v>8085</v>
      </c>
      <c r="J81" s="12" t="n">
        <v>0</v>
      </c>
      <c r="K81" s="12" t="n">
        <v>1589</v>
      </c>
      <c r="L81" s="12" t="n">
        <v>165</v>
      </c>
      <c r="M81" s="12" t="n">
        <v>0</v>
      </c>
      <c r="N81" s="12" t="n">
        <v>1514</v>
      </c>
      <c r="O81" s="12" t="n">
        <v>0</v>
      </c>
      <c r="P81" s="12" t="n">
        <v>13576</v>
      </c>
    </row>
    <row r="82" customFormat="false" ht="15.75" hidden="false" customHeight="false" outlineLevel="0" collapsed="false">
      <c r="B82" s="9" t="s">
        <v>15</v>
      </c>
      <c r="C82" s="10" t="s">
        <v>16</v>
      </c>
      <c r="D82" s="9" t="s">
        <v>104</v>
      </c>
      <c r="E82" s="11" t="str">
        <f aca="false">IF(D82="","",IFERROR(INDEX('CLM &amp; IM Mapping'!$B$2:$B$270,MATCH(TRIM(D82),'CLM &amp; IM Mapping'!$A$2:$A$270,0)),"Not Mapped"))</f>
        <v>Vijay M</v>
      </c>
      <c r="F82" s="11" t="str">
        <f aca="false">IF(D82="","",IFERROR(INDEX('CLM &amp; IM Mapping'!$C$2:$C$270,MATCH(TRIM(D82),'CLM &amp; IM Mapping'!$A$2:$A$270,0)),"Not Mapped"))</f>
        <v>Kantha Kumar</v>
      </c>
      <c r="G82" s="10" t="s">
        <v>18</v>
      </c>
      <c r="H82" s="12" t="n">
        <v>-23739</v>
      </c>
      <c r="I82" s="12" t="n">
        <v>14937</v>
      </c>
      <c r="J82" s="12" t="n">
        <v>0</v>
      </c>
      <c r="K82" s="12" t="n">
        <v>322</v>
      </c>
      <c r="L82" s="12" t="n">
        <v>878</v>
      </c>
      <c r="M82" s="12" t="n">
        <v>0</v>
      </c>
      <c r="N82" s="12" t="n">
        <v>0</v>
      </c>
      <c r="O82" s="12" t="n">
        <v>0</v>
      </c>
      <c r="P82" s="12" t="n">
        <v>-7602</v>
      </c>
    </row>
    <row r="83" customFormat="false" ht="15.75" hidden="false" customHeight="false" outlineLevel="0" collapsed="false">
      <c r="B83" s="9" t="s">
        <v>15</v>
      </c>
      <c r="C83" s="10" t="s">
        <v>16</v>
      </c>
      <c r="D83" s="9" t="s">
        <v>105</v>
      </c>
      <c r="E83" s="11" t="str">
        <f aca="false">IF(D83="","",IFERROR(INDEX('CLM &amp; IM Mapping'!$B$2:$B$270,MATCH(TRIM(D83),'CLM &amp; IM Mapping'!$A$2:$A$270,0)),"Not Mapped"))</f>
        <v>Vijay M</v>
      </c>
      <c r="F83" s="11" t="str">
        <f aca="false">IF(D83="","",IFERROR(INDEX('CLM &amp; IM Mapping'!$C$2:$C$270,MATCH(TRIM(D83),'CLM &amp; IM Mapping'!$A$2:$A$270,0)),"Not Mapped"))</f>
        <v>Kantha Kumar</v>
      </c>
      <c r="G83" s="10" t="s">
        <v>18</v>
      </c>
      <c r="H83" s="12" t="n">
        <v>39978</v>
      </c>
      <c r="I83" s="12" t="n">
        <v>61074</v>
      </c>
      <c r="J83" s="12" t="n">
        <v>219</v>
      </c>
      <c r="K83" s="12" t="n">
        <v>451</v>
      </c>
      <c r="L83" s="12" t="n">
        <v>1542</v>
      </c>
      <c r="M83" s="12" t="n">
        <v>0</v>
      </c>
      <c r="N83" s="12" t="n">
        <v>1737</v>
      </c>
      <c r="O83" s="12" t="n">
        <v>0</v>
      </c>
      <c r="P83" s="12" t="n">
        <v>105001</v>
      </c>
    </row>
    <row r="84" customFormat="false" ht="15.75" hidden="false" customHeight="false" outlineLevel="0" collapsed="false">
      <c r="B84" s="9" t="s">
        <v>15</v>
      </c>
      <c r="C84" s="10" t="s">
        <v>92</v>
      </c>
      <c r="D84" s="9" t="s">
        <v>106</v>
      </c>
      <c r="E84" s="11" t="str">
        <f aca="false">IF(D84="","",IFERROR(INDEX('CLM &amp; IM Mapping'!$B$2:$B$270,MATCH(TRIM(D84),'CLM &amp; IM Mapping'!$A$2:$A$270,0)),"Not Mapped"))</f>
        <v>Bangareppa CS</v>
      </c>
      <c r="F84" s="11" t="str">
        <f aca="false">IF(D84="","",IFERROR(INDEX('CLM &amp; IM Mapping'!$C$2:$C$270,MATCH(TRIM(D84),'CLM &amp; IM Mapping'!$A$2:$A$270,0)),"Not Mapped"))</f>
        <v>Kishor K</v>
      </c>
      <c r="G84" s="10" t="s">
        <v>18</v>
      </c>
      <c r="H84" s="12" t="n">
        <v>-5576</v>
      </c>
      <c r="I84" s="12" t="n">
        <v>0</v>
      </c>
      <c r="J84" s="12" t="n">
        <v>0</v>
      </c>
      <c r="K84" s="12" t="n">
        <v>0</v>
      </c>
      <c r="L84" s="12" t="n">
        <v>8</v>
      </c>
      <c r="M84" s="12" t="n">
        <v>0</v>
      </c>
      <c r="N84" s="12" t="n">
        <v>0</v>
      </c>
      <c r="O84" s="12" t="n">
        <v>0</v>
      </c>
      <c r="P84" s="12" t="n">
        <v>-5568</v>
      </c>
    </row>
    <row r="85" customFormat="false" ht="15.75" hidden="false" customHeight="false" outlineLevel="0" collapsed="false">
      <c r="B85" s="9" t="s">
        <v>15</v>
      </c>
      <c r="C85" s="10" t="s">
        <v>16</v>
      </c>
      <c r="D85" s="9" t="s">
        <v>107</v>
      </c>
      <c r="E85" s="11" t="str">
        <f aca="false">IF(D85="","",IFERROR(INDEX('CLM &amp; IM Mapping'!$B$2:$B$270,MATCH(TRIM(D85),'CLM &amp; IM Mapping'!$A$2:$A$270,0)),"Not Mapped"))</f>
        <v>Adhavan Subramani</v>
      </c>
      <c r="F85" s="11" t="str">
        <f aca="false">IF(D85="","",IFERROR(INDEX('CLM &amp; IM Mapping'!$C$2:$C$270,MATCH(TRIM(D85),'CLM &amp; IM Mapping'!$A$2:$A$270,0)),"Not Mapped"))</f>
        <v>Mohammed Akbar</v>
      </c>
      <c r="G85" s="10" t="s">
        <v>18</v>
      </c>
      <c r="H85" s="12" t="n">
        <v>-2872</v>
      </c>
      <c r="I85" s="12" t="n">
        <v>52</v>
      </c>
      <c r="J85" s="12" t="n">
        <v>0</v>
      </c>
      <c r="K85" s="12" t="n">
        <v>0</v>
      </c>
      <c r="L85" s="12" t="n">
        <v>138</v>
      </c>
      <c r="M85" s="12" t="n">
        <v>0</v>
      </c>
      <c r="N85" s="12" t="n">
        <v>0</v>
      </c>
      <c r="O85" s="12" t="n">
        <v>0</v>
      </c>
      <c r="P85" s="12" t="n">
        <v>-2683</v>
      </c>
    </row>
    <row r="86" customFormat="false" ht="15.75" hidden="false" customHeight="false" outlineLevel="0" collapsed="false">
      <c r="B86" s="9" t="s">
        <v>15</v>
      </c>
      <c r="C86" s="10" t="s">
        <v>108</v>
      </c>
      <c r="D86" s="9" t="s">
        <v>109</v>
      </c>
      <c r="E86" s="11" t="str">
        <f aca="false">IF(D86="","",IFERROR(INDEX('CLM &amp; IM Mapping'!$B$2:$B$270,MATCH(TRIM(D86),'CLM &amp; IM Mapping'!$A$2:$A$270,0)),"Not Mapped"))</f>
        <v>Akshay P</v>
      </c>
      <c r="F86" s="11" t="str">
        <f aca="false">IF(D86="","",IFERROR(INDEX('CLM &amp; IM Mapping'!$C$2:$C$270,MATCH(TRIM(D86),'CLM &amp; IM Mapping'!$A$2:$A$270,0)),"Not Mapped"))</f>
        <v>Srittam Dhal</v>
      </c>
      <c r="G86" s="10" t="s">
        <v>18</v>
      </c>
      <c r="H86" s="12" t="n">
        <v>1775</v>
      </c>
      <c r="I86" s="12" t="n">
        <v>511</v>
      </c>
      <c r="J86" s="12" t="n">
        <v>0</v>
      </c>
      <c r="K86" s="12" t="n">
        <v>0</v>
      </c>
      <c r="L86" s="12" t="n">
        <v>0</v>
      </c>
      <c r="M86" s="12" t="n">
        <v>0</v>
      </c>
      <c r="N86" s="12" t="n">
        <v>0</v>
      </c>
      <c r="O86" s="12" t="n">
        <v>0</v>
      </c>
      <c r="P86" s="12" t="n">
        <v>2287</v>
      </c>
    </row>
    <row r="87" customFormat="false" ht="15.75" hidden="false" customHeight="false" outlineLevel="0" collapsed="false">
      <c r="B87" s="9" t="s">
        <v>15</v>
      </c>
      <c r="C87" s="10" t="s">
        <v>16</v>
      </c>
      <c r="D87" s="9" t="s">
        <v>110</v>
      </c>
      <c r="E87" s="11" t="str">
        <f aca="false">IF(D87="","",IFERROR(INDEX('CLM &amp; IM Mapping'!$B$2:$B$270,MATCH(TRIM(D87),'CLM &amp; IM Mapping'!$A$2:$A$270,0)),"Not Mapped"))</f>
        <v>Suhas N</v>
      </c>
      <c r="F87" s="11" t="str">
        <f aca="false">IF(D87="","",IFERROR(INDEX('CLM &amp; IM Mapping'!$C$2:$C$270,MATCH(TRIM(D87),'CLM &amp; IM Mapping'!$A$2:$A$270,0)),"Not Mapped"))</f>
        <v>Aravind S</v>
      </c>
      <c r="G87" s="10" t="s">
        <v>18</v>
      </c>
      <c r="H87" s="12" t="n">
        <v>-2744</v>
      </c>
      <c r="I87" s="12" t="n">
        <v>5055</v>
      </c>
      <c r="J87" s="12" t="n">
        <v>0</v>
      </c>
      <c r="K87" s="12" t="n">
        <v>75</v>
      </c>
      <c r="L87" s="12" t="n">
        <v>7309</v>
      </c>
      <c r="M87" s="12" t="n">
        <v>0</v>
      </c>
      <c r="N87" s="12" t="n">
        <v>5831</v>
      </c>
      <c r="O87" s="12" t="n">
        <v>0</v>
      </c>
      <c r="P87" s="12" t="n">
        <v>15527</v>
      </c>
    </row>
    <row r="88" customFormat="false" ht="15.75" hidden="false" customHeight="false" outlineLevel="0" collapsed="false">
      <c r="B88" s="9" t="s">
        <v>15</v>
      </c>
      <c r="C88" s="10" t="s">
        <v>16</v>
      </c>
      <c r="D88" s="9" t="s">
        <v>111</v>
      </c>
      <c r="E88" s="11" t="str">
        <f aca="false">IF(D88="","",IFERROR(INDEX('CLM &amp; IM Mapping'!$B$2:$B$270,MATCH(TRIM(D88),'CLM &amp; IM Mapping'!$A$2:$A$270,0)),"Not Mapped"))</f>
        <v>Ashwath S</v>
      </c>
      <c r="F88" s="11" t="str">
        <f aca="false">IF(D88="","",IFERROR(INDEX('CLM &amp; IM Mapping'!$C$2:$C$270,MATCH(TRIM(D88),'CLM &amp; IM Mapping'!$A$2:$A$270,0)),"Not Mapped"))</f>
        <v>Kantha Kumar</v>
      </c>
      <c r="G88" s="10" t="s">
        <v>18</v>
      </c>
      <c r="H88" s="12" t="n">
        <v>-2982</v>
      </c>
      <c r="I88" s="12" t="n">
        <v>6814</v>
      </c>
      <c r="J88" s="12" t="n">
        <v>0</v>
      </c>
      <c r="K88" s="12" t="n">
        <v>732</v>
      </c>
      <c r="L88" s="12" t="n">
        <v>357</v>
      </c>
      <c r="M88" s="12" t="n">
        <v>0</v>
      </c>
      <c r="N88" s="12" t="n">
        <v>0</v>
      </c>
      <c r="O88" s="12" t="n">
        <v>0</v>
      </c>
      <c r="P88" s="12" t="n">
        <v>4921</v>
      </c>
    </row>
    <row r="89" customFormat="false" ht="15.75" hidden="false" customHeight="false" outlineLevel="0" collapsed="false">
      <c r="B89" s="9" t="s">
        <v>15</v>
      </c>
      <c r="C89" s="10" t="s">
        <v>16</v>
      </c>
      <c r="D89" s="9" t="s">
        <v>112</v>
      </c>
      <c r="E89" s="11" t="str">
        <f aca="false">IF(D89="","",IFERROR(INDEX('CLM &amp; IM Mapping'!$B$2:$B$270,MATCH(TRIM(D89),'CLM &amp; IM Mapping'!$A$2:$A$270,0)),"Not Mapped"))</f>
        <v>Arun Raj</v>
      </c>
      <c r="F89" s="11" t="str">
        <f aca="false">IF(D89="","",IFERROR(INDEX('CLM &amp; IM Mapping'!$C$2:$C$270,MATCH(TRIM(D89),'CLM &amp; IM Mapping'!$A$2:$A$270,0)),"Not Mapped"))</f>
        <v>Simon Manoharan</v>
      </c>
      <c r="G89" s="10" t="s">
        <v>22</v>
      </c>
      <c r="H89" s="12" t="n">
        <v>-10421</v>
      </c>
      <c r="I89" s="12" t="n">
        <v>11277</v>
      </c>
      <c r="J89" s="12" t="n">
        <v>0</v>
      </c>
      <c r="K89" s="12" t="n">
        <v>0</v>
      </c>
      <c r="L89" s="12" t="n">
        <v>236</v>
      </c>
      <c r="M89" s="12" t="n">
        <v>0</v>
      </c>
      <c r="N89" s="12" t="n">
        <v>0</v>
      </c>
      <c r="O89" s="12" t="n">
        <v>0</v>
      </c>
      <c r="P89" s="12" t="n">
        <v>1092</v>
      </c>
    </row>
    <row r="90" customFormat="false" ht="15.75" hidden="false" customHeight="false" outlineLevel="0" collapsed="false">
      <c r="B90" s="9" t="s">
        <v>15</v>
      </c>
      <c r="C90" s="10" t="s">
        <v>16</v>
      </c>
      <c r="D90" s="10" t="s">
        <v>113</v>
      </c>
      <c r="E90" s="11" t="str">
        <f aca="false">IF(D90="","",IFERROR(INDEX('CLM &amp; IM Mapping'!$B$2:$B$270,MATCH(TRIM(D90),'CLM &amp; IM Mapping'!$A$2:$A$270,0)),"Not Mapped"))</f>
        <v>Ashwath S</v>
      </c>
      <c r="F90" s="11" t="str">
        <f aca="false">IF(D90="","",IFERROR(INDEX('CLM &amp; IM Mapping'!$C$2:$C$270,MATCH(TRIM(D90),'CLM &amp; IM Mapping'!$A$2:$A$270,0)),"Not Mapped"))</f>
        <v>Kantha Kumar</v>
      </c>
      <c r="G90" s="10" t="s">
        <v>18</v>
      </c>
      <c r="H90" s="12" t="n">
        <v>7252</v>
      </c>
      <c r="I90" s="12" t="n">
        <v>9912</v>
      </c>
      <c r="J90" s="12" t="n">
        <v>38</v>
      </c>
      <c r="K90" s="12" t="n">
        <v>2129</v>
      </c>
      <c r="L90" s="12" t="n">
        <v>187</v>
      </c>
      <c r="M90" s="12" t="n">
        <v>0</v>
      </c>
      <c r="N90" s="12" t="n">
        <v>0</v>
      </c>
      <c r="O90" s="12" t="n">
        <v>0</v>
      </c>
      <c r="P90" s="12" t="n">
        <v>19518</v>
      </c>
    </row>
    <row r="91" customFormat="false" ht="15.75" hidden="false" customHeight="false" outlineLevel="0" collapsed="false">
      <c r="B91" s="9" t="s">
        <v>15</v>
      </c>
      <c r="C91" s="10" t="s">
        <v>16</v>
      </c>
      <c r="D91" s="9" t="s">
        <v>114</v>
      </c>
      <c r="E91" s="11" t="str">
        <f aca="false">IF(D91="","",IFERROR(INDEX('CLM &amp; IM Mapping'!$B$2:$B$270,MATCH(TRIM(D91),'CLM &amp; IM Mapping'!$A$2:$A$270,0)),"Not Mapped"))</f>
        <v>Akshay P</v>
      </c>
      <c r="F91" s="11" t="str">
        <f aca="false">IF(D91="","",IFERROR(INDEX('CLM &amp; IM Mapping'!$C$2:$C$270,MATCH(TRIM(D91),'CLM &amp; IM Mapping'!$A$2:$A$270,0)),"Not Mapped"))</f>
        <v>Srittam Dhal</v>
      </c>
      <c r="G91" s="10" t="s">
        <v>18</v>
      </c>
      <c r="H91" s="12" t="n">
        <v>10290</v>
      </c>
      <c r="I91" s="12" t="n">
        <v>10216</v>
      </c>
      <c r="J91" s="12" t="n">
        <v>0</v>
      </c>
      <c r="K91" s="12" t="n">
        <v>0</v>
      </c>
      <c r="L91" s="12" t="n">
        <v>593</v>
      </c>
      <c r="M91" s="12" t="n">
        <v>0</v>
      </c>
      <c r="N91" s="12" t="n">
        <v>0</v>
      </c>
      <c r="O91" s="12" t="n">
        <v>452</v>
      </c>
      <c r="P91" s="12" t="n">
        <v>21552</v>
      </c>
    </row>
    <row r="92" customFormat="false" ht="15.75" hidden="false" customHeight="false" outlineLevel="0" collapsed="false">
      <c r="B92" s="9" t="s">
        <v>15</v>
      </c>
      <c r="C92" s="10" t="s">
        <v>92</v>
      </c>
      <c r="D92" s="9" t="s">
        <v>115</v>
      </c>
      <c r="E92" s="11" t="str">
        <f aca="false">IF(D92="","",IFERROR(INDEX('CLM &amp; IM Mapping'!$B$2:$B$270,MATCH(TRIM(D92),'CLM &amp; IM Mapping'!$A$2:$A$270,0)),"Not Mapped"))</f>
        <v>Bangareppa CS</v>
      </c>
      <c r="F92" s="11" t="str">
        <f aca="false">IF(D92="","",IFERROR(INDEX('CLM &amp; IM Mapping'!$C$2:$C$270,MATCH(TRIM(D92),'CLM &amp; IM Mapping'!$A$2:$A$270,0)),"Not Mapped"))</f>
        <v>Kishor K</v>
      </c>
      <c r="G92" s="10" t="s">
        <v>18</v>
      </c>
      <c r="H92" s="12" t="n">
        <v>-15646</v>
      </c>
      <c r="I92" s="12" t="n">
        <v>5885</v>
      </c>
      <c r="J92" s="12" t="n">
        <v>641</v>
      </c>
      <c r="K92" s="12" t="n">
        <v>0</v>
      </c>
      <c r="L92" s="12" t="n">
        <v>555</v>
      </c>
      <c r="M92" s="12" t="n">
        <v>0</v>
      </c>
      <c r="N92" s="12" t="n">
        <v>0</v>
      </c>
      <c r="O92" s="12" t="n">
        <v>0</v>
      </c>
      <c r="P92" s="12" t="n">
        <v>-8566</v>
      </c>
    </row>
    <row r="93" customFormat="false" ht="15.75" hidden="false" customHeight="false" outlineLevel="0" collapsed="false">
      <c r="B93" s="9" t="s">
        <v>15</v>
      </c>
      <c r="C93" s="10" t="s">
        <v>16</v>
      </c>
      <c r="D93" s="9" t="s">
        <v>116</v>
      </c>
      <c r="E93" s="11" t="str">
        <f aca="false">IF(D93="","",IFERROR(INDEX('CLM &amp; IM Mapping'!$B$2:$B$270,MATCH(TRIM(D93),'CLM &amp; IM Mapping'!$A$2:$A$270,0)),"Not Mapped"))</f>
        <v>Raghavendra Vernekar</v>
      </c>
      <c r="F93" s="11" t="str">
        <f aca="false">IF(D93="","",IFERROR(INDEX('CLM &amp; IM Mapping'!$C$2:$C$270,MATCH(TRIM(D93),'CLM &amp; IM Mapping'!$A$2:$A$270,0)),"Not Mapped"))</f>
        <v>Prakash BS</v>
      </c>
      <c r="G93" s="10" t="s">
        <v>18</v>
      </c>
      <c r="H93" s="12" t="n">
        <v>-22617</v>
      </c>
      <c r="I93" s="12" t="n">
        <v>3338</v>
      </c>
      <c r="J93" s="12" t="n">
        <v>1831</v>
      </c>
      <c r="K93" s="12" t="n">
        <v>123</v>
      </c>
      <c r="L93" s="12" t="n">
        <v>680</v>
      </c>
      <c r="M93" s="12" t="n">
        <v>0</v>
      </c>
      <c r="N93" s="12" t="n">
        <v>0</v>
      </c>
      <c r="O93" s="12" t="n">
        <v>0</v>
      </c>
      <c r="P93" s="12" t="n">
        <v>-16644</v>
      </c>
    </row>
    <row r="94" customFormat="false" ht="15.75" hidden="false" customHeight="false" outlineLevel="0" collapsed="false">
      <c r="B94" s="9" t="s">
        <v>15</v>
      </c>
      <c r="C94" s="10" t="s">
        <v>16</v>
      </c>
      <c r="D94" s="9" t="s">
        <v>117</v>
      </c>
      <c r="E94" s="11" t="str">
        <f aca="false">IF(D94="","",IFERROR(INDEX('CLM &amp; IM Mapping'!$B$2:$B$270,MATCH(TRIM(D94),'CLM &amp; IM Mapping'!$A$2:$A$270,0)),"Not Mapped"))</f>
        <v>Saddam Hussain</v>
      </c>
      <c r="F94" s="11" t="str">
        <f aca="false">IF(D94="","",IFERROR(INDEX('CLM &amp; IM Mapping'!$C$2:$C$270,MATCH(TRIM(D94),'CLM &amp; IM Mapping'!$A$2:$A$270,0)),"Not Mapped"))</f>
        <v>Un Mapped</v>
      </c>
      <c r="G94" s="10" t="s">
        <v>18</v>
      </c>
      <c r="H94" s="12" t="n">
        <v>20452</v>
      </c>
      <c r="I94" s="12" t="n">
        <v>23732</v>
      </c>
      <c r="J94" s="12" t="n">
        <v>0</v>
      </c>
      <c r="K94" s="12" t="n">
        <v>7696</v>
      </c>
      <c r="L94" s="12" t="n">
        <v>584</v>
      </c>
      <c r="M94" s="12" t="n">
        <v>0</v>
      </c>
      <c r="N94" s="12" t="n">
        <v>1629</v>
      </c>
      <c r="O94" s="12" t="n">
        <v>0</v>
      </c>
      <c r="P94" s="12" t="n">
        <v>54093</v>
      </c>
    </row>
    <row r="95" customFormat="false" ht="15.75" hidden="false" customHeight="false" outlineLevel="0" collapsed="false">
      <c r="B95" s="9" t="s">
        <v>15</v>
      </c>
      <c r="C95" s="10" t="s">
        <v>16</v>
      </c>
      <c r="D95" s="9" t="s">
        <v>118</v>
      </c>
      <c r="E95" s="11" t="str">
        <f aca="false">IF(D95="","",IFERROR(INDEX('CLM &amp; IM Mapping'!$B$2:$B$270,MATCH(TRIM(D95),'CLM &amp; IM Mapping'!$A$2:$A$270,0)),"Not Mapped"))</f>
        <v>Balaji G</v>
      </c>
      <c r="F95" s="11" t="str">
        <f aca="false">IF(D95="","",IFERROR(INDEX('CLM &amp; IM Mapping'!$C$2:$C$270,MATCH(TRIM(D95),'CLM &amp; IM Mapping'!$A$2:$A$270,0)),"Not Mapped"))</f>
        <v>Mohammed Akbar</v>
      </c>
      <c r="G95" s="10" t="s">
        <v>18</v>
      </c>
      <c r="H95" s="12" t="n">
        <v>-25168</v>
      </c>
      <c r="I95" s="12" t="n">
        <v>2458</v>
      </c>
      <c r="J95" s="12" t="n">
        <v>0</v>
      </c>
      <c r="K95" s="12" t="n">
        <v>0</v>
      </c>
      <c r="L95" s="12" t="n">
        <v>113</v>
      </c>
      <c r="M95" s="12" t="n">
        <v>0</v>
      </c>
      <c r="N95" s="12" t="n">
        <v>0</v>
      </c>
      <c r="O95" s="12" t="n">
        <v>0</v>
      </c>
      <c r="P95" s="12" t="n">
        <v>-22597</v>
      </c>
    </row>
    <row r="96" customFormat="false" ht="15.75" hidden="false" customHeight="false" outlineLevel="0" collapsed="false">
      <c r="B96" s="9" t="s">
        <v>15</v>
      </c>
      <c r="C96" s="10" t="s">
        <v>16</v>
      </c>
      <c r="D96" s="9" t="s">
        <v>119</v>
      </c>
      <c r="E96" s="11" t="str">
        <f aca="false">IF(D96="","",IFERROR(INDEX('CLM &amp; IM Mapping'!$B$2:$B$270,MATCH(TRIM(D96),'CLM &amp; IM Mapping'!$A$2:$A$270,0)),"Not Mapped"))</f>
        <v>Arun Raj</v>
      </c>
      <c r="F96" s="11" t="str">
        <f aca="false">IF(D96="","",IFERROR(INDEX('CLM &amp; IM Mapping'!$C$2:$C$270,MATCH(TRIM(D96),'CLM &amp; IM Mapping'!$A$2:$A$270,0)),"Not Mapped"))</f>
        <v>Simon Manoharan</v>
      </c>
      <c r="G96" s="10" t="s">
        <v>22</v>
      </c>
      <c r="H96" s="12" t="n">
        <v>-10970</v>
      </c>
      <c r="I96" s="12" t="n">
        <v>0</v>
      </c>
      <c r="J96" s="12" t="n">
        <v>0</v>
      </c>
      <c r="K96" s="12" t="n">
        <v>0</v>
      </c>
      <c r="L96" s="12" t="n">
        <v>0</v>
      </c>
      <c r="M96" s="12" t="n">
        <v>0</v>
      </c>
      <c r="N96" s="12" t="n">
        <v>0</v>
      </c>
      <c r="O96" s="12" t="n">
        <v>0</v>
      </c>
      <c r="P96" s="12" t="n">
        <v>-10970</v>
      </c>
    </row>
    <row r="97" customFormat="false" ht="15.75" hidden="false" customHeight="false" outlineLevel="0" collapsed="false">
      <c r="B97" s="9" t="s">
        <v>15</v>
      </c>
      <c r="C97" s="10" t="s">
        <v>16</v>
      </c>
      <c r="D97" s="9" t="s">
        <v>120</v>
      </c>
      <c r="E97" s="11" t="str">
        <f aca="false">IF(D97="","",IFERROR(INDEX('CLM &amp; IM Mapping'!$B$2:$B$270,MATCH(TRIM(D97),'CLM &amp; IM Mapping'!$A$2:$A$270,0)),"Not Mapped"))</f>
        <v>Arun Raj</v>
      </c>
      <c r="F97" s="11" t="str">
        <f aca="false">IF(D97="","",IFERROR(INDEX('CLM &amp; IM Mapping'!$C$2:$C$270,MATCH(TRIM(D97),'CLM &amp; IM Mapping'!$A$2:$A$270,0)),"Not Mapped"))</f>
        <v>Simon Manoharan</v>
      </c>
      <c r="G97" s="10" t="s">
        <v>22</v>
      </c>
      <c r="H97" s="12" t="n">
        <v>-10424</v>
      </c>
      <c r="I97" s="12" t="n">
        <v>14667</v>
      </c>
      <c r="J97" s="12" t="n">
        <v>0</v>
      </c>
      <c r="K97" s="12" t="n">
        <v>1081</v>
      </c>
      <c r="L97" s="12" t="n">
        <v>1977</v>
      </c>
      <c r="M97" s="12" t="n">
        <v>0</v>
      </c>
      <c r="N97" s="12" t="n">
        <v>0</v>
      </c>
      <c r="O97" s="12" t="n">
        <v>0</v>
      </c>
      <c r="P97" s="12" t="n">
        <v>7301</v>
      </c>
    </row>
    <row r="98" customFormat="false" ht="15.75" hidden="false" customHeight="false" outlineLevel="0" collapsed="false">
      <c r="B98" s="9" t="s">
        <v>15</v>
      </c>
      <c r="C98" s="10" t="s">
        <v>16</v>
      </c>
      <c r="D98" s="9" t="s">
        <v>121</v>
      </c>
      <c r="E98" s="11" t="str">
        <f aca="false">IF(D98="","",IFERROR(INDEX('CLM &amp; IM Mapping'!$B$2:$B$270,MATCH(TRIM(D98),'CLM &amp; IM Mapping'!$A$2:$A$270,0)),"Not Mapped"))</f>
        <v>Sundaresh S</v>
      </c>
      <c r="F98" s="11" t="str">
        <f aca="false">IF(D98="","",IFERROR(INDEX('CLM &amp; IM Mapping'!$C$2:$C$270,MATCH(TRIM(D98),'CLM &amp; IM Mapping'!$A$2:$A$270,0)),"Not Mapped"))</f>
        <v>Un Mapped</v>
      </c>
      <c r="G98" s="10" t="s">
        <v>18</v>
      </c>
      <c r="H98" s="12" t="n">
        <v>15298</v>
      </c>
      <c r="I98" s="12" t="n">
        <v>12439</v>
      </c>
      <c r="J98" s="12" t="n">
        <v>0</v>
      </c>
      <c r="K98" s="12" t="n">
        <v>1021</v>
      </c>
      <c r="L98" s="12" t="n">
        <v>1315</v>
      </c>
      <c r="M98" s="12" t="n">
        <v>0</v>
      </c>
      <c r="N98" s="12" t="n">
        <v>7022</v>
      </c>
      <c r="O98" s="12" t="n">
        <v>0</v>
      </c>
      <c r="P98" s="12" t="n">
        <v>37095</v>
      </c>
    </row>
    <row r="99" customFormat="false" ht="15.75" hidden="false" customHeight="false" outlineLevel="0" collapsed="false">
      <c r="B99" s="9" t="s">
        <v>15</v>
      </c>
      <c r="C99" s="10" t="s">
        <v>16</v>
      </c>
      <c r="D99" s="9" t="s">
        <v>122</v>
      </c>
      <c r="E99" s="11" t="str">
        <f aca="false">IF(D99="","",IFERROR(INDEX('CLM &amp; IM Mapping'!$B$2:$B$270,MATCH(TRIM(D99),'CLM &amp; IM Mapping'!$A$2:$A$270,0)),"Not Mapped"))</f>
        <v>Adhavan Subramani</v>
      </c>
      <c r="F99" s="11" t="str">
        <f aca="false">IF(D99="","",IFERROR(INDEX('CLM &amp; IM Mapping'!$C$2:$C$270,MATCH(TRIM(D99),'CLM &amp; IM Mapping'!$A$2:$A$270,0)),"Not Mapped"))</f>
        <v>Mohammed Akbar</v>
      </c>
      <c r="G99" s="10" t="s">
        <v>18</v>
      </c>
      <c r="H99" s="12" t="n">
        <v>27933</v>
      </c>
      <c r="I99" s="12" t="n">
        <v>6780</v>
      </c>
      <c r="J99" s="12" t="n">
        <v>0</v>
      </c>
      <c r="K99" s="12" t="n">
        <v>3921</v>
      </c>
      <c r="L99" s="12" t="n">
        <v>2264</v>
      </c>
      <c r="M99" s="12" t="n">
        <v>0</v>
      </c>
      <c r="N99" s="12" t="n">
        <v>180</v>
      </c>
      <c r="O99" s="12" t="n">
        <v>248</v>
      </c>
      <c r="P99" s="12" t="n">
        <v>41326</v>
      </c>
    </row>
    <row r="100" customFormat="false" ht="15.75" hidden="false" customHeight="false" outlineLevel="0" collapsed="false">
      <c r="B100" s="9" t="s">
        <v>15</v>
      </c>
      <c r="C100" s="10" t="s">
        <v>16</v>
      </c>
      <c r="D100" s="9" t="s">
        <v>123</v>
      </c>
      <c r="E100" s="11" t="str">
        <f aca="false">IF(D100="","",IFERROR(INDEX('CLM &amp; IM Mapping'!$B$2:$B$270,MATCH(TRIM(D100),'CLM &amp; IM Mapping'!$A$2:$A$270,0)),"Not Mapped"))</f>
        <v>Saddam Hussain</v>
      </c>
      <c r="F100" s="11" t="str">
        <f aca="false">IF(D100="","",IFERROR(INDEX('CLM &amp; IM Mapping'!$C$2:$C$270,MATCH(TRIM(D100),'CLM &amp; IM Mapping'!$A$2:$A$270,0)),"Not Mapped"))</f>
        <v>Un Mapped</v>
      </c>
      <c r="G100" s="10" t="s">
        <v>18</v>
      </c>
      <c r="H100" s="12" t="n">
        <v>-9935</v>
      </c>
      <c r="I100" s="12" t="n">
        <v>4383</v>
      </c>
      <c r="J100" s="12" t="n">
        <v>0</v>
      </c>
      <c r="K100" s="12" t="n">
        <v>2991</v>
      </c>
      <c r="L100" s="12" t="n">
        <v>339</v>
      </c>
      <c r="M100" s="12" t="n">
        <v>0</v>
      </c>
      <c r="N100" s="12" t="n">
        <v>3750</v>
      </c>
      <c r="O100" s="12" t="n">
        <v>0</v>
      </c>
      <c r="P100" s="12" t="n">
        <v>1528</v>
      </c>
    </row>
    <row r="101" customFormat="false" ht="15.75" hidden="false" customHeight="false" outlineLevel="0" collapsed="false">
      <c r="B101" s="9" t="s">
        <v>15</v>
      </c>
      <c r="C101" s="10" t="s">
        <v>16</v>
      </c>
      <c r="D101" s="9" t="s">
        <v>124</v>
      </c>
      <c r="E101" s="11" t="str">
        <f aca="false">IF(D101="","",IFERROR(INDEX('CLM &amp; IM Mapping'!$B$2:$B$270,MATCH(TRIM(D101),'CLM &amp; IM Mapping'!$A$2:$A$270,0)),"Not Mapped"))</f>
        <v>Akshay P</v>
      </c>
      <c r="F101" s="11" t="str">
        <f aca="false">IF(D101="","",IFERROR(INDEX('CLM &amp; IM Mapping'!$C$2:$C$270,MATCH(TRIM(D101),'CLM &amp; IM Mapping'!$A$2:$A$270,0)),"Not Mapped"))</f>
        <v>Srittam Dhal</v>
      </c>
      <c r="G101" s="10" t="s">
        <v>18</v>
      </c>
      <c r="H101" s="12" t="n">
        <v>12638</v>
      </c>
      <c r="I101" s="12" t="n">
        <v>16169</v>
      </c>
      <c r="J101" s="12" t="n">
        <v>265</v>
      </c>
      <c r="K101" s="12" t="n">
        <v>0</v>
      </c>
      <c r="L101" s="12" t="n">
        <v>107</v>
      </c>
      <c r="M101" s="12" t="n">
        <v>0</v>
      </c>
      <c r="N101" s="12" t="n">
        <v>0</v>
      </c>
      <c r="O101" s="12" t="n">
        <v>0</v>
      </c>
      <c r="P101" s="12" t="n">
        <v>29179</v>
      </c>
    </row>
    <row r="102" customFormat="false" ht="15.75" hidden="false" customHeight="false" outlineLevel="0" collapsed="false">
      <c r="B102" s="9" t="s">
        <v>15</v>
      </c>
      <c r="C102" s="10" t="s">
        <v>16</v>
      </c>
      <c r="D102" s="9" t="s">
        <v>125</v>
      </c>
      <c r="E102" s="11" t="str">
        <f aca="false">IF(D102="","",IFERROR(INDEX('CLM &amp; IM Mapping'!$B$2:$B$270,MATCH(TRIM(D102),'CLM &amp; IM Mapping'!$A$2:$A$270,0)),"Not Mapped"))</f>
        <v>Sundaresh S</v>
      </c>
      <c r="F102" s="11" t="str">
        <f aca="false">IF(D102="","",IFERROR(INDEX('CLM &amp; IM Mapping'!$C$2:$C$270,MATCH(TRIM(D102),'CLM &amp; IM Mapping'!$A$2:$A$270,0)),"Not Mapped"))</f>
        <v>Un Mapped</v>
      </c>
      <c r="G102" s="10" t="s">
        <v>18</v>
      </c>
      <c r="H102" s="12" t="n">
        <v>23680</v>
      </c>
      <c r="I102" s="12" t="n">
        <v>12580</v>
      </c>
      <c r="J102" s="12" t="n">
        <v>38</v>
      </c>
      <c r="K102" s="12" t="n">
        <v>5740</v>
      </c>
      <c r="L102" s="12" t="n">
        <v>746</v>
      </c>
      <c r="M102" s="12" t="n">
        <v>0</v>
      </c>
      <c r="N102" s="12" t="n">
        <v>0</v>
      </c>
      <c r="O102" s="12" t="n">
        <v>0</v>
      </c>
      <c r="P102" s="12" t="n">
        <v>42783</v>
      </c>
    </row>
    <row r="103" customFormat="false" ht="15.75" hidden="false" customHeight="false" outlineLevel="0" collapsed="false">
      <c r="B103" s="9" t="s">
        <v>15</v>
      </c>
      <c r="C103" s="10" t="s">
        <v>16</v>
      </c>
      <c r="D103" s="9" t="s">
        <v>126</v>
      </c>
      <c r="E103" s="11" t="str">
        <f aca="false">IF(D103="","",IFERROR(INDEX('CLM &amp; IM Mapping'!$B$2:$B$270,MATCH(TRIM(D103),'CLM &amp; IM Mapping'!$A$2:$A$270,0)),"Not Mapped"))</f>
        <v>Raghavendra Vernekar</v>
      </c>
      <c r="F103" s="11" t="str">
        <f aca="false">IF(D103="","",IFERROR(INDEX('CLM &amp; IM Mapping'!$C$2:$C$270,MATCH(TRIM(D103),'CLM &amp; IM Mapping'!$A$2:$A$270,0)),"Not Mapped"))</f>
        <v>Prakash BS</v>
      </c>
      <c r="G103" s="10" t="s">
        <v>18</v>
      </c>
      <c r="H103" s="12" t="n">
        <v>-11983</v>
      </c>
      <c r="I103" s="12" t="n">
        <v>2784</v>
      </c>
      <c r="J103" s="12" t="n">
        <v>0</v>
      </c>
      <c r="K103" s="12" t="n">
        <v>0</v>
      </c>
      <c r="L103" s="12" t="n">
        <v>346</v>
      </c>
      <c r="M103" s="12" t="n">
        <v>0</v>
      </c>
      <c r="N103" s="12" t="n">
        <v>0</v>
      </c>
      <c r="O103" s="12" t="n">
        <v>0</v>
      </c>
      <c r="P103" s="12" t="n">
        <v>-8853</v>
      </c>
    </row>
    <row r="104" customFormat="false" ht="15.75" hidden="false" customHeight="false" outlineLevel="0" collapsed="false">
      <c r="B104" s="9" t="s">
        <v>15</v>
      </c>
      <c r="C104" s="10" t="s">
        <v>16</v>
      </c>
      <c r="D104" s="9" t="s">
        <v>127</v>
      </c>
      <c r="E104" s="11" t="str">
        <f aca="false">IF(D104="","",IFERROR(INDEX('CLM &amp; IM Mapping'!$B$2:$B$270,MATCH(TRIM(D104),'CLM &amp; IM Mapping'!$A$2:$A$270,0)),"Not Mapped"))</f>
        <v>Rizwan Ahmed</v>
      </c>
      <c r="F104" s="11" t="str">
        <f aca="false">IF(D104="","",IFERROR(INDEX('CLM &amp; IM Mapping'!$C$2:$C$270,MATCH(TRIM(D104),'CLM &amp; IM Mapping'!$A$2:$A$270,0)),"Not Mapped"))</f>
        <v>Un Mapped</v>
      </c>
      <c r="G104" s="10" t="s">
        <v>18</v>
      </c>
      <c r="H104" s="12" t="n">
        <v>31101</v>
      </c>
      <c r="I104" s="12" t="n">
        <v>16912</v>
      </c>
      <c r="J104" s="12" t="n">
        <v>235</v>
      </c>
      <c r="K104" s="12" t="n">
        <v>28</v>
      </c>
      <c r="L104" s="12" t="n">
        <v>595</v>
      </c>
      <c r="M104" s="12" t="n">
        <v>0</v>
      </c>
      <c r="N104" s="12" t="n">
        <v>0</v>
      </c>
      <c r="O104" s="12" t="n">
        <v>0</v>
      </c>
      <c r="P104" s="12" t="n">
        <v>48871</v>
      </c>
    </row>
    <row r="105" customFormat="false" ht="15.75" hidden="false" customHeight="false" outlineLevel="0" collapsed="false">
      <c r="B105" s="9" t="s">
        <v>15</v>
      </c>
      <c r="C105" s="10" t="s">
        <v>16</v>
      </c>
      <c r="D105" s="9" t="s">
        <v>128</v>
      </c>
      <c r="E105" s="11" t="str">
        <f aca="false">IF(D105="","",IFERROR(INDEX('CLM &amp; IM Mapping'!$B$2:$B$270,MATCH(TRIM(D105),'CLM &amp; IM Mapping'!$A$2:$A$270,0)),"Not Mapped"))</f>
        <v>Silambarasan E</v>
      </c>
      <c r="F105" s="11" t="str">
        <f aca="false">IF(D105="","",IFERROR(INDEX('CLM &amp; IM Mapping'!$C$2:$C$270,MATCH(TRIM(D105),'CLM &amp; IM Mapping'!$A$2:$A$270,0)),"Not Mapped"))</f>
        <v>Arivind S</v>
      </c>
      <c r="G105" s="10" t="s">
        <v>18</v>
      </c>
      <c r="H105" s="12" t="n">
        <v>-20246</v>
      </c>
      <c r="I105" s="12" t="n">
        <v>14628</v>
      </c>
      <c r="J105" s="12" t="n">
        <v>0</v>
      </c>
      <c r="K105" s="12" t="n">
        <v>34</v>
      </c>
      <c r="L105" s="12" t="n">
        <v>256</v>
      </c>
      <c r="M105" s="12" t="n">
        <v>0</v>
      </c>
      <c r="N105" s="12" t="n">
        <v>251</v>
      </c>
      <c r="O105" s="12" t="n">
        <v>0</v>
      </c>
      <c r="P105" s="12" t="n">
        <v>-5077</v>
      </c>
    </row>
    <row r="106" customFormat="false" ht="15.75" hidden="false" customHeight="false" outlineLevel="0" collapsed="false">
      <c r="B106" s="9" t="s">
        <v>15</v>
      </c>
      <c r="C106" s="10" t="s">
        <v>16</v>
      </c>
      <c r="D106" s="9" t="s">
        <v>129</v>
      </c>
      <c r="E106" s="11" t="str">
        <f aca="false">IF(D106="","",IFERROR(INDEX('CLM &amp; IM Mapping'!$B$2:$B$270,MATCH(TRIM(D106),'CLM &amp; IM Mapping'!$A$2:$A$270,0)),"Not Mapped"))</f>
        <v>Ravishankar gowda</v>
      </c>
      <c r="F106" s="11" t="str">
        <f aca="false">IF(D106="","",IFERROR(INDEX('CLM &amp; IM Mapping'!$C$2:$C$270,MATCH(TRIM(D106),'CLM &amp; IM Mapping'!$A$2:$A$270,0)),"Not Mapped"))</f>
        <v>Kishor K</v>
      </c>
      <c r="G106" s="10" t="s">
        <v>18</v>
      </c>
      <c r="H106" s="12" t="n">
        <v>-16096</v>
      </c>
      <c r="I106" s="12" t="n">
        <v>2123</v>
      </c>
      <c r="J106" s="12" t="n">
        <v>0</v>
      </c>
      <c r="K106" s="12" t="n">
        <v>124</v>
      </c>
      <c r="L106" s="12" t="n">
        <v>27</v>
      </c>
      <c r="M106" s="12" t="n">
        <v>0</v>
      </c>
      <c r="N106" s="12" t="n">
        <v>0</v>
      </c>
      <c r="O106" s="12" t="n">
        <v>0</v>
      </c>
      <c r="P106" s="12" t="n">
        <v>-13822</v>
      </c>
    </row>
    <row r="107" customFormat="false" ht="15.75" hidden="false" customHeight="false" outlineLevel="0" collapsed="false">
      <c r="B107" s="9" t="s">
        <v>15</v>
      </c>
      <c r="C107" s="10" t="s">
        <v>16</v>
      </c>
      <c r="D107" s="9" t="s">
        <v>130</v>
      </c>
      <c r="E107" s="11" t="str">
        <f aca="false">IF(D107="","",IFERROR(INDEX('CLM &amp; IM Mapping'!$B$2:$B$270,MATCH(TRIM(D107),'CLM &amp; IM Mapping'!$A$2:$A$270,0)),"Not Mapped"))</f>
        <v>Arun Raj</v>
      </c>
      <c r="F107" s="11" t="str">
        <f aca="false">IF(D107="","",IFERROR(INDEX('CLM &amp; IM Mapping'!$C$2:$C$270,MATCH(TRIM(D107),'CLM &amp; IM Mapping'!$A$2:$A$270,0)),"Not Mapped"))</f>
        <v>Simon Manoharan</v>
      </c>
      <c r="G107" s="10" t="s">
        <v>22</v>
      </c>
      <c r="H107" s="12" t="n">
        <v>-13119</v>
      </c>
      <c r="I107" s="12" t="n">
        <v>756</v>
      </c>
      <c r="J107" s="12" t="n">
        <v>0</v>
      </c>
      <c r="K107" s="12" t="n">
        <v>0</v>
      </c>
      <c r="L107" s="12" t="n">
        <v>966</v>
      </c>
      <c r="M107" s="12" t="n">
        <v>0</v>
      </c>
      <c r="N107" s="12" t="n">
        <v>0</v>
      </c>
      <c r="O107" s="12" t="n">
        <v>0</v>
      </c>
      <c r="P107" s="12" t="n">
        <v>-11397</v>
      </c>
    </row>
    <row r="108" customFormat="false" ht="15.75" hidden="false" customHeight="false" outlineLevel="0" collapsed="false">
      <c r="B108" s="9" t="s">
        <v>15</v>
      </c>
      <c r="C108" s="10" t="s">
        <v>16</v>
      </c>
      <c r="D108" s="9" t="s">
        <v>131</v>
      </c>
      <c r="E108" s="11" t="str">
        <f aca="false">IF(D108="","",IFERROR(INDEX('CLM &amp; IM Mapping'!$B$2:$B$270,MATCH(TRIM(D108),'CLM &amp; IM Mapping'!$A$2:$A$270,0)),"Not Mapped"))</f>
        <v>Arun Raj</v>
      </c>
      <c r="F108" s="11" t="str">
        <f aca="false">IF(D108="","",IFERROR(INDEX('CLM &amp; IM Mapping'!$C$2:$C$270,MATCH(TRIM(D108),'CLM &amp; IM Mapping'!$A$2:$A$270,0)),"Not Mapped"))</f>
        <v>Simon Manoharan</v>
      </c>
      <c r="G108" s="10" t="s">
        <v>22</v>
      </c>
      <c r="H108" s="12" t="n">
        <v>0</v>
      </c>
      <c r="I108" s="12" t="n">
        <v>0</v>
      </c>
      <c r="J108" s="12" t="n">
        <v>0</v>
      </c>
      <c r="K108" s="12" t="n">
        <v>0</v>
      </c>
      <c r="L108" s="12" t="n">
        <v>0</v>
      </c>
      <c r="M108" s="12" t="n">
        <v>0</v>
      </c>
      <c r="N108" s="12" t="n">
        <v>0</v>
      </c>
      <c r="O108" s="12" t="n">
        <v>0</v>
      </c>
      <c r="P108" s="12" t="n">
        <v>0</v>
      </c>
    </row>
    <row r="109" customFormat="false" ht="15.75" hidden="false" customHeight="false" outlineLevel="0" collapsed="false">
      <c r="B109" s="9" t="s">
        <v>15</v>
      </c>
      <c r="C109" s="10" t="s">
        <v>16</v>
      </c>
      <c r="D109" s="9" t="s">
        <v>132</v>
      </c>
      <c r="E109" s="11" t="str">
        <f aca="false">IF(D109="","",IFERROR(INDEX('CLM &amp; IM Mapping'!$B$2:$B$270,MATCH(TRIM(D109),'CLM &amp; IM Mapping'!$A$2:$A$270,0)),"Not Mapped"))</f>
        <v>Arun Raj</v>
      </c>
      <c r="F109" s="11" t="str">
        <f aca="false">IF(D109="","",IFERROR(INDEX('CLM &amp; IM Mapping'!$C$2:$C$270,MATCH(TRIM(D109),'CLM &amp; IM Mapping'!$A$2:$A$270,0)),"Not Mapped"))</f>
        <v>Simon Manoharan</v>
      </c>
      <c r="G109" s="10" t="s">
        <v>22</v>
      </c>
      <c r="H109" s="12" t="n">
        <v>-14560</v>
      </c>
      <c r="I109" s="12" t="n">
        <v>1882</v>
      </c>
      <c r="J109" s="12" t="n">
        <v>0</v>
      </c>
      <c r="K109" s="12" t="n">
        <v>0</v>
      </c>
      <c r="L109" s="12" t="n">
        <v>534</v>
      </c>
      <c r="M109" s="12" t="n">
        <v>0</v>
      </c>
      <c r="N109" s="12" t="n">
        <v>0</v>
      </c>
      <c r="O109" s="12" t="n">
        <v>0</v>
      </c>
      <c r="P109" s="12" t="n">
        <v>-12144</v>
      </c>
    </row>
    <row r="110" customFormat="false" ht="15.75" hidden="false" customHeight="false" outlineLevel="0" collapsed="false">
      <c r="B110" s="9" t="s">
        <v>15</v>
      </c>
      <c r="C110" s="10" t="s">
        <v>16</v>
      </c>
      <c r="D110" s="9" t="s">
        <v>133</v>
      </c>
      <c r="E110" s="11" t="str">
        <f aca="false">IF(D110="","",IFERROR(INDEX('CLM &amp; IM Mapping'!$B$2:$B$270,MATCH(TRIM(D110),'CLM &amp; IM Mapping'!$A$2:$A$270,0)),"Not Mapped"))</f>
        <v>Ashwath S</v>
      </c>
      <c r="F110" s="11" t="str">
        <f aca="false">IF(D110="","",IFERROR(INDEX('CLM &amp; IM Mapping'!$C$2:$C$270,MATCH(TRIM(D110),'CLM &amp; IM Mapping'!$A$2:$A$270,0)),"Not Mapped"))</f>
        <v>Kantha Kumar</v>
      </c>
      <c r="G110" s="10" t="s">
        <v>18</v>
      </c>
      <c r="H110" s="12" t="n">
        <v>-9149</v>
      </c>
      <c r="I110" s="12" t="n">
        <v>1023</v>
      </c>
      <c r="J110" s="12" t="n">
        <v>336</v>
      </c>
      <c r="K110" s="12" t="n">
        <v>27</v>
      </c>
      <c r="L110" s="12" t="n">
        <v>56</v>
      </c>
      <c r="M110" s="12" t="n">
        <v>0</v>
      </c>
      <c r="N110" s="12" t="n">
        <v>0</v>
      </c>
      <c r="O110" s="12" t="n">
        <v>0</v>
      </c>
      <c r="P110" s="12" t="n">
        <v>-7708</v>
      </c>
    </row>
    <row r="111" customFormat="false" ht="15.75" hidden="false" customHeight="false" outlineLevel="0" collapsed="false">
      <c r="B111" s="9" t="s">
        <v>15</v>
      </c>
      <c r="C111" s="10" t="s">
        <v>16</v>
      </c>
      <c r="D111" s="9" t="s">
        <v>134</v>
      </c>
      <c r="E111" s="11" t="str">
        <f aca="false">IF(D111="","",IFERROR(INDEX('CLM &amp; IM Mapping'!$B$2:$B$270,MATCH(TRIM(D111),'CLM &amp; IM Mapping'!$A$2:$A$270,0)),"Not Mapped"))</f>
        <v>Keshav G</v>
      </c>
      <c r="F111" s="11" t="str">
        <f aca="false">IF(D111="","",IFERROR(INDEX('CLM &amp; IM Mapping'!$C$2:$C$270,MATCH(TRIM(D111),'CLM &amp; IM Mapping'!$A$2:$A$270,0)),"Not Mapped"))</f>
        <v>Un Mapped</v>
      </c>
      <c r="G111" s="10" t="s">
        <v>18</v>
      </c>
      <c r="H111" s="12" t="n">
        <v>5817</v>
      </c>
      <c r="I111" s="12" t="n">
        <v>29841</v>
      </c>
      <c r="J111" s="12" t="n">
        <v>0</v>
      </c>
      <c r="K111" s="12" t="n">
        <v>1403</v>
      </c>
      <c r="L111" s="12" t="n">
        <v>3816</v>
      </c>
      <c r="M111" s="12" t="n">
        <v>0</v>
      </c>
      <c r="N111" s="12" t="n">
        <v>0</v>
      </c>
      <c r="O111" s="12" t="n">
        <v>13273</v>
      </c>
      <c r="P111" s="12" t="n">
        <v>54150</v>
      </c>
    </row>
    <row r="112" customFormat="false" ht="15.75" hidden="false" customHeight="false" outlineLevel="0" collapsed="false">
      <c r="B112" s="9" t="s">
        <v>15</v>
      </c>
      <c r="C112" s="10" t="s">
        <v>47</v>
      </c>
      <c r="D112" s="9" t="s">
        <v>135</v>
      </c>
      <c r="E112" s="11" t="str">
        <f aca="false">IF(D112="","",IFERROR(INDEX('CLM &amp; IM Mapping'!$B$2:$B$270,MATCH(TRIM(D112),'CLM &amp; IM Mapping'!$A$2:$A$270,0)),"Not Mapped"))</f>
        <v>John Britto</v>
      </c>
      <c r="F112" s="11" t="str">
        <f aca="false">IF(D112="","",IFERROR(INDEX('CLM &amp; IM Mapping'!$C$2:$C$270,MATCH(TRIM(D112),'CLM &amp; IM Mapping'!$A$2:$A$270,0)),"Not Mapped"))</f>
        <v>Aravind S</v>
      </c>
      <c r="G112" s="10" t="s">
        <v>18</v>
      </c>
      <c r="H112" s="12" t="n">
        <v>-3148</v>
      </c>
      <c r="I112" s="12" t="n">
        <v>4674</v>
      </c>
      <c r="J112" s="12" t="n">
        <v>0</v>
      </c>
      <c r="K112" s="12" t="n">
        <v>0</v>
      </c>
      <c r="L112" s="12" t="n">
        <v>176</v>
      </c>
      <c r="M112" s="12" t="n">
        <v>0</v>
      </c>
      <c r="N112" s="12" t="n">
        <v>0</v>
      </c>
      <c r="O112" s="12" t="n">
        <v>0</v>
      </c>
      <c r="P112" s="12" t="n">
        <v>1702</v>
      </c>
    </row>
    <row r="113" customFormat="false" ht="15.75" hidden="false" customHeight="false" outlineLevel="0" collapsed="false">
      <c r="B113" s="9" t="s">
        <v>15</v>
      </c>
      <c r="C113" s="10" t="s">
        <v>44</v>
      </c>
      <c r="D113" s="9" t="s">
        <v>136</v>
      </c>
      <c r="E113" s="11" t="str">
        <f aca="false">IF(D113="","",IFERROR(INDEX('CLM &amp; IM Mapping'!$B$2:$B$270,MATCH(TRIM(D113),'CLM &amp; IM Mapping'!$A$2:$A$270,0)),"Not Mapped"))</f>
        <v>Vishnu V</v>
      </c>
      <c r="F113" s="11" t="str">
        <f aca="false">IF(D113="","",IFERROR(INDEX('CLM &amp; IM Mapping'!$C$2:$C$270,MATCH(TRIM(D113),'CLM &amp; IM Mapping'!$A$2:$A$270,0)),"Not Mapped"))</f>
        <v>Arivind S</v>
      </c>
      <c r="G113" s="10" t="s">
        <v>18</v>
      </c>
      <c r="H113" s="12" t="n">
        <v>-12408</v>
      </c>
      <c r="I113" s="12" t="n">
        <v>4910</v>
      </c>
      <c r="J113" s="12" t="n">
        <v>2313</v>
      </c>
      <c r="K113" s="12" t="n">
        <v>0</v>
      </c>
      <c r="L113" s="12" t="n">
        <v>139</v>
      </c>
      <c r="M113" s="12" t="n">
        <v>0</v>
      </c>
      <c r="N113" s="12" t="n">
        <v>0</v>
      </c>
      <c r="O113" s="12" t="n">
        <v>0</v>
      </c>
      <c r="P113" s="12" t="n">
        <v>-5046</v>
      </c>
    </row>
    <row r="114" customFormat="false" ht="15.75" hidden="false" customHeight="false" outlineLevel="0" collapsed="false">
      <c r="B114" s="9" t="s">
        <v>15</v>
      </c>
      <c r="C114" s="10" t="s">
        <v>16</v>
      </c>
      <c r="D114" s="9" t="s">
        <v>137</v>
      </c>
      <c r="E114" s="11" t="str">
        <f aca="false">IF(D114="","",IFERROR(INDEX('CLM &amp; IM Mapping'!$B$2:$B$270,MATCH(TRIM(D114),'CLM &amp; IM Mapping'!$A$2:$A$270,0)),"Not Mapped"))</f>
        <v>Raghavendra Vernekar</v>
      </c>
      <c r="F114" s="11" t="str">
        <f aca="false">IF(D114="","",IFERROR(INDEX('CLM &amp; IM Mapping'!$C$2:$C$270,MATCH(TRIM(D114),'CLM &amp; IM Mapping'!$A$2:$A$270,0)),"Not Mapped"))</f>
        <v>Prakash BS</v>
      </c>
      <c r="G114" s="10" t="s">
        <v>18</v>
      </c>
      <c r="H114" s="12" t="n">
        <v>-22635</v>
      </c>
      <c r="I114" s="12" t="n">
        <v>11072</v>
      </c>
      <c r="J114" s="12" t="n">
        <v>0</v>
      </c>
      <c r="K114" s="12" t="n">
        <v>9255</v>
      </c>
      <c r="L114" s="12" t="n">
        <v>2172</v>
      </c>
      <c r="M114" s="12" t="n">
        <v>0</v>
      </c>
      <c r="N114" s="12" t="n">
        <v>170</v>
      </c>
      <c r="O114" s="12" t="n">
        <v>0</v>
      </c>
      <c r="P114" s="12" t="n">
        <v>34</v>
      </c>
    </row>
    <row r="115" customFormat="false" ht="15.75" hidden="false" customHeight="false" outlineLevel="0" collapsed="false">
      <c r="B115" s="9" t="s">
        <v>15</v>
      </c>
      <c r="C115" s="10" t="s">
        <v>138</v>
      </c>
      <c r="D115" s="9" t="s">
        <v>139</v>
      </c>
      <c r="E115" s="11" t="str">
        <f aca="false">IF(D115="","",IFERROR(INDEX('CLM &amp; IM Mapping'!$B$2:$B$270,MATCH(TRIM(D115),'CLM &amp; IM Mapping'!$A$2:$A$270,0)),"Not Mapped"))</f>
        <v>Majid Kakatikar</v>
      </c>
      <c r="F115" s="11" t="str">
        <f aca="false">IF(D115="","",IFERROR(INDEX('CLM &amp; IM Mapping'!$C$2:$C$270,MATCH(TRIM(D115),'CLM &amp; IM Mapping'!$A$2:$A$270,0)),"Not Mapped"))</f>
        <v>Kishor K</v>
      </c>
      <c r="G115" s="10" t="s">
        <v>18</v>
      </c>
      <c r="H115" s="12" t="n">
        <v>-1896</v>
      </c>
      <c r="I115" s="12" t="n">
        <v>1503</v>
      </c>
      <c r="J115" s="12" t="n">
        <v>0</v>
      </c>
      <c r="K115" s="12" t="n">
        <v>0</v>
      </c>
      <c r="L115" s="12" t="n">
        <v>129</v>
      </c>
      <c r="M115" s="12" t="n">
        <v>0</v>
      </c>
      <c r="N115" s="12" t="n">
        <v>0</v>
      </c>
      <c r="O115" s="12" t="n">
        <v>0</v>
      </c>
      <c r="P115" s="12" t="n">
        <v>-264</v>
      </c>
    </row>
    <row r="116" customFormat="false" ht="15.75" hidden="false" customHeight="false" outlineLevel="0" collapsed="false">
      <c r="B116" s="9" t="s">
        <v>15</v>
      </c>
      <c r="C116" s="10" t="s">
        <v>16</v>
      </c>
      <c r="D116" s="9" t="s">
        <v>140</v>
      </c>
      <c r="E116" s="11" t="str">
        <f aca="false">IF(D116="","",IFERROR(INDEX('CLM &amp; IM Mapping'!$B$2:$B$270,MATCH(TRIM(D116),'CLM &amp; IM Mapping'!$A$2:$A$270,0)),"Not Mapped"))</f>
        <v>Mohaideen DH</v>
      </c>
      <c r="F116" s="11" t="str">
        <f aca="false">IF(D116="","",IFERROR(INDEX('CLM &amp; IM Mapping'!$C$2:$C$270,MATCH(TRIM(D116),'CLM &amp; IM Mapping'!$A$2:$A$270,0)),"Not Mapped"))</f>
        <v>Mohammed Akbar</v>
      </c>
      <c r="G116" s="10" t="s">
        <v>18</v>
      </c>
      <c r="H116" s="12" t="n">
        <v>7420</v>
      </c>
      <c r="I116" s="12" t="n">
        <v>28642</v>
      </c>
      <c r="J116" s="12" t="n">
        <v>116</v>
      </c>
      <c r="K116" s="12" t="n">
        <v>710</v>
      </c>
      <c r="L116" s="12" t="n">
        <v>298</v>
      </c>
      <c r="M116" s="12" t="n">
        <v>0</v>
      </c>
      <c r="N116" s="12" t="n">
        <v>0</v>
      </c>
      <c r="O116" s="12" t="n">
        <v>0</v>
      </c>
      <c r="P116" s="12" t="n">
        <v>37186</v>
      </c>
    </row>
    <row r="117" customFormat="false" ht="15.75" hidden="false" customHeight="false" outlineLevel="0" collapsed="false">
      <c r="B117" s="9" t="s">
        <v>15</v>
      </c>
      <c r="C117" s="10" t="s">
        <v>16</v>
      </c>
      <c r="D117" s="9" t="s">
        <v>141</v>
      </c>
      <c r="E117" s="11" t="str">
        <f aca="false">IF(D117="","",IFERROR(INDEX('CLM &amp; IM Mapping'!$B$2:$B$270,MATCH(TRIM(D117),'CLM &amp; IM Mapping'!$A$2:$A$270,0)),"Not Mapped"))</f>
        <v>Rizwan Ahmed</v>
      </c>
      <c r="F117" s="11" t="str">
        <f aca="false">IF(D117="","",IFERROR(INDEX('CLM &amp; IM Mapping'!$C$2:$C$270,MATCH(TRIM(D117),'CLM &amp; IM Mapping'!$A$2:$A$270,0)),"Not Mapped"))</f>
        <v>Un Mapped</v>
      </c>
      <c r="G117" s="10" t="s">
        <v>18</v>
      </c>
      <c r="H117" s="12" t="n">
        <v>14300</v>
      </c>
      <c r="I117" s="12" t="n">
        <v>9717</v>
      </c>
      <c r="J117" s="12" t="n">
        <v>114</v>
      </c>
      <c r="K117" s="12" t="n">
        <v>6589</v>
      </c>
      <c r="L117" s="12" t="n">
        <v>776</v>
      </c>
      <c r="M117" s="12" t="n">
        <v>0</v>
      </c>
      <c r="N117" s="12" t="n">
        <v>0</v>
      </c>
      <c r="O117" s="12" t="n">
        <v>0</v>
      </c>
      <c r="P117" s="12" t="n">
        <v>31497</v>
      </c>
    </row>
    <row r="118" customFormat="false" ht="15.75" hidden="false" customHeight="false" outlineLevel="0" collapsed="false">
      <c r="B118" s="9" t="s">
        <v>15</v>
      </c>
      <c r="C118" s="10" t="s">
        <v>16</v>
      </c>
      <c r="D118" s="9" t="s">
        <v>142</v>
      </c>
      <c r="E118" s="11" t="str">
        <f aca="false">IF(D118="","",IFERROR(INDEX('CLM &amp; IM Mapping'!$B$2:$B$270,MATCH(TRIM(D118),'CLM &amp; IM Mapping'!$A$2:$A$270,0)),"Not Mapped"))</f>
        <v>Girish N</v>
      </c>
      <c r="F118" s="11" t="str">
        <f aca="false">IF(D118="","",IFERROR(INDEX('CLM &amp; IM Mapping'!$C$2:$C$270,MATCH(TRIM(D118),'CLM &amp; IM Mapping'!$A$2:$A$270,0)),"Not Mapped"))</f>
        <v>Un Mapped</v>
      </c>
      <c r="G118" s="10" t="s">
        <v>18</v>
      </c>
      <c r="H118" s="12" t="n">
        <v>-10402</v>
      </c>
      <c r="I118" s="12" t="n">
        <v>6439</v>
      </c>
      <c r="J118" s="12" t="n">
        <v>0</v>
      </c>
      <c r="K118" s="12" t="n">
        <v>0</v>
      </c>
      <c r="L118" s="12" t="n">
        <v>111</v>
      </c>
      <c r="M118" s="12" t="n">
        <v>0</v>
      </c>
      <c r="N118" s="12" t="n">
        <v>0</v>
      </c>
      <c r="O118" s="12" t="n">
        <v>0</v>
      </c>
      <c r="P118" s="12" t="n">
        <v>-3852</v>
      </c>
    </row>
    <row r="119" customFormat="false" ht="15.75" hidden="false" customHeight="false" outlineLevel="0" collapsed="false">
      <c r="B119" s="9" t="s">
        <v>15</v>
      </c>
      <c r="C119" s="10" t="s">
        <v>16</v>
      </c>
      <c r="D119" s="9" t="s">
        <v>143</v>
      </c>
      <c r="E119" s="11" t="str">
        <f aca="false">IF(D119="","",IFERROR(INDEX('CLM &amp; IM Mapping'!$B$2:$B$270,MATCH(TRIM(D119),'CLM &amp; IM Mapping'!$A$2:$A$270,0)),"Not Mapped"))</f>
        <v>Ashwath S</v>
      </c>
      <c r="F119" s="11" t="str">
        <f aca="false">IF(D119="","",IFERROR(INDEX('CLM &amp; IM Mapping'!$C$2:$C$270,MATCH(TRIM(D119),'CLM &amp; IM Mapping'!$A$2:$A$270,0)),"Not Mapped"))</f>
        <v>Kantha Kumar</v>
      </c>
      <c r="G119" s="10" t="s">
        <v>18</v>
      </c>
      <c r="H119" s="12" t="n">
        <v>-2276</v>
      </c>
      <c r="I119" s="12" t="n">
        <v>645</v>
      </c>
      <c r="J119" s="12" t="n">
        <v>786</v>
      </c>
      <c r="K119" s="12" t="n">
        <v>0</v>
      </c>
      <c r="L119" s="12" t="n">
        <v>1011</v>
      </c>
      <c r="M119" s="12" t="n">
        <v>0</v>
      </c>
      <c r="N119" s="12" t="n">
        <v>0</v>
      </c>
      <c r="O119" s="12" t="n">
        <v>0</v>
      </c>
      <c r="P119" s="12" t="n">
        <v>166</v>
      </c>
    </row>
    <row r="120" customFormat="false" ht="15.75" hidden="false" customHeight="false" outlineLevel="0" collapsed="false">
      <c r="B120" s="9" t="s">
        <v>15</v>
      </c>
      <c r="C120" s="10" t="s">
        <v>16</v>
      </c>
      <c r="D120" s="9" t="s">
        <v>144</v>
      </c>
      <c r="E120" s="11" t="str">
        <f aca="false">IF(D120="","",IFERROR(INDEX('CLM &amp; IM Mapping'!$B$2:$B$270,MATCH(TRIM(D120),'CLM &amp; IM Mapping'!$A$2:$A$270,0)),"Not Mapped"))</f>
        <v>Akshay P</v>
      </c>
      <c r="F120" s="11" t="str">
        <f aca="false">IF(D120="","",IFERROR(INDEX('CLM &amp; IM Mapping'!$C$2:$C$270,MATCH(TRIM(D120),'CLM &amp; IM Mapping'!$A$2:$A$270,0)),"Not Mapped"))</f>
        <v>Srittam Dhal</v>
      </c>
      <c r="G120" s="10" t="s">
        <v>18</v>
      </c>
      <c r="H120" s="12" t="n">
        <v>3774</v>
      </c>
      <c r="I120" s="12" t="n">
        <v>23498</v>
      </c>
      <c r="J120" s="12" t="n">
        <v>301</v>
      </c>
      <c r="K120" s="12" t="n">
        <v>939</v>
      </c>
      <c r="L120" s="12" t="n">
        <v>732</v>
      </c>
      <c r="M120" s="12" t="n">
        <v>0</v>
      </c>
      <c r="N120" s="12" t="n">
        <v>1092</v>
      </c>
      <c r="O120" s="12" t="n">
        <v>63</v>
      </c>
      <c r="P120" s="12" t="n">
        <v>30399</v>
      </c>
    </row>
    <row r="121" customFormat="false" ht="15.75" hidden="false" customHeight="false" outlineLevel="0" collapsed="false">
      <c r="B121" s="9" t="s">
        <v>15</v>
      </c>
      <c r="C121" s="10" t="s">
        <v>16</v>
      </c>
      <c r="D121" s="9" t="s">
        <v>145</v>
      </c>
      <c r="E121" s="11" t="str">
        <f aca="false">IF(D121="","",IFERROR(INDEX('CLM &amp; IM Mapping'!$B$2:$B$270,MATCH(TRIM(D121),'CLM &amp; IM Mapping'!$A$2:$A$270,0)),"Not Mapped"))</f>
        <v>Saddam Hussain</v>
      </c>
      <c r="F121" s="11" t="str">
        <f aca="false">IF(D121="","",IFERROR(INDEX('CLM &amp; IM Mapping'!$C$2:$C$270,MATCH(TRIM(D121),'CLM &amp; IM Mapping'!$A$2:$A$270,0)),"Not Mapped"))</f>
        <v>Un Mapped</v>
      </c>
      <c r="G121" s="10" t="s">
        <v>18</v>
      </c>
      <c r="H121" s="12" t="n">
        <v>-5011</v>
      </c>
      <c r="I121" s="12" t="n">
        <v>6387</v>
      </c>
      <c r="J121" s="12" t="n">
        <v>0</v>
      </c>
      <c r="K121" s="12" t="n">
        <v>0</v>
      </c>
      <c r="L121" s="12" t="n">
        <v>441</v>
      </c>
      <c r="M121" s="12" t="n">
        <v>0</v>
      </c>
      <c r="N121" s="12" t="n">
        <v>0</v>
      </c>
      <c r="O121" s="12" t="n">
        <v>0</v>
      </c>
      <c r="P121" s="12" t="n">
        <v>1817</v>
      </c>
    </row>
    <row r="122" customFormat="false" ht="15.75" hidden="false" customHeight="false" outlineLevel="0" collapsed="false">
      <c r="B122" s="9" t="s">
        <v>15</v>
      </c>
      <c r="C122" s="10" t="s">
        <v>16</v>
      </c>
      <c r="D122" s="9" t="s">
        <v>146</v>
      </c>
      <c r="E122" s="11" t="str">
        <f aca="false">IF(D122="","",IFERROR(INDEX('CLM &amp; IM Mapping'!$B$2:$B$270,MATCH(TRIM(D122),'CLM &amp; IM Mapping'!$A$2:$A$270,0)),"Not Mapped"))</f>
        <v>Basil Scariya</v>
      </c>
      <c r="F122" s="11" t="str">
        <f aca="false">IF(D122="","",IFERROR(INDEX('CLM &amp; IM Mapping'!$C$2:$C$270,MATCH(TRIM(D122),'CLM &amp; IM Mapping'!$A$2:$A$270,0)),"Not Mapped"))</f>
        <v>Prakash BS</v>
      </c>
      <c r="G122" s="10" t="s">
        <v>18</v>
      </c>
      <c r="H122" s="12" t="n">
        <v>37013</v>
      </c>
      <c r="I122" s="12" t="n">
        <v>13720</v>
      </c>
      <c r="J122" s="12" t="n">
        <v>0</v>
      </c>
      <c r="K122" s="12" t="n">
        <v>0</v>
      </c>
      <c r="L122" s="12" t="n">
        <v>69</v>
      </c>
      <c r="M122" s="12" t="n">
        <v>0</v>
      </c>
      <c r="N122" s="12" t="n">
        <v>1350</v>
      </c>
      <c r="O122" s="12" t="n">
        <v>0</v>
      </c>
      <c r="P122" s="12" t="n">
        <v>52152</v>
      </c>
    </row>
    <row r="123" customFormat="false" ht="15.75" hidden="false" customHeight="false" outlineLevel="0" collapsed="false">
      <c r="B123" s="9" t="s">
        <v>15</v>
      </c>
      <c r="C123" s="10" t="s">
        <v>16</v>
      </c>
      <c r="D123" s="9" t="s">
        <v>147</v>
      </c>
      <c r="E123" s="11" t="str">
        <f aca="false">IF(D123="","",IFERROR(INDEX('CLM &amp; IM Mapping'!$B$2:$B$270,MATCH(TRIM(D123),'CLM &amp; IM Mapping'!$A$2:$A$270,0)),"Not Mapped"))</f>
        <v>Arun Raj</v>
      </c>
      <c r="F123" s="11" t="str">
        <f aca="false">IF(D123="","",IFERROR(INDEX('CLM &amp; IM Mapping'!$C$2:$C$270,MATCH(TRIM(D123),'CLM &amp; IM Mapping'!$A$2:$A$270,0)),"Not Mapped"))</f>
        <v>Simon Manoharan</v>
      </c>
      <c r="G123" s="10" t="s">
        <v>22</v>
      </c>
      <c r="H123" s="12" t="n">
        <v>-6715</v>
      </c>
      <c r="I123" s="12" t="n">
        <v>0</v>
      </c>
      <c r="J123" s="12" t="n">
        <v>0</v>
      </c>
      <c r="K123" s="12" t="n">
        <v>0</v>
      </c>
      <c r="L123" s="12" t="n">
        <v>7318</v>
      </c>
      <c r="M123" s="12" t="n">
        <v>0</v>
      </c>
      <c r="N123" s="12" t="n">
        <v>0</v>
      </c>
      <c r="O123" s="12" t="n">
        <v>0</v>
      </c>
      <c r="P123" s="12" t="n">
        <v>603</v>
      </c>
    </row>
    <row r="124" customFormat="false" ht="15.75" hidden="false" customHeight="false" outlineLevel="0" collapsed="false">
      <c r="B124" s="9" t="s">
        <v>15</v>
      </c>
      <c r="C124" s="10" t="s">
        <v>31</v>
      </c>
      <c r="D124" s="9" t="s">
        <v>148</v>
      </c>
      <c r="E124" s="11" t="str">
        <f aca="false">IF(D124="","",IFERROR(INDEX('CLM &amp; IM Mapping'!$B$2:$B$270,MATCH(TRIM(D124),'CLM &amp; IM Mapping'!$A$2:$A$270,0)),"Not Mapped"))</f>
        <v>Santhosha M</v>
      </c>
      <c r="F124" s="11" t="str">
        <f aca="false">IF(D124="","",IFERROR(INDEX('CLM &amp; IM Mapping'!$C$2:$C$270,MATCH(TRIM(D124),'CLM &amp; IM Mapping'!$A$2:$A$270,0)),"Not Mapped"))</f>
        <v>Aravind S</v>
      </c>
      <c r="G124" s="10" t="s">
        <v>18</v>
      </c>
      <c r="H124" s="12" t="n">
        <v>3322</v>
      </c>
      <c r="I124" s="12" t="n">
        <v>0</v>
      </c>
      <c r="J124" s="12" t="n">
        <v>0</v>
      </c>
      <c r="K124" s="12" t="n">
        <v>0</v>
      </c>
      <c r="L124" s="12" t="n">
        <v>70</v>
      </c>
      <c r="M124" s="12" t="n">
        <v>0</v>
      </c>
      <c r="N124" s="12" t="n">
        <v>0</v>
      </c>
      <c r="O124" s="12" t="n">
        <v>0</v>
      </c>
      <c r="P124" s="12" t="n">
        <v>3391</v>
      </c>
    </row>
    <row r="125" customFormat="false" ht="15.75" hidden="false" customHeight="false" outlineLevel="0" collapsed="false">
      <c r="B125" s="9" t="s">
        <v>15</v>
      </c>
      <c r="C125" s="10" t="s">
        <v>16</v>
      </c>
      <c r="D125" s="9" t="s">
        <v>149</v>
      </c>
      <c r="E125" s="11" t="str">
        <f aca="false">IF(D125="","",IFERROR(INDEX('CLM &amp; IM Mapping'!$B$2:$B$270,MATCH(TRIM(D125),'CLM &amp; IM Mapping'!$A$2:$A$270,0)),"Not Mapped"))</f>
        <v>Manjunatha V</v>
      </c>
      <c r="F125" s="11" t="str">
        <f aca="false">IF(D125="","",IFERROR(INDEX('CLM &amp; IM Mapping'!$C$2:$C$270,MATCH(TRIM(D125),'CLM &amp; IM Mapping'!$A$2:$A$270,0)),"Not Mapped"))</f>
        <v>Un Mapped</v>
      </c>
      <c r="G125" s="10" t="s">
        <v>18</v>
      </c>
      <c r="H125" s="12" t="n">
        <v>-11226</v>
      </c>
      <c r="I125" s="12" t="n">
        <v>5297</v>
      </c>
      <c r="J125" s="12" t="n">
        <v>0</v>
      </c>
      <c r="K125" s="12" t="n">
        <v>176</v>
      </c>
      <c r="L125" s="12" t="n">
        <v>1021</v>
      </c>
      <c r="M125" s="12" t="n">
        <v>0</v>
      </c>
      <c r="N125" s="12" t="n">
        <v>0</v>
      </c>
      <c r="O125" s="12" t="n">
        <v>66</v>
      </c>
      <c r="P125" s="12" t="n">
        <v>-4667</v>
      </c>
    </row>
    <row r="126" customFormat="false" ht="15.75" hidden="false" customHeight="false" outlineLevel="0" collapsed="false">
      <c r="B126" s="9" t="s">
        <v>15</v>
      </c>
      <c r="C126" s="10" t="s">
        <v>16</v>
      </c>
      <c r="D126" s="9" t="s">
        <v>150</v>
      </c>
      <c r="E126" s="11" t="str">
        <f aca="false">IF(D126="","",IFERROR(INDEX('CLM &amp; IM Mapping'!$B$2:$B$270,MATCH(TRIM(D126),'CLM &amp; IM Mapping'!$A$2:$A$270,0)),"Not Mapped"))</f>
        <v>Manoj Kj</v>
      </c>
      <c r="F126" s="11" t="str">
        <f aca="false">IF(D126="","",IFERROR(INDEX('CLM &amp; IM Mapping'!$C$2:$C$270,MATCH(TRIM(D126),'CLM &amp; IM Mapping'!$A$2:$A$270,0)),"Not Mapped"))</f>
        <v>Srittam Dhal</v>
      </c>
      <c r="G126" s="10" t="s">
        <v>18</v>
      </c>
      <c r="H126" s="12" t="n">
        <v>-22263</v>
      </c>
      <c r="I126" s="12" t="n">
        <v>19</v>
      </c>
      <c r="J126" s="12" t="n">
        <v>854</v>
      </c>
      <c r="K126" s="12" t="n">
        <v>0</v>
      </c>
      <c r="L126" s="12" t="n">
        <v>51</v>
      </c>
      <c r="M126" s="12" t="n">
        <v>0</v>
      </c>
      <c r="N126" s="12" t="n">
        <v>0</v>
      </c>
      <c r="O126" s="12" t="n">
        <v>0</v>
      </c>
      <c r="P126" s="12" t="n">
        <v>-21339</v>
      </c>
    </row>
    <row r="127" customFormat="false" ht="15.75" hidden="false" customHeight="false" outlineLevel="0" collapsed="false">
      <c r="B127" s="9" t="s">
        <v>15</v>
      </c>
      <c r="C127" s="10" t="s">
        <v>16</v>
      </c>
      <c r="D127" s="9" t="s">
        <v>151</v>
      </c>
      <c r="E127" s="11" t="str">
        <f aca="false">IF(D127="","",IFERROR(INDEX('CLM &amp; IM Mapping'!$B$2:$B$270,MATCH(TRIM(D127),'CLM &amp; IM Mapping'!$A$2:$A$270,0)),"Not Mapped"))</f>
        <v>Manjunatha V</v>
      </c>
      <c r="F127" s="11" t="str">
        <f aca="false">IF(D127="","",IFERROR(INDEX('CLM &amp; IM Mapping'!$C$2:$C$270,MATCH(TRIM(D127),'CLM &amp; IM Mapping'!$A$2:$A$270,0)),"Not Mapped"))</f>
        <v>Un Mapped</v>
      </c>
      <c r="G127" s="10" t="s">
        <v>18</v>
      </c>
      <c r="H127" s="12" t="n">
        <v>-3573</v>
      </c>
      <c r="I127" s="12" t="n">
        <v>8200</v>
      </c>
      <c r="J127" s="12" t="n">
        <v>0</v>
      </c>
      <c r="K127" s="12" t="n">
        <v>0</v>
      </c>
      <c r="L127" s="12" t="n">
        <v>0</v>
      </c>
      <c r="M127" s="12" t="n">
        <v>0</v>
      </c>
      <c r="N127" s="12" t="n">
        <v>0</v>
      </c>
      <c r="O127" s="12" t="n">
        <v>0</v>
      </c>
      <c r="P127" s="12" t="n">
        <v>4627</v>
      </c>
    </row>
    <row r="128" customFormat="false" ht="15.75" hidden="false" customHeight="false" outlineLevel="0" collapsed="false">
      <c r="B128" s="9" t="s">
        <v>15</v>
      </c>
      <c r="C128" s="10" t="s">
        <v>47</v>
      </c>
      <c r="D128" s="9" t="s">
        <v>152</v>
      </c>
      <c r="E128" s="11" t="str">
        <f aca="false">IF(D128="","",IFERROR(INDEX('CLM &amp; IM Mapping'!$B$2:$B$270,MATCH(TRIM(D128),'CLM &amp; IM Mapping'!$A$2:$A$270,0)),"Not Mapped"))</f>
        <v>John Britto</v>
      </c>
      <c r="F128" s="11" t="str">
        <f aca="false">IF(D128="","",IFERROR(INDEX('CLM &amp; IM Mapping'!$C$2:$C$270,MATCH(TRIM(D128),'CLM &amp; IM Mapping'!$A$2:$A$270,0)),"Not Mapped"))</f>
        <v>Aravind S</v>
      </c>
      <c r="G128" s="10" t="s">
        <v>18</v>
      </c>
      <c r="H128" s="12" t="n">
        <v>-13832</v>
      </c>
      <c r="I128" s="12" t="n">
        <v>8038</v>
      </c>
      <c r="J128" s="12" t="n">
        <v>0</v>
      </c>
      <c r="K128" s="12" t="n">
        <v>0</v>
      </c>
      <c r="L128" s="12" t="n">
        <v>836</v>
      </c>
      <c r="M128" s="12" t="n">
        <v>0</v>
      </c>
      <c r="N128" s="12" t="n">
        <v>0</v>
      </c>
      <c r="O128" s="12" t="n">
        <v>0</v>
      </c>
      <c r="P128" s="12" t="n">
        <v>-4958</v>
      </c>
    </row>
    <row r="129" customFormat="false" ht="15.75" hidden="false" customHeight="false" outlineLevel="0" collapsed="false">
      <c r="B129" s="9" t="s">
        <v>15</v>
      </c>
      <c r="C129" s="10" t="s">
        <v>16</v>
      </c>
      <c r="D129" s="9" t="s">
        <v>153</v>
      </c>
      <c r="E129" s="11" t="str">
        <f aca="false">IF(D129="","",IFERROR(INDEX('CLM &amp; IM Mapping'!$B$2:$B$270,MATCH(TRIM(D129),'CLM &amp; IM Mapping'!$A$2:$A$270,0)),"Not Mapped"))</f>
        <v>MH</v>
      </c>
      <c r="F129" s="11" t="str">
        <f aca="false">IF(D129="","",IFERROR(INDEX('CLM &amp; IM Mapping'!$C$2:$C$270,MATCH(TRIM(D129),'CLM &amp; IM Mapping'!$A$2:$A$270,0)),"Not Mapped"))</f>
        <v>MH</v>
      </c>
      <c r="G129" s="10" t="s">
        <v>18</v>
      </c>
      <c r="H129" s="12" t="n">
        <v>-10316</v>
      </c>
      <c r="I129" s="12" t="n">
        <v>0</v>
      </c>
      <c r="J129" s="12" t="n">
        <v>0</v>
      </c>
      <c r="K129" s="12" t="n">
        <v>0</v>
      </c>
      <c r="L129" s="12" t="n">
        <v>953</v>
      </c>
      <c r="M129" s="12" t="n">
        <v>0</v>
      </c>
      <c r="N129" s="12" t="n">
        <v>0</v>
      </c>
      <c r="O129" s="12" t="n">
        <v>0</v>
      </c>
      <c r="P129" s="12" t="n">
        <v>-9363</v>
      </c>
    </row>
    <row r="130" customFormat="false" ht="15.75" hidden="false" customHeight="false" outlineLevel="0" collapsed="false">
      <c r="B130" s="9" t="s">
        <v>15</v>
      </c>
      <c r="C130" s="10" t="s">
        <v>16</v>
      </c>
      <c r="D130" s="9" t="s">
        <v>154</v>
      </c>
      <c r="E130" s="11" t="str">
        <f aca="false">IF(D130="","",IFERROR(INDEX('CLM &amp; IM Mapping'!$B$2:$B$270,MATCH(TRIM(D130),'CLM &amp; IM Mapping'!$A$2:$A$270,0)),"Not Mapped"))</f>
        <v>Manoj Kj</v>
      </c>
      <c r="F130" s="11" t="str">
        <f aca="false">IF(D130="","",IFERROR(INDEX('CLM &amp; IM Mapping'!$C$2:$C$270,MATCH(TRIM(D130),'CLM &amp; IM Mapping'!$A$2:$A$270,0)),"Not Mapped"))</f>
        <v>Srittam Dhal</v>
      </c>
      <c r="G130" s="10" t="s">
        <v>18</v>
      </c>
      <c r="H130" s="12" t="n">
        <v>5734</v>
      </c>
      <c r="I130" s="12" t="n">
        <v>198</v>
      </c>
      <c r="J130" s="12" t="n">
        <v>0</v>
      </c>
      <c r="K130" s="12" t="n">
        <v>240</v>
      </c>
      <c r="L130" s="12" t="n">
        <v>340</v>
      </c>
      <c r="M130" s="12" t="n">
        <v>0</v>
      </c>
      <c r="N130" s="12" t="n">
        <v>0</v>
      </c>
      <c r="O130" s="12" t="n">
        <v>0</v>
      </c>
      <c r="P130" s="12" t="n">
        <v>6512</v>
      </c>
    </row>
    <row r="131" customFormat="false" ht="15.75" hidden="false" customHeight="false" outlineLevel="0" collapsed="false">
      <c r="B131" s="9" t="s">
        <v>15</v>
      </c>
      <c r="C131" s="10" t="s">
        <v>16</v>
      </c>
      <c r="D131" s="9" t="s">
        <v>155</v>
      </c>
      <c r="E131" s="11" t="str">
        <f aca="false">IF(D131="","",IFERROR(INDEX('CLM &amp; IM Mapping'!$B$2:$B$270,MATCH(TRIM(D131),'CLM &amp; IM Mapping'!$A$2:$A$270,0)),"Not Mapped"))</f>
        <v>Akshay P</v>
      </c>
      <c r="F131" s="11" t="str">
        <f aca="false">IF(D131="","",IFERROR(INDEX('CLM &amp; IM Mapping'!$C$2:$C$270,MATCH(TRIM(D131),'CLM &amp; IM Mapping'!$A$2:$A$270,0)),"Not Mapped"))</f>
        <v>Srittam Dhal</v>
      </c>
      <c r="G131" s="10" t="s">
        <v>18</v>
      </c>
      <c r="H131" s="12" t="n">
        <v>1510</v>
      </c>
      <c r="I131" s="12" t="n">
        <v>33</v>
      </c>
      <c r="J131" s="12" t="n">
        <v>38</v>
      </c>
      <c r="K131" s="12" t="n">
        <v>94</v>
      </c>
      <c r="L131" s="12" t="n">
        <v>658</v>
      </c>
      <c r="M131" s="12" t="n">
        <v>0</v>
      </c>
      <c r="N131" s="12" t="n">
        <v>0</v>
      </c>
      <c r="O131" s="12" t="n">
        <v>0</v>
      </c>
      <c r="P131" s="12" t="n">
        <v>2332</v>
      </c>
    </row>
    <row r="132" customFormat="false" ht="15.75" hidden="false" customHeight="false" outlineLevel="0" collapsed="false">
      <c r="B132" s="9" t="s">
        <v>15</v>
      </c>
      <c r="C132" s="10" t="s">
        <v>138</v>
      </c>
      <c r="D132" s="9" t="s">
        <v>156</v>
      </c>
      <c r="E132" s="11" t="str">
        <f aca="false">IF(D132="","",IFERROR(INDEX('CLM &amp; IM Mapping'!$B$2:$B$270,MATCH(TRIM(D132),'CLM &amp; IM Mapping'!$A$2:$A$270,0)),"Not Mapped"))</f>
        <v>Majid Kakatikar</v>
      </c>
      <c r="F132" s="11" t="str">
        <f aca="false">IF(D132="","",IFERROR(INDEX('CLM &amp; IM Mapping'!$C$2:$C$270,MATCH(TRIM(D132),'CLM &amp; IM Mapping'!$A$2:$A$270,0)),"Not Mapped"))</f>
        <v>Kishor K</v>
      </c>
      <c r="G132" s="10" t="s">
        <v>18</v>
      </c>
      <c r="H132" s="12" t="n">
        <v>4667</v>
      </c>
      <c r="I132" s="12" t="n">
        <v>4363</v>
      </c>
      <c r="J132" s="12" t="n">
        <v>0</v>
      </c>
      <c r="K132" s="12" t="n">
        <v>430</v>
      </c>
      <c r="L132" s="12" t="n">
        <v>85</v>
      </c>
      <c r="M132" s="12" t="n">
        <v>0</v>
      </c>
      <c r="N132" s="12" t="n">
        <v>0</v>
      </c>
      <c r="O132" s="12" t="n">
        <v>0</v>
      </c>
      <c r="P132" s="12" t="n">
        <v>9545</v>
      </c>
    </row>
    <row r="133" customFormat="false" ht="15.75" hidden="false" customHeight="false" outlineLevel="0" collapsed="false">
      <c r="B133" s="9" t="s">
        <v>15</v>
      </c>
      <c r="C133" s="10" t="s">
        <v>16</v>
      </c>
      <c r="D133" s="9" t="s">
        <v>157</v>
      </c>
      <c r="E133" s="11" t="str">
        <f aca="false">IF(D133="","",IFERROR(INDEX('CLM &amp; IM Mapping'!$B$2:$B$270,MATCH(TRIM(D133),'CLM &amp; IM Mapping'!$A$2:$A$270,0)),"Not Mapped"))</f>
        <v>Arun Raj</v>
      </c>
      <c r="F133" s="11" t="str">
        <f aca="false">IF(D133="","",IFERROR(INDEX('CLM &amp; IM Mapping'!$C$2:$C$270,MATCH(TRIM(D133),'CLM &amp; IM Mapping'!$A$2:$A$270,0)),"Not Mapped"))</f>
        <v>Simon Manoharan</v>
      </c>
      <c r="G133" s="10" t="s">
        <v>22</v>
      </c>
      <c r="H133" s="12" t="n">
        <v>23481</v>
      </c>
      <c r="I133" s="12" t="n">
        <v>11376</v>
      </c>
      <c r="J133" s="12" t="n">
        <v>0</v>
      </c>
      <c r="K133" s="12" t="n">
        <v>0</v>
      </c>
      <c r="L133" s="12" t="n">
        <v>3479</v>
      </c>
      <c r="M133" s="12" t="n">
        <v>0</v>
      </c>
      <c r="N133" s="12" t="n">
        <v>0</v>
      </c>
      <c r="O133" s="12" t="n">
        <v>0</v>
      </c>
      <c r="P133" s="12" t="n">
        <v>38336</v>
      </c>
    </row>
    <row r="134" customFormat="false" ht="15.75" hidden="false" customHeight="false" outlineLevel="0" collapsed="false">
      <c r="B134" s="9" t="s">
        <v>15</v>
      </c>
      <c r="C134" s="10" t="s">
        <v>31</v>
      </c>
      <c r="D134" s="9" t="s">
        <v>158</v>
      </c>
      <c r="E134" s="11" t="str">
        <f aca="false">IF(D134="","",IFERROR(INDEX('CLM &amp; IM Mapping'!$B$2:$B$270,MATCH(TRIM(D134),'CLM &amp; IM Mapping'!$A$2:$A$270,0)),"Not Mapped"))</f>
        <v>Santhosha M</v>
      </c>
      <c r="F134" s="11" t="str">
        <f aca="false">IF(D134="","",IFERROR(INDEX('CLM &amp; IM Mapping'!$C$2:$C$270,MATCH(TRIM(D134),'CLM &amp; IM Mapping'!$A$2:$A$270,0)),"Not Mapped"))</f>
        <v>Aravind S</v>
      </c>
      <c r="G134" s="10" t="s">
        <v>18</v>
      </c>
      <c r="H134" s="12" t="n">
        <v>-5009</v>
      </c>
      <c r="I134" s="12" t="n">
        <v>59</v>
      </c>
      <c r="J134" s="12" t="n">
        <v>0</v>
      </c>
      <c r="K134" s="12" t="n">
        <v>0</v>
      </c>
      <c r="L134" s="12" t="n">
        <v>0</v>
      </c>
      <c r="M134" s="12" t="n">
        <v>0</v>
      </c>
      <c r="N134" s="12" t="n">
        <v>0</v>
      </c>
      <c r="O134" s="12" t="n">
        <v>19</v>
      </c>
      <c r="P134" s="12" t="n">
        <v>-4930</v>
      </c>
    </row>
    <row r="135" customFormat="false" ht="15.75" hidden="false" customHeight="false" outlineLevel="0" collapsed="false">
      <c r="B135" s="9" t="s">
        <v>15</v>
      </c>
      <c r="C135" s="10" t="s">
        <v>16</v>
      </c>
      <c r="D135" s="9" t="s">
        <v>159</v>
      </c>
      <c r="E135" s="11" t="str">
        <f aca="false">IF(D135="","",IFERROR(INDEX('CLM &amp; IM Mapping'!$B$2:$B$270,MATCH(TRIM(D135),'CLM &amp; IM Mapping'!$A$2:$A$270,0)),"Not Mapped"))</f>
        <v>Saddam Hussain</v>
      </c>
      <c r="F135" s="11" t="str">
        <f aca="false">IF(D135="","",IFERROR(INDEX('CLM &amp; IM Mapping'!$C$2:$C$270,MATCH(TRIM(D135),'CLM &amp; IM Mapping'!$A$2:$A$270,0)),"Not Mapped"))</f>
        <v>Un Mapped</v>
      </c>
      <c r="G135" s="10" t="s">
        <v>18</v>
      </c>
      <c r="H135" s="12" t="n">
        <v>-39484</v>
      </c>
      <c r="I135" s="12" t="n">
        <v>2408</v>
      </c>
      <c r="J135" s="12" t="n">
        <v>0</v>
      </c>
      <c r="K135" s="12" t="n">
        <v>195</v>
      </c>
      <c r="L135" s="12" t="n">
        <v>152</v>
      </c>
      <c r="M135" s="12" t="n">
        <v>0</v>
      </c>
      <c r="N135" s="12" t="n">
        <v>0</v>
      </c>
      <c r="O135" s="12" t="n">
        <v>0</v>
      </c>
      <c r="P135" s="12" t="n">
        <v>-36730</v>
      </c>
    </row>
    <row r="136" customFormat="false" ht="15.75" hidden="false" customHeight="false" outlineLevel="0" collapsed="false">
      <c r="B136" s="9" t="s">
        <v>15</v>
      </c>
      <c r="C136" s="10" t="s">
        <v>16</v>
      </c>
      <c r="D136" s="9" t="s">
        <v>160</v>
      </c>
      <c r="E136" s="11" t="str">
        <f aca="false">IF(D136="","",IFERROR(INDEX('CLM &amp; IM Mapping'!$B$2:$B$270,MATCH(TRIM(D136),'CLM &amp; IM Mapping'!$A$2:$A$270,0)),"Not Mapped"))</f>
        <v>Richard Harris</v>
      </c>
      <c r="F136" s="11" t="str">
        <f aca="false">IF(D136="","",IFERROR(INDEX('CLM &amp; IM Mapping'!$C$2:$C$270,MATCH(TRIM(D136),'CLM &amp; IM Mapping'!$A$2:$A$270,0)),"Not Mapped"))</f>
        <v>Kantha Kumar</v>
      </c>
      <c r="G136" s="10" t="s">
        <v>18</v>
      </c>
      <c r="H136" s="12" t="n">
        <v>16726</v>
      </c>
      <c r="I136" s="12" t="n">
        <v>10196</v>
      </c>
      <c r="J136" s="12" t="n">
        <v>0</v>
      </c>
      <c r="K136" s="12" t="n">
        <v>96</v>
      </c>
      <c r="L136" s="12" t="n">
        <v>454</v>
      </c>
      <c r="M136" s="12" t="n">
        <v>0</v>
      </c>
      <c r="N136" s="12" t="n">
        <v>0</v>
      </c>
      <c r="O136" s="12" t="n">
        <v>0</v>
      </c>
      <c r="P136" s="12" t="n">
        <v>27472</v>
      </c>
    </row>
    <row r="137" customFormat="false" ht="15.75" hidden="false" customHeight="false" outlineLevel="0" collapsed="false">
      <c r="B137" s="9" t="s">
        <v>15</v>
      </c>
      <c r="C137" s="10" t="s">
        <v>16</v>
      </c>
      <c r="D137" s="9" t="s">
        <v>161</v>
      </c>
      <c r="E137" s="11" t="str">
        <f aca="false">IF(D137="","",IFERROR(INDEX('CLM &amp; IM Mapping'!$B$2:$B$270,MATCH(TRIM(D137),'CLM &amp; IM Mapping'!$A$2:$A$270,0)),"Not Mapped"))</f>
        <v>Raghavendra Vernekar</v>
      </c>
      <c r="F137" s="11" t="str">
        <f aca="false">IF(D137="","",IFERROR(INDEX('CLM &amp; IM Mapping'!$C$2:$C$270,MATCH(TRIM(D137),'CLM &amp; IM Mapping'!$A$2:$A$270,0)),"Not Mapped"))</f>
        <v>Prakash BS</v>
      </c>
      <c r="G137" s="10" t="s">
        <v>18</v>
      </c>
      <c r="H137" s="12" t="n">
        <v>-5128</v>
      </c>
      <c r="I137" s="12" t="n">
        <v>2653</v>
      </c>
      <c r="J137" s="12" t="n">
        <v>2490</v>
      </c>
      <c r="K137" s="12" t="n">
        <v>0</v>
      </c>
      <c r="L137" s="12" t="n">
        <v>391</v>
      </c>
      <c r="M137" s="12" t="n">
        <v>0</v>
      </c>
      <c r="N137" s="12" t="n">
        <v>305</v>
      </c>
      <c r="O137" s="12" t="n">
        <v>0</v>
      </c>
      <c r="P137" s="12" t="n">
        <v>711</v>
      </c>
    </row>
    <row r="138" customFormat="false" ht="15.75" hidden="false" customHeight="false" outlineLevel="0" collapsed="false">
      <c r="B138" s="9" t="s">
        <v>15</v>
      </c>
      <c r="C138" s="10" t="s">
        <v>16</v>
      </c>
      <c r="D138" s="9" t="s">
        <v>162</v>
      </c>
      <c r="E138" s="11" t="str">
        <f aca="false">IF(D138="","",IFERROR(INDEX('CLM &amp; IM Mapping'!$B$2:$B$270,MATCH(TRIM(D138),'CLM &amp; IM Mapping'!$A$2:$A$270,0)),"Not Mapped"))</f>
        <v>MH</v>
      </c>
      <c r="F138" s="11" t="str">
        <f aca="false">IF(D138="","",IFERROR(INDEX('CLM &amp; IM Mapping'!$C$2:$C$270,MATCH(TRIM(D138),'CLM &amp; IM Mapping'!$A$2:$A$270,0)),"Not Mapped"))</f>
        <v>MH</v>
      </c>
      <c r="G138" s="10" t="s">
        <v>18</v>
      </c>
      <c r="H138" s="12" t="n">
        <v>320</v>
      </c>
      <c r="I138" s="12" t="n">
        <v>0</v>
      </c>
      <c r="J138" s="12" t="n">
        <v>0</v>
      </c>
      <c r="K138" s="12" t="n">
        <v>370</v>
      </c>
      <c r="L138" s="12" t="n">
        <v>0</v>
      </c>
      <c r="M138" s="12" t="n">
        <v>0</v>
      </c>
      <c r="N138" s="12" t="n">
        <v>0</v>
      </c>
      <c r="O138" s="12" t="n">
        <v>0</v>
      </c>
      <c r="P138" s="12" t="n">
        <v>690</v>
      </c>
    </row>
    <row r="139" customFormat="false" ht="15.75" hidden="false" customHeight="false" outlineLevel="0" collapsed="false">
      <c r="B139" s="9" t="s">
        <v>15</v>
      </c>
      <c r="C139" s="10" t="s">
        <v>16</v>
      </c>
      <c r="D139" s="9" t="s">
        <v>163</v>
      </c>
      <c r="E139" s="11" t="str">
        <f aca="false">IF(D139="","",IFERROR(INDEX('CLM &amp; IM Mapping'!$B$2:$B$270,MATCH(TRIM(D139),'CLM &amp; IM Mapping'!$A$2:$A$270,0)),"Not Mapped"))</f>
        <v>Suhas N</v>
      </c>
      <c r="F139" s="11" t="str">
        <f aca="false">IF(D139="","",IFERROR(INDEX('CLM &amp; IM Mapping'!$C$2:$C$270,MATCH(TRIM(D139),'CLM &amp; IM Mapping'!$A$2:$A$270,0)),"Not Mapped"))</f>
        <v>Aravind S</v>
      </c>
      <c r="G139" s="10" t="s">
        <v>18</v>
      </c>
      <c r="H139" s="12" t="n">
        <v>7126</v>
      </c>
      <c r="I139" s="12" t="n">
        <v>13109</v>
      </c>
      <c r="J139" s="12" t="n">
        <v>0</v>
      </c>
      <c r="K139" s="12" t="n">
        <v>0</v>
      </c>
      <c r="L139" s="12" t="n">
        <v>1666</v>
      </c>
      <c r="M139" s="12" t="n">
        <v>0</v>
      </c>
      <c r="N139" s="12" t="n">
        <v>0</v>
      </c>
      <c r="O139" s="12" t="n">
        <v>0</v>
      </c>
      <c r="P139" s="12" t="n">
        <v>21901</v>
      </c>
    </row>
    <row r="140" customFormat="false" ht="15.75" hidden="false" customHeight="false" outlineLevel="0" collapsed="false">
      <c r="B140" s="9" t="s">
        <v>15</v>
      </c>
      <c r="C140" s="10" t="s">
        <v>16</v>
      </c>
      <c r="D140" s="9" t="s">
        <v>164</v>
      </c>
      <c r="E140" s="11" t="str">
        <f aca="false">IF(D140="","",IFERROR(INDEX('CLM &amp; IM Mapping'!$B$2:$B$270,MATCH(TRIM(D140),'CLM &amp; IM Mapping'!$A$2:$A$270,0)),"Not Mapped"))</f>
        <v>Saddam Hussain</v>
      </c>
      <c r="F140" s="11" t="str">
        <f aca="false">IF(D140="","",IFERROR(INDEX('CLM &amp; IM Mapping'!$C$2:$C$270,MATCH(TRIM(D140),'CLM &amp; IM Mapping'!$A$2:$A$270,0)),"Not Mapped"))</f>
        <v>Un Mapped</v>
      </c>
      <c r="G140" s="10" t="s">
        <v>18</v>
      </c>
      <c r="H140" s="12" t="n">
        <v>-7373</v>
      </c>
      <c r="I140" s="12" t="n">
        <v>190</v>
      </c>
      <c r="J140" s="12" t="n">
        <v>0</v>
      </c>
      <c r="K140" s="12" t="n">
        <v>0</v>
      </c>
      <c r="L140" s="12" t="n">
        <v>333</v>
      </c>
      <c r="M140" s="12" t="n">
        <v>0</v>
      </c>
      <c r="N140" s="12" t="n">
        <v>0</v>
      </c>
      <c r="O140" s="12" t="n">
        <v>0</v>
      </c>
      <c r="P140" s="12" t="n">
        <v>-6850</v>
      </c>
    </row>
    <row r="141" customFormat="false" ht="15.75" hidden="false" customHeight="false" outlineLevel="0" collapsed="false">
      <c r="B141" s="9" t="s">
        <v>15</v>
      </c>
      <c r="C141" s="10" t="s">
        <v>16</v>
      </c>
      <c r="D141" s="9" t="s">
        <v>165</v>
      </c>
      <c r="E141" s="11" t="str">
        <f aca="false">IF(D141="","",IFERROR(INDEX('CLM &amp; IM Mapping'!$B$2:$B$270,MATCH(TRIM(D141),'CLM &amp; IM Mapping'!$A$2:$A$270,0)),"Not Mapped"))</f>
        <v>Akshay P</v>
      </c>
      <c r="F141" s="11" t="str">
        <f aca="false">IF(D141="","",IFERROR(INDEX('CLM &amp; IM Mapping'!$C$2:$C$270,MATCH(TRIM(D141),'CLM &amp; IM Mapping'!$A$2:$A$270,0)),"Not Mapped"))</f>
        <v>Srittam Dhal</v>
      </c>
      <c r="G141" s="10" t="s">
        <v>18</v>
      </c>
      <c r="H141" s="12" t="n">
        <v>-8114</v>
      </c>
      <c r="I141" s="12" t="n">
        <v>3079</v>
      </c>
      <c r="J141" s="12" t="n">
        <v>0</v>
      </c>
      <c r="K141" s="12" t="n">
        <v>1573</v>
      </c>
      <c r="L141" s="12" t="n">
        <v>0</v>
      </c>
      <c r="M141" s="12" t="n">
        <v>0</v>
      </c>
      <c r="N141" s="12" t="n">
        <v>1533</v>
      </c>
      <c r="O141" s="12" t="n">
        <v>0</v>
      </c>
      <c r="P141" s="12" t="n">
        <v>-1929</v>
      </c>
    </row>
    <row r="142" customFormat="false" ht="15.75" hidden="false" customHeight="false" outlineLevel="0" collapsed="false">
      <c r="B142" s="9" t="s">
        <v>15</v>
      </c>
      <c r="C142" s="10" t="s">
        <v>16</v>
      </c>
      <c r="D142" s="9" t="s">
        <v>166</v>
      </c>
      <c r="E142" s="11" t="str">
        <f aca="false">IF(D142="","",IFERROR(INDEX('CLM &amp; IM Mapping'!$B$2:$B$270,MATCH(TRIM(D142),'CLM &amp; IM Mapping'!$A$2:$A$270,0)),"Not Mapped"))</f>
        <v>Sundaresh S</v>
      </c>
      <c r="F142" s="11" t="str">
        <f aca="false">IF(D142="","",IFERROR(INDEX('CLM &amp; IM Mapping'!$C$2:$C$270,MATCH(TRIM(D142),'CLM &amp; IM Mapping'!$A$2:$A$270,0)),"Not Mapped"))</f>
        <v>Un Mapped</v>
      </c>
      <c r="G142" s="10" t="s">
        <v>18</v>
      </c>
      <c r="H142" s="12" t="n">
        <v>-6726</v>
      </c>
      <c r="I142" s="12" t="n">
        <v>356</v>
      </c>
      <c r="J142" s="12" t="n">
        <v>0</v>
      </c>
      <c r="K142" s="12" t="n">
        <v>0</v>
      </c>
      <c r="L142" s="12" t="n">
        <v>64</v>
      </c>
      <c r="M142" s="12" t="n">
        <v>0</v>
      </c>
      <c r="N142" s="12" t="n">
        <v>0</v>
      </c>
      <c r="O142" s="12" t="n">
        <v>0</v>
      </c>
      <c r="P142" s="12" t="n">
        <v>-6307</v>
      </c>
    </row>
    <row r="143" customFormat="false" ht="15.75" hidden="false" customHeight="false" outlineLevel="0" collapsed="false">
      <c r="B143" s="9" t="s">
        <v>15</v>
      </c>
      <c r="C143" s="10" t="s">
        <v>16</v>
      </c>
      <c r="D143" s="9" t="s">
        <v>167</v>
      </c>
      <c r="E143" s="11" t="str">
        <f aca="false">IF(D143="","",IFERROR(INDEX('CLM &amp; IM Mapping'!$B$2:$B$270,MATCH(TRIM(D143),'CLM &amp; IM Mapping'!$A$2:$A$270,0)),"Not Mapped"))</f>
        <v>Rizwan Ahmed</v>
      </c>
      <c r="F143" s="11" t="str">
        <f aca="false">IF(D143="","",IFERROR(INDEX('CLM &amp; IM Mapping'!$C$2:$C$270,MATCH(TRIM(D143),'CLM &amp; IM Mapping'!$A$2:$A$270,0)),"Not Mapped"))</f>
        <v>Un Mapped</v>
      </c>
      <c r="G143" s="10" t="s">
        <v>18</v>
      </c>
      <c r="H143" s="12" t="n">
        <v>22334</v>
      </c>
      <c r="I143" s="12" t="n">
        <v>66087</v>
      </c>
      <c r="J143" s="12" t="n">
        <v>0</v>
      </c>
      <c r="K143" s="12" t="n">
        <v>731</v>
      </c>
      <c r="L143" s="12" t="n">
        <v>763</v>
      </c>
      <c r="M143" s="12" t="n">
        <v>0</v>
      </c>
      <c r="N143" s="12" t="n">
        <v>4541</v>
      </c>
      <c r="O143" s="12" t="n">
        <v>0</v>
      </c>
      <c r="P143" s="12" t="n">
        <v>94456</v>
      </c>
    </row>
    <row r="144" customFormat="false" ht="15.75" hidden="false" customHeight="false" outlineLevel="0" collapsed="false">
      <c r="B144" s="9" t="s">
        <v>15</v>
      </c>
      <c r="C144" s="10" t="s">
        <v>16</v>
      </c>
      <c r="D144" s="9" t="s">
        <v>168</v>
      </c>
      <c r="E144" s="11" t="str">
        <f aca="false">IF(D144="","",IFERROR(INDEX('CLM &amp; IM Mapping'!$B$2:$B$270,MATCH(TRIM(D144),'CLM &amp; IM Mapping'!$A$2:$A$270,0)),"Not Mapped"))</f>
        <v>Arun Raj</v>
      </c>
      <c r="F144" s="11" t="str">
        <f aca="false">IF(D144="","",IFERROR(INDEX('CLM &amp; IM Mapping'!$C$2:$C$270,MATCH(TRIM(D144),'CLM &amp; IM Mapping'!$A$2:$A$270,0)),"Not Mapped"))</f>
        <v>Simon Manoharan</v>
      </c>
      <c r="G144" s="10" t="s">
        <v>22</v>
      </c>
      <c r="H144" s="12" t="n">
        <v>-14443</v>
      </c>
      <c r="I144" s="12" t="n">
        <v>12883</v>
      </c>
      <c r="J144" s="12" t="n">
        <v>0</v>
      </c>
      <c r="K144" s="12" t="n">
        <v>0</v>
      </c>
      <c r="L144" s="12" t="n">
        <v>741</v>
      </c>
      <c r="M144" s="12" t="n">
        <v>0</v>
      </c>
      <c r="N144" s="12" t="n">
        <v>0</v>
      </c>
      <c r="O144" s="12" t="n">
        <v>0</v>
      </c>
      <c r="P144" s="12" t="n">
        <v>-819</v>
      </c>
    </row>
    <row r="145" customFormat="false" ht="15.75" hidden="false" customHeight="false" outlineLevel="0" collapsed="false">
      <c r="B145" s="9" t="s">
        <v>15</v>
      </c>
      <c r="C145" s="10" t="s">
        <v>16</v>
      </c>
      <c r="D145" s="9" t="s">
        <v>169</v>
      </c>
      <c r="E145" s="11" t="str">
        <f aca="false">IF(D145="","",IFERROR(INDEX('CLM &amp; IM Mapping'!$B$2:$B$270,MATCH(TRIM(D145),'CLM &amp; IM Mapping'!$A$2:$A$270,0)),"Not Mapped"))</f>
        <v>Narasimhamurthy R</v>
      </c>
      <c r="F145" s="11" t="str">
        <f aca="false">IF(D145="","",IFERROR(INDEX('CLM &amp; IM Mapping'!$C$2:$C$270,MATCH(TRIM(D145),'CLM &amp; IM Mapping'!$A$2:$A$270,0)),"Not Mapped"))</f>
        <v>Kishor K</v>
      </c>
      <c r="G145" s="10" t="s">
        <v>18</v>
      </c>
      <c r="H145" s="12" t="n">
        <v>-8935</v>
      </c>
      <c r="I145" s="12" t="n">
        <v>6625</v>
      </c>
      <c r="J145" s="12" t="n">
        <v>0</v>
      </c>
      <c r="K145" s="12" t="n">
        <v>7</v>
      </c>
      <c r="L145" s="12" t="n">
        <v>23</v>
      </c>
      <c r="M145" s="12" t="n">
        <v>0</v>
      </c>
      <c r="N145" s="12" t="n">
        <v>0</v>
      </c>
      <c r="O145" s="12" t="n">
        <v>0</v>
      </c>
      <c r="P145" s="12" t="n">
        <v>-2281</v>
      </c>
    </row>
    <row r="146" customFormat="false" ht="15.75" hidden="false" customHeight="false" outlineLevel="0" collapsed="false">
      <c r="B146" s="9" t="s">
        <v>15</v>
      </c>
      <c r="C146" s="10" t="s">
        <v>47</v>
      </c>
      <c r="D146" s="9" t="s">
        <v>170</v>
      </c>
      <c r="E146" s="11" t="str">
        <f aca="false">IF(D146="","",IFERROR(INDEX('CLM &amp; IM Mapping'!$B$2:$B$270,MATCH(TRIM(D146),'CLM &amp; IM Mapping'!$A$2:$A$270,0)),"Not Mapped"))</f>
        <v>John Britto</v>
      </c>
      <c r="F146" s="11" t="str">
        <f aca="false">IF(D146="","",IFERROR(INDEX('CLM &amp; IM Mapping'!$C$2:$C$270,MATCH(TRIM(D146),'CLM &amp; IM Mapping'!$A$2:$A$270,0)),"Not Mapped"))</f>
        <v>Aravind S</v>
      </c>
      <c r="G146" s="10" t="s">
        <v>18</v>
      </c>
      <c r="H146" s="12" t="n">
        <v>-2936</v>
      </c>
      <c r="I146" s="12" t="n">
        <v>0</v>
      </c>
      <c r="J146" s="12" t="n">
        <v>896</v>
      </c>
      <c r="K146" s="12" t="n">
        <v>0</v>
      </c>
      <c r="L146" s="12" t="n">
        <v>0</v>
      </c>
      <c r="M146" s="12" t="n">
        <v>0</v>
      </c>
      <c r="N146" s="12" t="n">
        <v>0</v>
      </c>
      <c r="O146" s="12" t="n">
        <v>0</v>
      </c>
      <c r="P146" s="12" t="n">
        <v>-2040</v>
      </c>
    </row>
    <row r="147" customFormat="false" ht="15.75" hidden="false" customHeight="false" outlineLevel="0" collapsed="false">
      <c r="B147" s="9" t="s">
        <v>15</v>
      </c>
      <c r="C147" s="10" t="s">
        <v>44</v>
      </c>
      <c r="D147" s="9" t="s">
        <v>171</v>
      </c>
      <c r="E147" s="11" t="str">
        <f aca="false">IF(D147="","",IFERROR(INDEX('CLM &amp; IM Mapping'!$B$2:$B$270,MATCH(TRIM(D147),'CLM &amp; IM Mapping'!$A$2:$A$270,0)),"Not Mapped"))</f>
        <v>Vishnu V</v>
      </c>
      <c r="F147" s="11" t="str">
        <f aca="false">IF(D147="","",IFERROR(INDEX('CLM &amp; IM Mapping'!$C$2:$C$270,MATCH(TRIM(D147),'CLM &amp; IM Mapping'!$A$2:$A$270,0)),"Not Mapped"))</f>
        <v>Arivind S</v>
      </c>
      <c r="G147" s="10" t="s">
        <v>18</v>
      </c>
      <c r="H147" s="12" t="n">
        <v>-14100</v>
      </c>
      <c r="I147" s="12" t="n">
        <v>14892</v>
      </c>
      <c r="J147" s="12" t="n">
        <v>1759</v>
      </c>
      <c r="K147" s="12" t="n">
        <v>263</v>
      </c>
      <c r="L147" s="12" t="n">
        <v>110</v>
      </c>
      <c r="M147" s="12" t="n">
        <v>0</v>
      </c>
      <c r="N147" s="12" t="n">
        <v>15548</v>
      </c>
      <c r="O147" s="12" t="n">
        <v>0</v>
      </c>
      <c r="P147" s="12" t="n">
        <v>18472</v>
      </c>
    </row>
    <row r="148" customFormat="false" ht="15.75" hidden="false" customHeight="false" outlineLevel="0" collapsed="false">
      <c r="B148" s="9" t="s">
        <v>15</v>
      </c>
      <c r="C148" s="10" t="s">
        <v>31</v>
      </c>
      <c r="D148" s="9" t="s">
        <v>172</v>
      </c>
      <c r="E148" s="11" t="str">
        <f aca="false">IF(D148="","",IFERROR(INDEX('CLM &amp; IM Mapping'!$B$2:$B$270,MATCH(TRIM(D148),'CLM &amp; IM Mapping'!$A$2:$A$270,0)),"Not Mapped"))</f>
        <v>Santhosha M</v>
      </c>
      <c r="F148" s="11" t="str">
        <f aca="false">IF(D148="","",IFERROR(INDEX('CLM &amp; IM Mapping'!$C$2:$C$270,MATCH(TRIM(D148),'CLM &amp; IM Mapping'!$A$2:$A$270,0)),"Not Mapped"))</f>
        <v>Aravind S</v>
      </c>
      <c r="G148" s="10" t="s">
        <v>18</v>
      </c>
      <c r="H148" s="12" t="n">
        <v>-292</v>
      </c>
      <c r="I148" s="12" t="n">
        <v>449</v>
      </c>
      <c r="J148" s="12" t="n">
        <v>0</v>
      </c>
      <c r="K148" s="12" t="n">
        <v>0</v>
      </c>
      <c r="L148" s="12" t="n">
        <v>8</v>
      </c>
      <c r="M148" s="12" t="n">
        <v>0</v>
      </c>
      <c r="N148" s="12" t="n">
        <v>0</v>
      </c>
      <c r="O148" s="12" t="n">
        <v>19</v>
      </c>
      <c r="P148" s="12" t="n">
        <v>184</v>
      </c>
    </row>
    <row r="149" customFormat="false" ht="15.75" hidden="false" customHeight="false" outlineLevel="0" collapsed="false">
      <c r="B149" s="9" t="s">
        <v>15</v>
      </c>
      <c r="C149" s="10" t="s">
        <v>16</v>
      </c>
      <c r="D149" s="9" t="s">
        <v>173</v>
      </c>
      <c r="E149" s="11" t="str">
        <f aca="false">IF(D149="","",IFERROR(INDEX('CLM &amp; IM Mapping'!$B$2:$B$270,MATCH(TRIM(D149),'CLM &amp; IM Mapping'!$A$2:$A$270,0)),"Not Mapped"))</f>
        <v>Saddam Hussain</v>
      </c>
      <c r="F149" s="11" t="str">
        <f aca="false">IF(D149="","",IFERROR(INDEX('CLM &amp; IM Mapping'!$C$2:$C$270,MATCH(TRIM(D149),'CLM &amp; IM Mapping'!$A$2:$A$270,0)),"Not Mapped"))</f>
        <v>Un Mapped</v>
      </c>
      <c r="G149" s="10" t="s">
        <v>18</v>
      </c>
      <c r="H149" s="12" t="n">
        <v>-4516</v>
      </c>
      <c r="I149" s="12" t="n">
        <v>31960</v>
      </c>
      <c r="J149" s="12" t="n">
        <v>0</v>
      </c>
      <c r="K149" s="12" t="n">
        <v>351</v>
      </c>
      <c r="L149" s="12" t="n">
        <v>161</v>
      </c>
      <c r="M149" s="12" t="n">
        <v>0</v>
      </c>
      <c r="N149" s="12" t="n">
        <v>181</v>
      </c>
      <c r="O149" s="12" t="n">
        <v>0</v>
      </c>
      <c r="P149" s="12" t="n">
        <v>28136</v>
      </c>
    </row>
    <row r="150" customFormat="false" ht="15.75" hidden="false" customHeight="false" outlineLevel="0" collapsed="false">
      <c r="B150" s="9" t="s">
        <v>15</v>
      </c>
      <c r="C150" s="10" t="s">
        <v>16</v>
      </c>
      <c r="D150" s="9" t="s">
        <v>174</v>
      </c>
      <c r="E150" s="11" t="str">
        <f aca="false">IF(D150="","",IFERROR(INDEX('CLM &amp; IM Mapping'!$B$2:$B$270,MATCH(TRIM(D150),'CLM &amp; IM Mapping'!$A$2:$A$270,0)),"Not Mapped"))</f>
        <v>Richard Harris</v>
      </c>
      <c r="F150" s="11" t="str">
        <f aca="false">IF(D150="","",IFERROR(INDEX('CLM &amp; IM Mapping'!$C$2:$C$270,MATCH(TRIM(D150),'CLM &amp; IM Mapping'!$A$2:$A$270,0)),"Not Mapped"))</f>
        <v>Kantha Kumar</v>
      </c>
      <c r="G150" s="10" t="s">
        <v>18</v>
      </c>
      <c r="H150" s="12" t="n">
        <v>41355</v>
      </c>
      <c r="I150" s="12" t="n">
        <v>12847</v>
      </c>
      <c r="J150" s="12" t="n">
        <v>226</v>
      </c>
      <c r="K150" s="12" t="n">
        <v>2374</v>
      </c>
      <c r="L150" s="12" t="n">
        <v>948</v>
      </c>
      <c r="M150" s="12" t="n">
        <v>0</v>
      </c>
      <c r="N150" s="12" t="n">
        <v>0</v>
      </c>
      <c r="O150" s="12" t="n">
        <v>0</v>
      </c>
      <c r="P150" s="12" t="n">
        <v>57750</v>
      </c>
    </row>
    <row r="151" customFormat="false" ht="15.75" hidden="false" customHeight="false" outlineLevel="0" collapsed="false">
      <c r="B151" s="9" t="s">
        <v>15</v>
      </c>
      <c r="C151" s="10" t="s">
        <v>16</v>
      </c>
      <c r="D151" s="9" t="s">
        <v>175</v>
      </c>
      <c r="E151" s="11" t="str">
        <f aca="false">IF(D151="","",IFERROR(INDEX('CLM &amp; IM Mapping'!$B$2:$B$270,MATCH(TRIM(D151),'CLM &amp; IM Mapping'!$A$2:$A$270,0)),"Not Mapped"))</f>
        <v>Manjunatha V</v>
      </c>
      <c r="F151" s="11" t="str">
        <f aca="false">IF(D151="","",IFERROR(INDEX('CLM &amp; IM Mapping'!$C$2:$C$270,MATCH(TRIM(D151),'CLM &amp; IM Mapping'!$A$2:$A$270,0)),"Not Mapped"))</f>
        <v>Un Mapped</v>
      </c>
      <c r="G151" s="10" t="s">
        <v>18</v>
      </c>
      <c r="H151" s="12" t="n">
        <v>-2863</v>
      </c>
      <c r="I151" s="12" t="n">
        <v>33910</v>
      </c>
      <c r="J151" s="12" t="n">
        <v>0</v>
      </c>
      <c r="K151" s="12" t="n">
        <v>1993</v>
      </c>
      <c r="L151" s="12" t="n">
        <v>363</v>
      </c>
      <c r="M151" s="12" t="n">
        <v>0</v>
      </c>
      <c r="N151" s="12" t="n">
        <v>0</v>
      </c>
      <c r="O151" s="12" t="n">
        <v>0</v>
      </c>
      <c r="P151" s="12" t="n">
        <v>33402</v>
      </c>
    </row>
    <row r="152" customFormat="false" ht="15.75" hidden="false" customHeight="false" outlineLevel="0" collapsed="false">
      <c r="B152" s="9" t="s">
        <v>15</v>
      </c>
      <c r="C152" s="10" t="s">
        <v>16</v>
      </c>
      <c r="D152" s="9" t="s">
        <v>176</v>
      </c>
      <c r="E152" s="11" t="str">
        <f aca="false">IF(D152="","",IFERROR(INDEX('CLM &amp; IM Mapping'!$B$2:$B$270,MATCH(TRIM(D152),'CLM &amp; IM Mapping'!$A$2:$A$270,0)),"Not Mapped"))</f>
        <v>Raghavendra Vernekar</v>
      </c>
      <c r="F152" s="11" t="str">
        <f aca="false">IF(D152="","",IFERROR(INDEX('CLM &amp; IM Mapping'!$C$2:$C$270,MATCH(TRIM(D152),'CLM &amp; IM Mapping'!$A$2:$A$270,0)),"Not Mapped"))</f>
        <v>Prakash BS</v>
      </c>
      <c r="G152" s="10" t="s">
        <v>18</v>
      </c>
      <c r="H152" s="12" t="n">
        <v>-2622</v>
      </c>
      <c r="I152" s="12" t="n">
        <v>11454</v>
      </c>
      <c r="J152" s="12" t="n">
        <v>0</v>
      </c>
      <c r="K152" s="12" t="n">
        <v>815</v>
      </c>
      <c r="L152" s="12" t="n">
        <v>408</v>
      </c>
      <c r="M152" s="12" t="n">
        <v>0</v>
      </c>
      <c r="N152" s="12" t="n">
        <v>0</v>
      </c>
      <c r="O152" s="12" t="n">
        <v>0</v>
      </c>
      <c r="P152" s="12" t="n">
        <v>10056</v>
      </c>
    </row>
    <row r="153" customFormat="false" ht="15.75" hidden="false" customHeight="false" outlineLevel="0" collapsed="false">
      <c r="B153" s="9" t="s">
        <v>15</v>
      </c>
      <c r="C153" s="10" t="s">
        <v>31</v>
      </c>
      <c r="D153" s="9" t="s">
        <v>177</v>
      </c>
      <c r="E153" s="11" t="str">
        <f aca="false">IF(D153="","",IFERROR(INDEX('CLM &amp; IM Mapping'!$B$2:$B$270,MATCH(TRIM(D153),'CLM &amp; IM Mapping'!$A$2:$A$270,0)),"Not Mapped"))</f>
        <v>Santhosha M</v>
      </c>
      <c r="F153" s="11" t="str">
        <f aca="false">IF(D153="","",IFERROR(INDEX('CLM &amp; IM Mapping'!$C$2:$C$270,MATCH(TRIM(D153),'CLM &amp; IM Mapping'!$A$2:$A$270,0)),"Not Mapped"))</f>
        <v>Aravind S</v>
      </c>
      <c r="G153" s="10" t="s">
        <v>18</v>
      </c>
      <c r="H153" s="12" t="n">
        <v>8097</v>
      </c>
      <c r="I153" s="12" t="n">
        <v>424</v>
      </c>
      <c r="J153" s="12" t="n">
        <v>0</v>
      </c>
      <c r="K153" s="12" t="n">
        <v>0</v>
      </c>
      <c r="L153" s="12" t="n">
        <v>132</v>
      </c>
      <c r="M153" s="12" t="n">
        <v>0</v>
      </c>
      <c r="N153" s="12" t="n">
        <v>0</v>
      </c>
      <c r="O153" s="12" t="n">
        <v>0</v>
      </c>
      <c r="P153" s="12" t="n">
        <v>8653</v>
      </c>
    </row>
    <row r="154" customFormat="false" ht="15.75" hidden="false" customHeight="false" outlineLevel="0" collapsed="false">
      <c r="B154" s="9" t="s">
        <v>15</v>
      </c>
      <c r="C154" s="10" t="s">
        <v>16</v>
      </c>
      <c r="D154" s="9" t="s">
        <v>178</v>
      </c>
      <c r="E154" s="11" t="str">
        <f aca="false">IF(D154="","",IFERROR(INDEX('CLM &amp; IM Mapping'!$B$2:$B$270,MATCH(TRIM(D154),'CLM &amp; IM Mapping'!$A$2:$A$270,0)),"Not Mapped"))</f>
        <v>Balaji G</v>
      </c>
      <c r="F154" s="11" t="str">
        <f aca="false">IF(D154="","",IFERROR(INDEX('CLM &amp; IM Mapping'!$C$2:$C$270,MATCH(TRIM(D154),'CLM &amp; IM Mapping'!$A$2:$A$270,0)),"Not Mapped"))</f>
        <v>Mohammed Akbar</v>
      </c>
      <c r="G154" s="10" t="s">
        <v>18</v>
      </c>
      <c r="H154" s="12" t="n">
        <v>29057</v>
      </c>
      <c r="I154" s="12" t="n">
        <v>9676</v>
      </c>
      <c r="J154" s="12" t="n">
        <v>340</v>
      </c>
      <c r="K154" s="12" t="n">
        <v>395</v>
      </c>
      <c r="L154" s="12" t="n">
        <v>773</v>
      </c>
      <c r="M154" s="12" t="n">
        <v>0</v>
      </c>
      <c r="N154" s="12" t="n">
        <v>0</v>
      </c>
      <c r="O154" s="12" t="n">
        <v>0</v>
      </c>
      <c r="P154" s="12" t="n">
        <v>40242</v>
      </c>
    </row>
    <row r="155" customFormat="false" ht="15.75" hidden="false" customHeight="false" outlineLevel="0" collapsed="false">
      <c r="B155" s="9" t="s">
        <v>15</v>
      </c>
      <c r="C155" s="10" t="s">
        <v>47</v>
      </c>
      <c r="D155" s="9" t="s">
        <v>179</v>
      </c>
      <c r="E155" s="11" t="str">
        <f aca="false">IF(D155="","",IFERROR(INDEX('CLM &amp; IM Mapping'!$B$2:$B$270,MATCH(TRIM(D155),'CLM &amp; IM Mapping'!$A$2:$A$270,0)),"Not Mapped"))</f>
        <v>John Britto</v>
      </c>
      <c r="F155" s="11" t="str">
        <f aca="false">IF(D155="","",IFERROR(INDEX('CLM &amp; IM Mapping'!$C$2:$C$270,MATCH(TRIM(D155),'CLM &amp; IM Mapping'!$A$2:$A$270,0)),"Not Mapped"))</f>
        <v>Aravind S</v>
      </c>
      <c r="G155" s="10" t="s">
        <v>18</v>
      </c>
      <c r="H155" s="12" t="n">
        <v>-6360</v>
      </c>
      <c r="I155" s="12" t="n">
        <v>0</v>
      </c>
      <c r="J155" s="12" t="n">
        <v>0</v>
      </c>
      <c r="K155" s="12" t="n">
        <v>0</v>
      </c>
      <c r="L155" s="12" t="n">
        <v>0</v>
      </c>
      <c r="M155" s="12" t="n">
        <v>0</v>
      </c>
      <c r="N155" s="12" t="n">
        <v>0</v>
      </c>
      <c r="O155" s="12" t="n">
        <v>0</v>
      </c>
      <c r="P155" s="12" t="n">
        <v>-6360</v>
      </c>
    </row>
    <row r="156" customFormat="false" ht="15.75" hidden="false" customHeight="false" outlineLevel="0" collapsed="false">
      <c r="B156" s="9" t="s">
        <v>15</v>
      </c>
      <c r="C156" s="10" t="s">
        <v>16</v>
      </c>
      <c r="D156" s="9" t="s">
        <v>180</v>
      </c>
      <c r="E156" s="11" t="str">
        <f aca="false">IF(D156="","",IFERROR(INDEX('CLM &amp; IM Mapping'!$B$2:$B$270,MATCH(TRIM(D156),'CLM &amp; IM Mapping'!$A$2:$A$270,0)),"Not Mapped"))</f>
        <v>Richard Harris</v>
      </c>
      <c r="F156" s="11" t="str">
        <f aca="false">IF(D156="","",IFERROR(INDEX('CLM &amp; IM Mapping'!$C$2:$C$270,MATCH(TRIM(D156),'CLM &amp; IM Mapping'!$A$2:$A$270,0)),"Not Mapped"))</f>
        <v>Kantha Kumar</v>
      </c>
      <c r="G156" s="10" t="s">
        <v>18</v>
      </c>
      <c r="H156" s="12" t="n">
        <v>-8078</v>
      </c>
      <c r="I156" s="12" t="n">
        <v>4151</v>
      </c>
      <c r="J156" s="12" t="n">
        <v>0</v>
      </c>
      <c r="K156" s="12" t="n">
        <v>253</v>
      </c>
      <c r="L156" s="12" t="n">
        <v>352</v>
      </c>
      <c r="M156" s="12" t="n">
        <v>0</v>
      </c>
      <c r="N156" s="12" t="n">
        <v>0</v>
      </c>
      <c r="O156" s="12" t="n">
        <v>0</v>
      </c>
      <c r="P156" s="12" t="n">
        <v>-3323</v>
      </c>
    </row>
    <row r="157" customFormat="false" ht="15.75" hidden="false" customHeight="false" outlineLevel="0" collapsed="false">
      <c r="B157" s="9" t="s">
        <v>15</v>
      </c>
      <c r="C157" s="10" t="s">
        <v>16</v>
      </c>
      <c r="D157" s="9" t="s">
        <v>181</v>
      </c>
      <c r="E157" s="11" t="str">
        <f aca="false">IF(D157="","",IFERROR(INDEX('CLM &amp; IM Mapping'!$B$2:$B$270,MATCH(TRIM(D157),'CLM &amp; IM Mapping'!$A$2:$A$270,0)),"Not Mapped"))</f>
        <v>Sundaresh S</v>
      </c>
      <c r="F157" s="11" t="str">
        <f aca="false">IF(D157="","",IFERROR(INDEX('CLM &amp; IM Mapping'!$C$2:$C$270,MATCH(TRIM(D157),'CLM &amp; IM Mapping'!$A$2:$A$270,0)),"Not Mapped"))</f>
        <v>Un Mapped</v>
      </c>
      <c r="G157" s="10" t="s">
        <v>18</v>
      </c>
      <c r="H157" s="12" t="n">
        <v>-46534</v>
      </c>
      <c r="I157" s="12" t="n">
        <v>14756</v>
      </c>
      <c r="J157" s="12" t="n">
        <v>0</v>
      </c>
      <c r="K157" s="12" t="n">
        <v>0</v>
      </c>
      <c r="L157" s="12" t="n">
        <v>516</v>
      </c>
      <c r="M157" s="12" t="n">
        <v>0</v>
      </c>
      <c r="N157" s="12" t="n">
        <v>0</v>
      </c>
      <c r="O157" s="12" t="n">
        <v>0</v>
      </c>
      <c r="P157" s="12" t="n">
        <v>-31262</v>
      </c>
    </row>
    <row r="158" customFormat="false" ht="15.75" hidden="false" customHeight="false" outlineLevel="0" collapsed="false">
      <c r="B158" s="9" t="s">
        <v>15</v>
      </c>
      <c r="C158" s="10" t="s">
        <v>16</v>
      </c>
      <c r="D158" s="9" t="s">
        <v>182</v>
      </c>
      <c r="E158" s="11" t="str">
        <f aca="false">IF(D158="","",IFERROR(INDEX('CLM &amp; IM Mapping'!$B$2:$B$270,MATCH(TRIM(D158),'CLM &amp; IM Mapping'!$A$2:$A$270,0)),"Not Mapped"))</f>
        <v>Balaji G</v>
      </c>
      <c r="F158" s="11" t="str">
        <f aca="false">IF(D158="","",IFERROR(INDEX('CLM &amp; IM Mapping'!$C$2:$C$270,MATCH(TRIM(D158),'CLM &amp; IM Mapping'!$A$2:$A$270,0)),"Not Mapped"))</f>
        <v>Mohammed Akbar</v>
      </c>
      <c r="G158" s="10" t="s">
        <v>18</v>
      </c>
      <c r="H158" s="12" t="n">
        <v>-1490</v>
      </c>
      <c r="I158" s="12" t="n">
        <v>0</v>
      </c>
      <c r="J158" s="12" t="n">
        <v>0</v>
      </c>
      <c r="K158" s="12" t="n">
        <v>0</v>
      </c>
      <c r="L158" s="12" t="n">
        <v>23</v>
      </c>
      <c r="M158" s="12" t="n">
        <v>0</v>
      </c>
      <c r="N158" s="12" t="n">
        <v>0</v>
      </c>
      <c r="O158" s="12" t="n">
        <v>0</v>
      </c>
      <c r="P158" s="12" t="n">
        <v>-1467</v>
      </c>
    </row>
    <row r="159" customFormat="false" ht="15.75" hidden="false" customHeight="false" outlineLevel="0" collapsed="false">
      <c r="B159" s="9" t="s">
        <v>15</v>
      </c>
      <c r="C159" s="10" t="s">
        <v>16</v>
      </c>
      <c r="D159" s="9" t="s">
        <v>183</v>
      </c>
      <c r="E159" s="11" t="str">
        <f aca="false">IF(D159="","",IFERROR(INDEX('CLM &amp; IM Mapping'!$B$2:$B$270,MATCH(TRIM(D159),'CLM &amp; IM Mapping'!$A$2:$A$270,0)),"Not Mapped"))</f>
        <v>Ashwath S</v>
      </c>
      <c r="F159" s="11" t="str">
        <f aca="false">IF(D159="","",IFERROR(INDEX('CLM &amp; IM Mapping'!$C$2:$C$270,MATCH(TRIM(D159),'CLM &amp; IM Mapping'!$A$2:$A$270,0)),"Not Mapped"))</f>
        <v>Kantha Kumar</v>
      </c>
      <c r="G159" s="10" t="s">
        <v>18</v>
      </c>
      <c r="H159" s="12" t="n">
        <v>33628</v>
      </c>
      <c r="I159" s="12" t="n">
        <v>9141</v>
      </c>
      <c r="J159" s="12" t="n">
        <v>0</v>
      </c>
      <c r="K159" s="12" t="n">
        <v>0</v>
      </c>
      <c r="L159" s="12" t="n">
        <v>243</v>
      </c>
      <c r="M159" s="12" t="n">
        <v>0</v>
      </c>
      <c r="N159" s="12" t="n">
        <v>0</v>
      </c>
      <c r="O159" s="12" t="n">
        <v>0</v>
      </c>
      <c r="P159" s="12" t="n">
        <v>43012</v>
      </c>
    </row>
    <row r="160" customFormat="false" ht="15.75" hidden="false" customHeight="false" outlineLevel="0" collapsed="false">
      <c r="B160" s="9" t="s">
        <v>15</v>
      </c>
      <c r="C160" s="10" t="s">
        <v>16</v>
      </c>
      <c r="D160" s="9" t="s">
        <v>184</v>
      </c>
      <c r="E160" s="11" t="str">
        <f aca="false">IF(D160="","",IFERROR(INDEX('CLM &amp; IM Mapping'!$B$2:$B$270,MATCH(TRIM(D160),'CLM &amp; IM Mapping'!$A$2:$A$270,0)),"Not Mapped"))</f>
        <v>Arun Raj</v>
      </c>
      <c r="F160" s="11" t="str">
        <f aca="false">IF(D160="","",IFERROR(INDEX('CLM &amp; IM Mapping'!$C$2:$C$270,MATCH(TRIM(D160),'CLM &amp; IM Mapping'!$A$2:$A$270,0)),"Not Mapped"))</f>
        <v>Simon Manoharan</v>
      </c>
      <c r="G160" s="10" t="s">
        <v>22</v>
      </c>
      <c r="H160" s="12" t="n">
        <v>69321</v>
      </c>
      <c r="I160" s="12" t="n">
        <v>75628</v>
      </c>
      <c r="J160" s="12" t="n">
        <v>0</v>
      </c>
      <c r="K160" s="12" t="n">
        <v>246</v>
      </c>
      <c r="L160" s="12" t="n">
        <v>1427</v>
      </c>
      <c r="M160" s="12" t="n">
        <v>0</v>
      </c>
      <c r="N160" s="12" t="n">
        <v>0</v>
      </c>
      <c r="O160" s="12" t="n">
        <v>9015</v>
      </c>
      <c r="P160" s="12" t="n">
        <v>155636</v>
      </c>
    </row>
    <row r="161" customFormat="false" ht="15.75" hidden="false" customHeight="false" outlineLevel="0" collapsed="false">
      <c r="B161" s="9" t="s">
        <v>15</v>
      </c>
      <c r="C161" s="10" t="s">
        <v>44</v>
      </c>
      <c r="D161" s="9" t="s">
        <v>185</v>
      </c>
      <c r="E161" s="11" t="str">
        <f aca="false">IF(D161="","",IFERROR(INDEX('CLM &amp; IM Mapping'!$B$2:$B$270,MATCH(TRIM(D161),'CLM &amp; IM Mapping'!$A$2:$A$270,0)),"Not Mapped"))</f>
        <v>Vishnu V</v>
      </c>
      <c r="F161" s="11" t="str">
        <f aca="false">IF(D161="","",IFERROR(INDEX('CLM &amp; IM Mapping'!$C$2:$C$270,MATCH(TRIM(D161),'CLM &amp; IM Mapping'!$A$2:$A$270,0)),"Not Mapped"))</f>
        <v>Arivind S</v>
      </c>
      <c r="G161" s="10" t="s">
        <v>18</v>
      </c>
      <c r="H161" s="12" t="n">
        <v>-17880</v>
      </c>
      <c r="I161" s="12" t="n">
        <v>6443</v>
      </c>
      <c r="J161" s="12" t="n">
        <v>624</v>
      </c>
      <c r="K161" s="12" t="n">
        <v>74</v>
      </c>
      <c r="L161" s="12" t="n">
        <v>509</v>
      </c>
      <c r="M161" s="12" t="n">
        <v>0</v>
      </c>
      <c r="N161" s="12" t="n">
        <v>0</v>
      </c>
      <c r="O161" s="12" t="n">
        <v>0</v>
      </c>
      <c r="P161" s="12" t="n">
        <v>-10230</v>
      </c>
    </row>
    <row r="162" customFormat="false" ht="15.75" hidden="false" customHeight="false" outlineLevel="0" collapsed="false">
      <c r="B162" s="9" t="s">
        <v>15</v>
      </c>
      <c r="C162" s="10" t="s">
        <v>16</v>
      </c>
      <c r="D162" s="9" t="s">
        <v>186</v>
      </c>
      <c r="E162" s="11" t="str">
        <f aca="false">IF(D162="","",IFERROR(INDEX('CLM &amp; IM Mapping'!$B$2:$B$270,MATCH(TRIM(D162),'CLM &amp; IM Mapping'!$A$2:$A$270,0)),"Not Mapped"))</f>
        <v>Balaji G</v>
      </c>
      <c r="F162" s="11" t="str">
        <f aca="false">IF(D162="","",IFERROR(INDEX('CLM &amp; IM Mapping'!$C$2:$C$270,MATCH(TRIM(D162),'CLM &amp; IM Mapping'!$A$2:$A$270,0)),"Not Mapped"))</f>
        <v>Mohammed Akbar</v>
      </c>
      <c r="G162" s="10" t="s">
        <v>18</v>
      </c>
      <c r="H162" s="12" t="n">
        <v>-38209</v>
      </c>
      <c r="I162" s="12" t="n">
        <v>1162</v>
      </c>
      <c r="J162" s="12" t="n">
        <v>0</v>
      </c>
      <c r="K162" s="12" t="n">
        <v>970</v>
      </c>
      <c r="L162" s="12" t="n">
        <v>1331</v>
      </c>
      <c r="M162" s="12" t="n">
        <v>0</v>
      </c>
      <c r="N162" s="12" t="n">
        <v>0</v>
      </c>
      <c r="O162" s="12" t="n">
        <v>0</v>
      </c>
      <c r="P162" s="12" t="n">
        <v>-34746</v>
      </c>
    </row>
    <row r="163" customFormat="false" ht="15.75" hidden="false" customHeight="false" outlineLevel="0" collapsed="false">
      <c r="B163" s="9" t="s">
        <v>15</v>
      </c>
      <c r="C163" s="10" t="s">
        <v>16</v>
      </c>
      <c r="D163" s="9" t="s">
        <v>187</v>
      </c>
      <c r="E163" s="11" t="str">
        <f aca="false">IF(D163="","",IFERROR(INDEX('CLM &amp; IM Mapping'!$B$2:$B$270,MATCH(TRIM(D163),'CLM &amp; IM Mapping'!$A$2:$A$270,0)),"Not Mapped"))</f>
        <v>Akshay P</v>
      </c>
      <c r="F163" s="11" t="str">
        <f aca="false">IF(D163="","",IFERROR(INDEX('CLM &amp; IM Mapping'!$C$2:$C$270,MATCH(TRIM(D163),'CLM &amp; IM Mapping'!$A$2:$A$270,0)),"Not Mapped"))</f>
        <v>Srittam Dhal</v>
      </c>
      <c r="G163" s="10" t="s">
        <v>18</v>
      </c>
      <c r="H163" s="12" t="n">
        <v>7636</v>
      </c>
      <c r="I163" s="12" t="n">
        <v>21392</v>
      </c>
      <c r="J163" s="12" t="n">
        <v>0</v>
      </c>
      <c r="K163" s="12" t="n">
        <v>301</v>
      </c>
      <c r="L163" s="12" t="n">
        <v>3982</v>
      </c>
      <c r="M163" s="12" t="n">
        <v>0</v>
      </c>
      <c r="N163" s="12" t="n">
        <v>0</v>
      </c>
      <c r="O163" s="12" t="n">
        <v>0</v>
      </c>
      <c r="P163" s="12" t="n">
        <v>33311</v>
      </c>
    </row>
    <row r="164" customFormat="false" ht="15.75" hidden="false" customHeight="false" outlineLevel="0" collapsed="false">
      <c r="B164" s="9" t="s">
        <v>15</v>
      </c>
      <c r="C164" s="10" t="s">
        <v>16</v>
      </c>
      <c r="D164" s="9" t="s">
        <v>188</v>
      </c>
      <c r="E164" s="11" t="str">
        <f aca="false">IF(D164="","",IFERROR(INDEX('CLM &amp; IM Mapping'!$B$2:$B$270,MATCH(TRIM(D164),'CLM &amp; IM Mapping'!$A$2:$A$270,0)),"Not Mapped"))</f>
        <v>Manjunatha V</v>
      </c>
      <c r="F164" s="11" t="str">
        <f aca="false">IF(D164="","",IFERROR(INDEX('CLM &amp; IM Mapping'!$C$2:$C$270,MATCH(TRIM(D164),'CLM &amp; IM Mapping'!$A$2:$A$270,0)),"Not Mapped"))</f>
        <v>Un Mapped</v>
      </c>
      <c r="G164" s="10" t="s">
        <v>18</v>
      </c>
      <c r="H164" s="12" t="n">
        <v>-1563</v>
      </c>
      <c r="I164" s="12" t="n">
        <v>6067</v>
      </c>
      <c r="J164" s="12" t="n">
        <v>414</v>
      </c>
      <c r="K164" s="12" t="n">
        <v>227</v>
      </c>
      <c r="L164" s="12" t="n">
        <v>169</v>
      </c>
      <c r="M164" s="12" t="n">
        <v>0</v>
      </c>
      <c r="N164" s="12" t="n">
        <v>0</v>
      </c>
      <c r="O164" s="12" t="n">
        <v>0</v>
      </c>
      <c r="P164" s="12" t="n">
        <v>5314</v>
      </c>
    </row>
    <row r="165" customFormat="false" ht="15.75" hidden="false" customHeight="false" outlineLevel="0" collapsed="false">
      <c r="B165" s="9" t="s">
        <v>15</v>
      </c>
      <c r="C165" s="10" t="s">
        <v>16</v>
      </c>
      <c r="D165" s="9" t="s">
        <v>189</v>
      </c>
      <c r="E165" s="11" t="str">
        <f aca="false">IF(D165="","",IFERROR(INDEX('CLM &amp; IM Mapping'!$B$2:$B$270,MATCH(TRIM(D165),'CLM &amp; IM Mapping'!$A$2:$A$270,0)),"Not Mapped"))</f>
        <v>Ashwath S</v>
      </c>
      <c r="F165" s="11" t="str">
        <f aca="false">IF(D165="","",IFERROR(INDEX('CLM &amp; IM Mapping'!$C$2:$C$270,MATCH(TRIM(D165),'CLM &amp; IM Mapping'!$A$2:$A$270,0)),"Not Mapped"))</f>
        <v>Kantha Kumar</v>
      </c>
      <c r="G165" s="10" t="s">
        <v>18</v>
      </c>
      <c r="H165" s="12" t="n">
        <v>1551</v>
      </c>
      <c r="I165" s="12" t="n">
        <v>792</v>
      </c>
      <c r="J165" s="12" t="n">
        <v>0</v>
      </c>
      <c r="K165" s="12" t="n">
        <v>0</v>
      </c>
      <c r="L165" s="12" t="n">
        <v>426</v>
      </c>
      <c r="M165" s="12" t="n">
        <v>0</v>
      </c>
      <c r="N165" s="12" t="n">
        <v>0</v>
      </c>
      <c r="O165" s="12" t="n">
        <v>0</v>
      </c>
      <c r="P165" s="12" t="n">
        <v>2770</v>
      </c>
    </row>
    <row r="166" customFormat="false" ht="15.75" hidden="false" customHeight="false" outlineLevel="0" collapsed="false">
      <c r="B166" s="9" t="s">
        <v>15</v>
      </c>
      <c r="C166" s="10" t="s">
        <v>16</v>
      </c>
      <c r="D166" s="9" t="s">
        <v>190</v>
      </c>
      <c r="E166" s="11" t="str">
        <f aca="false">IF(D166="","",IFERROR(INDEX('CLM &amp; IM Mapping'!$B$2:$B$270,MATCH(TRIM(D166),'CLM &amp; IM Mapping'!$A$2:$A$270,0)),"Not Mapped"))</f>
        <v>Girish N</v>
      </c>
      <c r="F166" s="11" t="str">
        <f aca="false">IF(D166="","",IFERROR(INDEX('CLM &amp; IM Mapping'!$C$2:$C$270,MATCH(TRIM(D166),'CLM &amp; IM Mapping'!$A$2:$A$270,0)),"Not Mapped"))</f>
        <v>Un Mapped</v>
      </c>
      <c r="G166" s="10" t="s">
        <v>18</v>
      </c>
      <c r="H166" s="12" t="n">
        <v>34189</v>
      </c>
      <c r="I166" s="12" t="n">
        <v>13467</v>
      </c>
      <c r="J166" s="12" t="n">
        <v>1279</v>
      </c>
      <c r="K166" s="12" t="n">
        <v>0</v>
      </c>
      <c r="L166" s="12" t="n">
        <v>541</v>
      </c>
      <c r="M166" s="12" t="n">
        <v>0</v>
      </c>
      <c r="N166" s="12" t="n">
        <v>21</v>
      </c>
      <c r="O166" s="12" t="n">
        <v>0</v>
      </c>
      <c r="P166" s="12" t="n">
        <v>49497</v>
      </c>
    </row>
    <row r="167" customFormat="false" ht="15.75" hidden="false" customHeight="false" outlineLevel="0" collapsed="false">
      <c r="B167" s="9" t="s">
        <v>15</v>
      </c>
      <c r="C167" s="10" t="s">
        <v>16</v>
      </c>
      <c r="D167" s="9" t="s">
        <v>191</v>
      </c>
      <c r="E167" s="11" t="str">
        <f aca="false">IF(D167="","",IFERROR(INDEX('CLM &amp; IM Mapping'!$B$2:$B$270,MATCH(TRIM(D167),'CLM &amp; IM Mapping'!$A$2:$A$270,0)),"Not Mapped"))</f>
        <v>Raghavendra Vernekar</v>
      </c>
      <c r="F167" s="11" t="str">
        <f aca="false">IF(D167="","",IFERROR(INDEX('CLM &amp; IM Mapping'!$C$2:$C$270,MATCH(TRIM(D167),'CLM &amp; IM Mapping'!$A$2:$A$270,0)),"Not Mapped"))</f>
        <v>Prakash BS</v>
      </c>
      <c r="G167" s="10" t="s">
        <v>18</v>
      </c>
      <c r="H167" s="12" t="n">
        <v>27603</v>
      </c>
      <c r="I167" s="12" t="n">
        <v>14083</v>
      </c>
      <c r="J167" s="12" t="n">
        <v>0</v>
      </c>
      <c r="K167" s="12" t="n">
        <v>3884</v>
      </c>
      <c r="L167" s="12" t="n">
        <v>804</v>
      </c>
      <c r="M167" s="12" t="n">
        <v>0</v>
      </c>
      <c r="N167" s="12" t="n">
        <v>0</v>
      </c>
      <c r="O167" s="12" t="n">
        <v>0</v>
      </c>
      <c r="P167" s="12" t="n">
        <v>46374</v>
      </c>
    </row>
    <row r="168" customFormat="false" ht="15.75" hidden="false" customHeight="false" outlineLevel="0" collapsed="false">
      <c r="B168" s="9" t="s">
        <v>15</v>
      </c>
      <c r="C168" s="10" t="s">
        <v>16</v>
      </c>
      <c r="D168" s="9" t="s">
        <v>192</v>
      </c>
      <c r="E168" s="11" t="str">
        <f aca="false">IF(D168="","",IFERROR(INDEX('CLM &amp; IM Mapping'!$B$2:$B$270,MATCH(TRIM(D168),'CLM &amp; IM Mapping'!$A$2:$A$270,0)),"Not Mapped"))</f>
        <v>Raghavendra Vernekar</v>
      </c>
      <c r="F168" s="11" t="str">
        <f aca="false">IF(D168="","",IFERROR(INDEX('CLM &amp; IM Mapping'!$C$2:$C$270,MATCH(TRIM(D168),'CLM &amp; IM Mapping'!$A$2:$A$270,0)),"Not Mapped"))</f>
        <v>Prakash BS</v>
      </c>
      <c r="G168" s="10" t="s">
        <v>18</v>
      </c>
      <c r="H168" s="12" t="n">
        <v>-13071</v>
      </c>
      <c r="I168" s="12" t="n">
        <v>1396</v>
      </c>
      <c r="J168" s="12" t="n">
        <v>0</v>
      </c>
      <c r="K168" s="12" t="n">
        <v>232</v>
      </c>
      <c r="L168" s="12" t="n">
        <v>107</v>
      </c>
      <c r="M168" s="12" t="n">
        <v>0</v>
      </c>
      <c r="N168" s="12" t="n">
        <v>54</v>
      </c>
      <c r="O168" s="12" t="n">
        <v>0</v>
      </c>
      <c r="P168" s="12" t="n">
        <v>-11283</v>
      </c>
    </row>
    <row r="169" customFormat="false" ht="15.75" hidden="false" customHeight="false" outlineLevel="0" collapsed="false">
      <c r="B169" s="9" t="s">
        <v>15</v>
      </c>
      <c r="C169" s="10" t="s">
        <v>16</v>
      </c>
      <c r="D169" s="9" t="s">
        <v>193</v>
      </c>
      <c r="E169" s="11" t="str">
        <f aca="false">IF(D169="","",IFERROR(INDEX('CLM &amp; IM Mapping'!$B$2:$B$270,MATCH(TRIM(D169),'CLM &amp; IM Mapping'!$A$2:$A$270,0)),"Not Mapped"))</f>
        <v>Basil Scariya</v>
      </c>
      <c r="F169" s="11" t="str">
        <f aca="false">IF(D169="","",IFERROR(INDEX('CLM &amp; IM Mapping'!$C$2:$C$270,MATCH(TRIM(D169),'CLM &amp; IM Mapping'!$A$2:$A$270,0)),"Not Mapped"))</f>
        <v>Prakash BS</v>
      </c>
      <c r="G169" s="10" t="s">
        <v>18</v>
      </c>
      <c r="H169" s="12" t="n">
        <v>-23346</v>
      </c>
      <c r="I169" s="12" t="n">
        <v>6265</v>
      </c>
      <c r="J169" s="12" t="n">
        <v>0</v>
      </c>
      <c r="K169" s="12" t="n">
        <v>143</v>
      </c>
      <c r="L169" s="12" t="n">
        <v>692</v>
      </c>
      <c r="M169" s="12" t="n">
        <v>0</v>
      </c>
      <c r="N169" s="12" t="n">
        <v>0</v>
      </c>
      <c r="O169" s="12" t="n">
        <v>0</v>
      </c>
      <c r="P169" s="12" t="n">
        <v>-16246</v>
      </c>
    </row>
    <row r="170" customFormat="false" ht="15.75" hidden="false" customHeight="false" outlineLevel="0" collapsed="false">
      <c r="B170" s="9" t="s">
        <v>15</v>
      </c>
      <c r="C170" s="10" t="s">
        <v>31</v>
      </c>
      <c r="D170" s="9" t="s">
        <v>194</v>
      </c>
      <c r="E170" s="11" t="str">
        <f aca="false">IF(D170="","",IFERROR(INDEX('CLM &amp; IM Mapping'!$B$2:$B$270,MATCH(TRIM(D170),'CLM &amp; IM Mapping'!$A$2:$A$270,0)),"Not Mapped"))</f>
        <v>Santhosha M</v>
      </c>
      <c r="F170" s="11" t="str">
        <f aca="false">IF(D170="","",IFERROR(INDEX('CLM &amp; IM Mapping'!$C$2:$C$270,MATCH(TRIM(D170),'CLM &amp; IM Mapping'!$A$2:$A$270,0)),"Not Mapped"))</f>
        <v>Aravind S</v>
      </c>
      <c r="G170" s="10" t="s">
        <v>18</v>
      </c>
      <c r="H170" s="12" t="n">
        <v>-12987</v>
      </c>
      <c r="I170" s="12" t="n">
        <v>551</v>
      </c>
      <c r="J170" s="12" t="n">
        <v>0</v>
      </c>
      <c r="K170" s="12" t="n">
        <v>0</v>
      </c>
      <c r="L170" s="12" t="n">
        <v>573</v>
      </c>
      <c r="M170" s="12" t="n">
        <v>0</v>
      </c>
      <c r="N170" s="12" t="n">
        <v>0</v>
      </c>
      <c r="O170" s="12" t="n">
        <v>19</v>
      </c>
      <c r="P170" s="12" t="n">
        <v>-11844</v>
      </c>
    </row>
    <row r="171" customFormat="false" ht="15.75" hidden="false" customHeight="false" outlineLevel="0" collapsed="false">
      <c r="B171" s="9" t="s">
        <v>15</v>
      </c>
      <c r="C171" s="10" t="s">
        <v>16</v>
      </c>
      <c r="D171" s="9" t="s">
        <v>195</v>
      </c>
      <c r="E171" s="11" t="str">
        <f aca="false">IF(D171="","",IFERROR(INDEX('CLM &amp; IM Mapping'!$B$2:$B$270,MATCH(TRIM(D171),'CLM &amp; IM Mapping'!$A$2:$A$270,0)),"Not Mapped"))</f>
        <v>Ravishankar gowda</v>
      </c>
      <c r="F171" s="11" t="str">
        <f aca="false">IF(D171="","",IFERROR(INDEX('CLM &amp; IM Mapping'!$C$2:$C$270,MATCH(TRIM(D171),'CLM &amp; IM Mapping'!$A$2:$A$270,0)),"Not Mapped"))</f>
        <v>Kishor K</v>
      </c>
      <c r="G171" s="10" t="s">
        <v>18</v>
      </c>
      <c r="H171" s="12" t="n">
        <v>-19869</v>
      </c>
      <c r="I171" s="12" t="n">
        <v>3031</v>
      </c>
      <c r="J171" s="12" t="n">
        <v>0</v>
      </c>
      <c r="K171" s="12" t="n">
        <v>18</v>
      </c>
      <c r="L171" s="12" t="n">
        <v>129</v>
      </c>
      <c r="M171" s="12" t="n">
        <v>0</v>
      </c>
      <c r="N171" s="12" t="n">
        <v>0</v>
      </c>
      <c r="O171" s="12" t="n">
        <v>0</v>
      </c>
      <c r="P171" s="12" t="n">
        <v>-16691</v>
      </c>
    </row>
    <row r="172" customFormat="false" ht="15.75" hidden="false" customHeight="false" outlineLevel="0" collapsed="false">
      <c r="B172" s="9" t="s">
        <v>15</v>
      </c>
      <c r="C172" s="10" t="s">
        <v>16</v>
      </c>
      <c r="D172" s="9" t="s">
        <v>196</v>
      </c>
      <c r="E172" s="11" t="str">
        <f aca="false">IF(D172="","",IFERROR(INDEX('CLM &amp; IM Mapping'!$B$2:$B$270,MATCH(TRIM(D172),'CLM &amp; IM Mapping'!$A$2:$A$270,0)),"Not Mapped"))</f>
        <v>Arun Raj</v>
      </c>
      <c r="F172" s="11" t="str">
        <f aca="false">IF(D172="","",IFERROR(INDEX('CLM &amp; IM Mapping'!$C$2:$C$270,MATCH(TRIM(D172),'CLM &amp; IM Mapping'!$A$2:$A$270,0)),"Not Mapped"))</f>
        <v>Simon Manoharan</v>
      </c>
      <c r="G172" s="10" t="s">
        <v>22</v>
      </c>
      <c r="H172" s="12" t="n">
        <v>-253068</v>
      </c>
      <c r="I172" s="12" t="n">
        <v>0</v>
      </c>
      <c r="J172" s="12" t="n">
        <v>0</v>
      </c>
      <c r="K172" s="12" t="n">
        <v>161584</v>
      </c>
      <c r="L172" s="12" t="n">
        <v>0</v>
      </c>
      <c r="M172" s="12" t="n">
        <v>0</v>
      </c>
      <c r="N172" s="12" t="n">
        <v>0</v>
      </c>
      <c r="O172" s="12" t="n">
        <v>0</v>
      </c>
      <c r="P172" s="12" t="n">
        <v>-91484</v>
      </c>
    </row>
    <row r="173" customFormat="false" ht="15.75" hidden="false" customHeight="false" outlineLevel="0" collapsed="false">
      <c r="B173" s="9" t="s">
        <v>15</v>
      </c>
      <c r="C173" s="10" t="s">
        <v>16</v>
      </c>
      <c r="D173" s="9" t="s">
        <v>197</v>
      </c>
      <c r="E173" s="11" t="str">
        <f aca="false">IF(D173="","",IFERROR(INDEX('CLM &amp; IM Mapping'!$B$2:$B$270,MATCH(TRIM(D173),'CLM &amp; IM Mapping'!$A$2:$A$270,0)),"Not Mapped"))</f>
        <v>Balaji G</v>
      </c>
      <c r="F173" s="11" t="str">
        <f aca="false">IF(D173="","",IFERROR(INDEX('CLM &amp; IM Mapping'!$C$2:$C$270,MATCH(TRIM(D173),'CLM &amp; IM Mapping'!$A$2:$A$270,0)),"Not Mapped"))</f>
        <v>Mohammed Akbar</v>
      </c>
      <c r="G173" s="10" t="s">
        <v>18</v>
      </c>
      <c r="H173" s="12" t="n">
        <v>-15225</v>
      </c>
      <c r="I173" s="12" t="n">
        <v>12342</v>
      </c>
      <c r="J173" s="12" t="n">
        <v>428</v>
      </c>
      <c r="K173" s="12" t="n">
        <v>902</v>
      </c>
      <c r="L173" s="12" t="n">
        <v>744</v>
      </c>
      <c r="M173" s="12" t="n">
        <v>0</v>
      </c>
      <c r="N173" s="12" t="n">
        <v>0</v>
      </c>
      <c r="O173" s="12" t="n">
        <v>0</v>
      </c>
      <c r="P173" s="12" t="n">
        <v>-809</v>
      </c>
    </row>
    <row r="174" customFormat="false" ht="15.75" hidden="false" customHeight="false" outlineLevel="0" collapsed="false">
      <c r="B174" s="9" t="s">
        <v>15</v>
      </c>
      <c r="C174" s="10" t="s">
        <v>16</v>
      </c>
      <c r="D174" s="9" t="s">
        <v>198</v>
      </c>
      <c r="E174" s="11" t="str">
        <f aca="false">IF(D174="","",IFERROR(INDEX('CLM &amp; IM Mapping'!$B$2:$B$270,MATCH(TRIM(D174),'CLM &amp; IM Mapping'!$A$2:$A$270,0)),"Not Mapped"))</f>
        <v>Girish N</v>
      </c>
      <c r="F174" s="11" t="str">
        <f aca="false">IF(D174="","",IFERROR(INDEX('CLM &amp; IM Mapping'!$C$2:$C$270,MATCH(TRIM(D174),'CLM &amp; IM Mapping'!$A$2:$A$270,0)),"Not Mapped"))</f>
        <v>Un Mapped</v>
      </c>
      <c r="G174" s="10" t="s">
        <v>18</v>
      </c>
      <c r="H174" s="12" t="n">
        <v>4568</v>
      </c>
      <c r="I174" s="12" t="n">
        <v>18329</v>
      </c>
      <c r="J174" s="12" t="n">
        <v>2129</v>
      </c>
      <c r="K174" s="12" t="n">
        <v>106</v>
      </c>
      <c r="L174" s="12" t="n">
        <v>765</v>
      </c>
      <c r="M174" s="12" t="n">
        <v>0</v>
      </c>
      <c r="N174" s="12" t="n">
        <v>0</v>
      </c>
      <c r="O174" s="12" t="n">
        <v>0</v>
      </c>
      <c r="P174" s="12" t="n">
        <v>25896</v>
      </c>
    </row>
    <row r="175" customFormat="false" ht="15.75" hidden="false" customHeight="false" outlineLevel="0" collapsed="false">
      <c r="B175" s="9" t="s">
        <v>15</v>
      </c>
      <c r="C175" s="10" t="s">
        <v>16</v>
      </c>
      <c r="D175" s="9" t="s">
        <v>199</v>
      </c>
      <c r="E175" s="11" t="str">
        <f aca="false">IF(D175="","",IFERROR(INDEX('CLM &amp; IM Mapping'!$B$2:$B$270,MATCH(TRIM(D175),'CLM &amp; IM Mapping'!$A$2:$A$270,0)),"Not Mapped"))</f>
        <v>Manjunatha V</v>
      </c>
      <c r="F175" s="11" t="str">
        <f aca="false">IF(D175="","",IFERROR(INDEX('CLM &amp; IM Mapping'!$C$2:$C$270,MATCH(TRIM(D175),'CLM &amp; IM Mapping'!$A$2:$A$270,0)),"Not Mapped"))</f>
        <v>Un Mapped</v>
      </c>
      <c r="G175" s="10" t="s">
        <v>18</v>
      </c>
      <c r="H175" s="12" t="n">
        <v>-15436</v>
      </c>
      <c r="I175" s="12" t="n">
        <v>7018</v>
      </c>
      <c r="J175" s="12" t="n">
        <v>0</v>
      </c>
      <c r="K175" s="12" t="n">
        <v>49</v>
      </c>
      <c r="L175" s="12" t="n">
        <v>3344</v>
      </c>
      <c r="M175" s="12" t="n">
        <v>0</v>
      </c>
      <c r="N175" s="12" t="n">
        <v>0</v>
      </c>
      <c r="O175" s="12" t="n">
        <v>0</v>
      </c>
      <c r="P175" s="12" t="n">
        <v>-5025</v>
      </c>
    </row>
    <row r="176" customFormat="false" ht="15.75" hidden="false" customHeight="false" outlineLevel="0" collapsed="false">
      <c r="B176" s="9" t="s">
        <v>15</v>
      </c>
      <c r="C176" s="10" t="s">
        <v>16</v>
      </c>
      <c r="D176" s="9" t="s">
        <v>200</v>
      </c>
      <c r="E176" s="11" t="str">
        <f aca="false">IF(D176="","",IFERROR(INDEX('CLM &amp; IM Mapping'!$B$2:$B$270,MATCH(TRIM(D176),'CLM &amp; IM Mapping'!$A$2:$A$270,0)),"Not Mapped"))</f>
        <v>Sundaresh S</v>
      </c>
      <c r="F176" s="11" t="str">
        <f aca="false">IF(D176="","",IFERROR(INDEX('CLM &amp; IM Mapping'!$C$2:$C$270,MATCH(TRIM(D176),'CLM &amp; IM Mapping'!$A$2:$A$270,0)),"Not Mapped"))</f>
        <v>Un Mapped</v>
      </c>
      <c r="G176" s="10" t="s">
        <v>18</v>
      </c>
      <c r="H176" s="12" t="n">
        <v>10126</v>
      </c>
      <c r="I176" s="12" t="n">
        <v>1106</v>
      </c>
      <c r="J176" s="12" t="n">
        <v>0</v>
      </c>
      <c r="K176" s="12" t="n">
        <v>274</v>
      </c>
      <c r="L176" s="12" t="n">
        <v>184</v>
      </c>
      <c r="M176" s="12" t="n">
        <v>0</v>
      </c>
      <c r="N176" s="12" t="n">
        <v>2985</v>
      </c>
      <c r="O176" s="12" t="n">
        <v>0</v>
      </c>
      <c r="P176" s="12" t="n">
        <v>14674</v>
      </c>
    </row>
    <row r="177" customFormat="false" ht="15.75" hidden="false" customHeight="false" outlineLevel="0" collapsed="false">
      <c r="B177" s="9" t="s">
        <v>15</v>
      </c>
      <c r="C177" s="10" t="s">
        <v>33</v>
      </c>
      <c r="D177" s="9" t="s">
        <v>201</v>
      </c>
      <c r="E177" s="11" t="str">
        <f aca="false">IF(D177="","",IFERROR(INDEX('CLM &amp; IM Mapping'!$B$2:$B$270,MATCH(TRIM(D177),'CLM &amp; IM Mapping'!$A$2:$A$270,0)),"Not Mapped"))</f>
        <v>Vishnu V</v>
      </c>
      <c r="F177" s="11" t="str">
        <f aca="false">IF(D177="","",IFERROR(INDEX('CLM &amp; IM Mapping'!$C$2:$C$270,MATCH(TRIM(D177),'CLM &amp; IM Mapping'!$A$2:$A$270,0)),"Not Mapped"))</f>
        <v>Arivind S</v>
      </c>
      <c r="G177" s="10" t="s">
        <v>18</v>
      </c>
      <c r="H177" s="12" t="n">
        <v>-4380</v>
      </c>
      <c r="I177" s="12" t="n">
        <v>0</v>
      </c>
      <c r="J177" s="12" t="n">
        <v>0</v>
      </c>
      <c r="K177" s="12" t="n">
        <v>0</v>
      </c>
      <c r="L177" s="12" t="n">
        <v>275</v>
      </c>
      <c r="M177" s="12" t="n">
        <v>0</v>
      </c>
      <c r="N177" s="12" t="n">
        <v>0</v>
      </c>
      <c r="O177" s="12" t="n">
        <v>0</v>
      </c>
      <c r="P177" s="12" t="n">
        <v>-4105</v>
      </c>
    </row>
    <row r="178" customFormat="false" ht="15.75" hidden="false" customHeight="false" outlineLevel="0" collapsed="false">
      <c r="B178" s="9" t="s">
        <v>15</v>
      </c>
      <c r="C178" s="10" t="s">
        <v>16</v>
      </c>
      <c r="D178" s="9" t="s">
        <v>202</v>
      </c>
      <c r="E178" s="11" t="str">
        <f aca="false">IF(D178="","",IFERROR(INDEX('CLM &amp; IM Mapping'!$B$2:$B$270,MATCH(TRIM(D178),'CLM &amp; IM Mapping'!$A$2:$A$270,0)),"Not Mapped"))</f>
        <v>Ashwath S</v>
      </c>
      <c r="F178" s="11" t="str">
        <f aca="false">IF(D178="","",IFERROR(INDEX('CLM &amp; IM Mapping'!$C$2:$C$270,MATCH(TRIM(D178),'CLM &amp; IM Mapping'!$A$2:$A$270,0)),"Not Mapped"))</f>
        <v>Kantha Kumar</v>
      </c>
      <c r="G178" s="10" t="s">
        <v>18</v>
      </c>
      <c r="H178" s="12" t="n">
        <v>19018</v>
      </c>
      <c r="I178" s="12" t="n">
        <v>10858</v>
      </c>
      <c r="J178" s="12" t="n">
        <v>27</v>
      </c>
      <c r="K178" s="12" t="n">
        <v>200</v>
      </c>
      <c r="L178" s="12" t="n">
        <v>179</v>
      </c>
      <c r="M178" s="12" t="n">
        <v>0</v>
      </c>
      <c r="N178" s="12" t="n">
        <v>120</v>
      </c>
      <c r="O178" s="12" t="n">
        <v>0</v>
      </c>
      <c r="P178" s="12" t="n">
        <v>30401</v>
      </c>
    </row>
    <row r="179" customFormat="false" ht="15.75" hidden="false" customHeight="false" outlineLevel="0" collapsed="false">
      <c r="B179" s="9" t="s">
        <v>15</v>
      </c>
      <c r="C179" s="10" t="s">
        <v>16</v>
      </c>
      <c r="D179" s="9" t="s">
        <v>203</v>
      </c>
      <c r="E179" s="11" t="str">
        <f aca="false">IF(D179="","",IFERROR(INDEX('CLM &amp; IM Mapping'!$B$2:$B$270,MATCH(TRIM(D179),'CLM &amp; IM Mapping'!$A$2:$A$270,0)),"Not Mapped"))</f>
        <v>Suhas N</v>
      </c>
      <c r="F179" s="11" t="str">
        <f aca="false">IF(D179="","",IFERROR(INDEX('CLM &amp; IM Mapping'!$C$2:$C$270,MATCH(TRIM(D179),'CLM &amp; IM Mapping'!$A$2:$A$270,0)),"Not Mapped"))</f>
        <v>Aravind S</v>
      </c>
      <c r="G179" s="10" t="s">
        <v>18</v>
      </c>
      <c r="H179" s="12" t="n">
        <v>-1601</v>
      </c>
      <c r="I179" s="12" t="n">
        <v>1285</v>
      </c>
      <c r="J179" s="12" t="n">
        <v>161</v>
      </c>
      <c r="K179" s="12" t="n">
        <v>11109</v>
      </c>
      <c r="L179" s="12" t="n">
        <v>3740</v>
      </c>
      <c r="M179" s="12" t="n">
        <v>0</v>
      </c>
      <c r="N179" s="12" t="n">
        <v>0</v>
      </c>
      <c r="O179" s="12" t="n">
        <v>0</v>
      </c>
      <c r="P179" s="12" t="n">
        <v>14693</v>
      </c>
    </row>
    <row r="180" customFormat="false" ht="15.75" hidden="false" customHeight="false" outlineLevel="0" collapsed="false">
      <c r="B180" s="9" t="s">
        <v>15</v>
      </c>
      <c r="C180" s="10" t="s">
        <v>16</v>
      </c>
      <c r="D180" s="9" t="s">
        <v>204</v>
      </c>
      <c r="E180" s="11" t="str">
        <f aca="false">IF(D180="","",IFERROR(INDEX('CLM &amp; IM Mapping'!$B$2:$B$270,MATCH(TRIM(D180),'CLM &amp; IM Mapping'!$A$2:$A$270,0)),"Not Mapped"))</f>
        <v>Manoj Kj</v>
      </c>
      <c r="F180" s="11" t="str">
        <f aca="false">IF(D180="","",IFERROR(INDEX('CLM &amp; IM Mapping'!$C$2:$C$270,MATCH(TRIM(D180),'CLM &amp; IM Mapping'!$A$2:$A$270,0)),"Not Mapped"))</f>
        <v>Srittam Dhal</v>
      </c>
      <c r="G180" s="10" t="s">
        <v>18</v>
      </c>
      <c r="H180" s="12" t="n">
        <v>-27495</v>
      </c>
      <c r="I180" s="12" t="n">
        <v>0</v>
      </c>
      <c r="J180" s="12" t="n">
        <v>0</v>
      </c>
      <c r="K180" s="12" t="n">
        <v>0</v>
      </c>
      <c r="L180" s="12" t="n">
        <v>134</v>
      </c>
      <c r="M180" s="12" t="n">
        <v>0</v>
      </c>
      <c r="N180" s="12" t="n">
        <v>2299</v>
      </c>
      <c r="O180" s="12" t="n">
        <v>0</v>
      </c>
      <c r="P180" s="12" t="n">
        <v>-25063</v>
      </c>
    </row>
    <row r="181" customFormat="false" ht="15.75" hidden="false" customHeight="false" outlineLevel="0" collapsed="false">
      <c r="B181" s="9" t="s">
        <v>15</v>
      </c>
      <c r="C181" s="10" t="s">
        <v>16</v>
      </c>
      <c r="D181" s="9" t="s">
        <v>205</v>
      </c>
      <c r="E181" s="11" t="str">
        <f aca="false">IF(D181="","",IFERROR(INDEX('CLM &amp; IM Mapping'!$B$2:$B$270,MATCH(TRIM(D181),'CLM &amp; IM Mapping'!$A$2:$A$270,0)),"Not Mapped"))</f>
        <v>Saddam Hussain</v>
      </c>
      <c r="F181" s="11" t="str">
        <f aca="false">IF(D181="","",IFERROR(INDEX('CLM &amp; IM Mapping'!$C$2:$C$270,MATCH(TRIM(D181),'CLM &amp; IM Mapping'!$A$2:$A$270,0)),"Not Mapped"))</f>
        <v>Un Mapped</v>
      </c>
      <c r="G181" s="10" t="s">
        <v>18</v>
      </c>
      <c r="H181" s="12" t="n">
        <v>-51686</v>
      </c>
      <c r="I181" s="12" t="n">
        <v>4063</v>
      </c>
      <c r="J181" s="12" t="n">
        <v>1111</v>
      </c>
      <c r="K181" s="12" t="n">
        <v>672</v>
      </c>
      <c r="L181" s="12" t="n">
        <v>1461</v>
      </c>
      <c r="M181" s="12" t="n">
        <v>0</v>
      </c>
      <c r="N181" s="12" t="n">
        <v>0</v>
      </c>
      <c r="O181" s="12" t="n">
        <v>0</v>
      </c>
      <c r="P181" s="12" t="n">
        <v>-44378</v>
      </c>
    </row>
    <row r="182" customFormat="false" ht="15.75" hidden="false" customHeight="false" outlineLevel="0" collapsed="false">
      <c r="B182" s="9" t="s">
        <v>15</v>
      </c>
      <c r="C182" s="10" t="s">
        <v>16</v>
      </c>
      <c r="D182" s="9" t="s">
        <v>206</v>
      </c>
      <c r="E182" s="11" t="str">
        <f aca="false">IF(D182="","",IFERROR(INDEX('CLM &amp; IM Mapping'!$B$2:$B$270,MATCH(TRIM(D182),'CLM &amp; IM Mapping'!$A$2:$A$270,0)),"Not Mapped"))</f>
        <v>Saddam Hussain</v>
      </c>
      <c r="F182" s="11" t="str">
        <f aca="false">IF(D182="","",IFERROR(INDEX('CLM &amp; IM Mapping'!$C$2:$C$270,MATCH(TRIM(D182),'CLM &amp; IM Mapping'!$A$2:$A$270,0)),"Not Mapped"))</f>
        <v>Un Mapped</v>
      </c>
      <c r="G182" s="10" t="s">
        <v>18</v>
      </c>
      <c r="H182" s="12" t="n">
        <v>15940</v>
      </c>
      <c r="I182" s="12" t="n">
        <v>42998</v>
      </c>
      <c r="J182" s="12" t="n">
        <v>1688</v>
      </c>
      <c r="K182" s="12" t="n">
        <v>2605</v>
      </c>
      <c r="L182" s="12" t="n">
        <v>3932</v>
      </c>
      <c r="M182" s="12" t="n">
        <v>0</v>
      </c>
      <c r="N182" s="12" t="n">
        <v>680</v>
      </c>
      <c r="O182" s="12" t="n">
        <v>0</v>
      </c>
      <c r="P182" s="12" t="n">
        <v>67844</v>
      </c>
    </row>
    <row r="183" customFormat="false" ht="15.75" hidden="false" customHeight="false" outlineLevel="0" collapsed="false">
      <c r="B183" s="9" t="s">
        <v>15</v>
      </c>
      <c r="C183" s="10" t="s">
        <v>16</v>
      </c>
      <c r="D183" s="9" t="s">
        <v>207</v>
      </c>
      <c r="E183" s="11" t="str">
        <f aca="false">IF(D183="","",IFERROR(INDEX('CLM &amp; IM Mapping'!$B$2:$B$270,MATCH(TRIM(D183),'CLM &amp; IM Mapping'!$A$2:$A$270,0)),"Not Mapped"))</f>
        <v>Keshav G</v>
      </c>
      <c r="F183" s="11" t="str">
        <f aca="false">IF(D183="","",IFERROR(INDEX('CLM &amp; IM Mapping'!$C$2:$C$270,MATCH(TRIM(D183),'CLM &amp; IM Mapping'!$A$2:$A$270,0)),"Not Mapped"))</f>
        <v>Mohammed Akbar</v>
      </c>
      <c r="G183" s="10" t="s">
        <v>18</v>
      </c>
      <c r="H183" s="12" t="n">
        <v>9409</v>
      </c>
      <c r="I183" s="12" t="n">
        <v>27235</v>
      </c>
      <c r="J183" s="12" t="n">
        <v>0</v>
      </c>
      <c r="K183" s="12" t="n">
        <v>235</v>
      </c>
      <c r="L183" s="12" t="n">
        <v>6731</v>
      </c>
      <c r="M183" s="12" t="n">
        <v>0</v>
      </c>
      <c r="N183" s="12" t="n">
        <v>3486</v>
      </c>
      <c r="O183" s="12" t="n">
        <v>0</v>
      </c>
      <c r="P183" s="12" t="n">
        <v>47094</v>
      </c>
    </row>
    <row r="184" customFormat="false" ht="15.75" hidden="false" customHeight="false" outlineLevel="0" collapsed="false">
      <c r="B184" s="9" t="s">
        <v>15</v>
      </c>
      <c r="C184" s="10" t="s">
        <v>92</v>
      </c>
      <c r="D184" s="9" t="s">
        <v>208</v>
      </c>
      <c r="E184" s="11" t="str">
        <f aca="false">IF(D184="","",IFERROR(INDEX('CLM &amp; IM Mapping'!$B$2:$B$270,MATCH(TRIM(D184),'CLM &amp; IM Mapping'!$A$2:$A$270,0)),"Not Mapped"))</f>
        <v>Bangareppa CS</v>
      </c>
      <c r="F184" s="11" t="str">
        <f aca="false">IF(D184="","",IFERROR(INDEX('CLM &amp; IM Mapping'!$C$2:$C$270,MATCH(TRIM(D184),'CLM &amp; IM Mapping'!$A$2:$A$270,0)),"Not Mapped"))</f>
        <v>Kishor K</v>
      </c>
      <c r="G184" s="10" t="s">
        <v>18</v>
      </c>
      <c r="H184" s="12" t="n">
        <v>3745</v>
      </c>
      <c r="I184" s="12" t="n">
        <v>2119</v>
      </c>
      <c r="J184" s="12" t="n">
        <v>0</v>
      </c>
      <c r="K184" s="12" t="n">
        <v>36</v>
      </c>
      <c r="L184" s="12" t="n">
        <v>0</v>
      </c>
      <c r="M184" s="12" t="n">
        <v>0</v>
      </c>
      <c r="N184" s="12" t="n">
        <v>0</v>
      </c>
      <c r="O184" s="12" t="n">
        <v>0</v>
      </c>
      <c r="P184" s="12" t="n">
        <v>5899</v>
      </c>
    </row>
    <row r="185" customFormat="false" ht="15.75" hidden="false" customHeight="false" outlineLevel="0" collapsed="false">
      <c r="B185" s="9" t="s">
        <v>15</v>
      </c>
      <c r="C185" s="10" t="s">
        <v>33</v>
      </c>
      <c r="D185" s="9" t="s">
        <v>209</v>
      </c>
      <c r="E185" s="11" t="str">
        <f aca="false">IF(D185="","",IFERROR(INDEX('CLM &amp; IM Mapping'!$B$2:$B$270,MATCH(TRIM(D185),'CLM &amp; IM Mapping'!$A$2:$A$270,0)),"Not Mapped"))</f>
        <v>Vishnu V</v>
      </c>
      <c r="F185" s="11" t="str">
        <f aca="false">IF(D185="","",IFERROR(INDEX('CLM &amp; IM Mapping'!$C$2:$C$270,MATCH(TRIM(D185),'CLM &amp; IM Mapping'!$A$2:$A$270,0)),"Not Mapped"))</f>
        <v>Arivind S</v>
      </c>
      <c r="G185" s="10" t="s">
        <v>18</v>
      </c>
      <c r="H185" s="12" t="n">
        <v>-5488</v>
      </c>
      <c r="I185" s="12" t="n">
        <v>0</v>
      </c>
      <c r="J185" s="12" t="n">
        <v>0</v>
      </c>
      <c r="K185" s="12" t="n">
        <v>0</v>
      </c>
      <c r="L185" s="12" t="n">
        <v>0</v>
      </c>
      <c r="M185" s="12" t="n">
        <v>0</v>
      </c>
      <c r="N185" s="12" t="n">
        <v>0</v>
      </c>
      <c r="O185" s="12" t="n">
        <v>0</v>
      </c>
      <c r="P185" s="12" t="n">
        <v>-5488</v>
      </c>
    </row>
    <row r="186" customFormat="false" ht="15.75" hidden="false" customHeight="false" outlineLevel="0" collapsed="false">
      <c r="B186" s="9" t="s">
        <v>15</v>
      </c>
      <c r="C186" s="10" t="s">
        <v>16</v>
      </c>
      <c r="D186" s="9" t="s">
        <v>210</v>
      </c>
      <c r="E186" s="11" t="str">
        <f aca="false">IF(D186="","",IFERROR(INDEX('CLM &amp; IM Mapping'!$B$2:$B$270,MATCH(TRIM(D186),'CLM &amp; IM Mapping'!$A$2:$A$270,0)),"Not Mapped"))</f>
        <v>Mohaideen DH</v>
      </c>
      <c r="F186" s="11" t="str">
        <f aca="false">IF(D186="","",IFERROR(INDEX('CLM &amp; IM Mapping'!$C$2:$C$270,MATCH(TRIM(D186),'CLM &amp; IM Mapping'!$A$2:$A$270,0)),"Not Mapped"))</f>
        <v>Mohammed Akbar</v>
      </c>
      <c r="G186" s="10" t="s">
        <v>18</v>
      </c>
      <c r="H186" s="12" t="n">
        <v>-24477</v>
      </c>
      <c r="I186" s="12" t="n">
        <v>36085</v>
      </c>
      <c r="J186" s="12" t="n">
        <v>0</v>
      </c>
      <c r="K186" s="12" t="n">
        <v>5221</v>
      </c>
      <c r="L186" s="12" t="n">
        <v>13126</v>
      </c>
      <c r="M186" s="12" t="n">
        <v>0</v>
      </c>
      <c r="N186" s="12" t="n">
        <v>4987</v>
      </c>
      <c r="O186" s="12" t="n">
        <v>0</v>
      </c>
      <c r="P186" s="12" t="n">
        <v>34942</v>
      </c>
    </row>
    <row r="187" customFormat="false" ht="15.75" hidden="false" customHeight="false" outlineLevel="0" collapsed="false">
      <c r="B187" s="9" t="s">
        <v>15</v>
      </c>
      <c r="C187" s="10" t="s">
        <v>16</v>
      </c>
      <c r="D187" s="9" t="s">
        <v>211</v>
      </c>
      <c r="E187" s="11" t="str">
        <f aca="false">IF(D187="","",IFERROR(INDEX('CLM &amp; IM Mapping'!$B$2:$B$270,MATCH(TRIM(D187),'CLM &amp; IM Mapping'!$A$2:$A$270,0)),"Not Mapped"))</f>
        <v>Ashwath S</v>
      </c>
      <c r="F187" s="11" t="str">
        <f aca="false">IF(D187="","",IFERROR(INDEX('CLM &amp; IM Mapping'!$C$2:$C$270,MATCH(TRIM(D187),'CLM &amp; IM Mapping'!$A$2:$A$270,0)),"Not Mapped"))</f>
        <v>Kantha Kumar</v>
      </c>
      <c r="G187" s="10" t="s">
        <v>18</v>
      </c>
      <c r="H187" s="12" t="n">
        <v>-10079</v>
      </c>
      <c r="I187" s="12" t="n">
        <v>815</v>
      </c>
      <c r="J187" s="12" t="n">
        <v>1168</v>
      </c>
      <c r="K187" s="12" t="n">
        <v>635</v>
      </c>
      <c r="L187" s="12" t="n">
        <v>277</v>
      </c>
      <c r="M187" s="12" t="n">
        <v>0</v>
      </c>
      <c r="N187" s="12" t="n">
        <v>593</v>
      </c>
      <c r="O187" s="12" t="n">
        <v>0</v>
      </c>
      <c r="P187" s="12" t="n">
        <v>-6592</v>
      </c>
    </row>
    <row r="188" customFormat="false" ht="15.75" hidden="false" customHeight="false" outlineLevel="0" collapsed="false">
      <c r="B188" s="9" t="s">
        <v>15</v>
      </c>
      <c r="C188" s="10" t="s">
        <v>16</v>
      </c>
      <c r="D188" s="9" t="s">
        <v>212</v>
      </c>
      <c r="E188" s="11" t="str">
        <f aca="false">IF(D188="","",IFERROR(INDEX('CLM &amp; IM Mapping'!$B$2:$B$270,MATCH(TRIM(D188),'CLM &amp; IM Mapping'!$A$2:$A$270,0)),"Not Mapped"))</f>
        <v>Narasimhamurthy R</v>
      </c>
      <c r="F188" s="11" t="str">
        <f aca="false">IF(D188="","",IFERROR(INDEX('CLM &amp; IM Mapping'!$C$2:$C$270,MATCH(TRIM(D188),'CLM &amp; IM Mapping'!$A$2:$A$270,0)),"Not Mapped"))</f>
        <v>Kishor K</v>
      </c>
      <c r="G188" s="10" t="s">
        <v>18</v>
      </c>
      <c r="H188" s="12" t="n">
        <v>1067</v>
      </c>
      <c r="I188" s="12" t="n">
        <v>3758</v>
      </c>
      <c r="J188" s="12" t="n">
        <v>0</v>
      </c>
      <c r="K188" s="12" t="n">
        <v>0</v>
      </c>
      <c r="L188" s="12" t="n">
        <v>332</v>
      </c>
      <c r="M188" s="12" t="n">
        <v>0</v>
      </c>
      <c r="N188" s="12" t="n">
        <v>0</v>
      </c>
      <c r="O188" s="12" t="n">
        <v>0</v>
      </c>
      <c r="P188" s="12" t="n">
        <v>5158</v>
      </c>
    </row>
    <row r="189" customFormat="false" ht="15.75" hidden="false" customHeight="false" outlineLevel="0" collapsed="false">
      <c r="B189" s="9" t="s">
        <v>15</v>
      </c>
      <c r="C189" s="10" t="s">
        <v>16</v>
      </c>
      <c r="D189" s="9" t="s">
        <v>213</v>
      </c>
      <c r="E189" s="11" t="str">
        <f aca="false">IF(D189="","",IFERROR(INDEX('CLM &amp; IM Mapping'!$B$2:$B$270,MATCH(TRIM(D189),'CLM &amp; IM Mapping'!$A$2:$A$270,0)),"Not Mapped"))</f>
        <v>Arun Raj</v>
      </c>
      <c r="F189" s="11" t="str">
        <f aca="false">IF(D189="","",IFERROR(INDEX('CLM &amp; IM Mapping'!$C$2:$C$270,MATCH(TRIM(D189),'CLM &amp; IM Mapping'!$A$2:$A$270,0)),"Not Mapped"))</f>
        <v>Simon Manoharan</v>
      </c>
      <c r="G189" s="10" t="s">
        <v>22</v>
      </c>
      <c r="H189" s="12" t="n">
        <v>-20840</v>
      </c>
      <c r="I189" s="12" t="n">
        <v>22589</v>
      </c>
      <c r="J189" s="12" t="n">
        <v>0</v>
      </c>
      <c r="K189" s="12" t="n">
        <v>0</v>
      </c>
      <c r="L189" s="12" t="n">
        <v>33</v>
      </c>
      <c r="M189" s="12" t="n">
        <v>0</v>
      </c>
      <c r="N189" s="12" t="n">
        <v>0</v>
      </c>
      <c r="O189" s="12" t="n">
        <v>0</v>
      </c>
      <c r="P189" s="12" t="n">
        <v>1782</v>
      </c>
    </row>
    <row r="190" customFormat="false" ht="15.75" hidden="false" customHeight="false" outlineLevel="0" collapsed="false">
      <c r="B190" s="9" t="s">
        <v>15</v>
      </c>
      <c r="C190" s="10" t="s">
        <v>16</v>
      </c>
      <c r="D190" s="9" t="s">
        <v>214</v>
      </c>
      <c r="E190" s="11" t="str">
        <f aca="false">IF(D190="","",IFERROR(INDEX('CLM &amp; IM Mapping'!$B$2:$B$270,MATCH(TRIM(D190),'CLM &amp; IM Mapping'!$A$2:$A$270,0)),"Not Mapped"))</f>
        <v>Balaji G</v>
      </c>
      <c r="F190" s="11" t="str">
        <f aca="false">IF(D190="","",IFERROR(INDEX('CLM &amp; IM Mapping'!$C$2:$C$270,MATCH(TRIM(D190),'CLM &amp; IM Mapping'!$A$2:$A$270,0)),"Not Mapped"))</f>
        <v>Mohammed Akbar</v>
      </c>
      <c r="G190" s="10" t="s">
        <v>18</v>
      </c>
      <c r="H190" s="12" t="n">
        <v>-12306</v>
      </c>
      <c r="I190" s="12" t="n">
        <v>627</v>
      </c>
      <c r="J190" s="12" t="n">
        <v>0</v>
      </c>
      <c r="K190" s="12" t="n">
        <v>0</v>
      </c>
      <c r="L190" s="12" t="n">
        <v>36</v>
      </c>
      <c r="M190" s="12" t="n">
        <v>0</v>
      </c>
      <c r="N190" s="12" t="n">
        <v>0</v>
      </c>
      <c r="O190" s="12" t="n">
        <v>0</v>
      </c>
      <c r="P190" s="12" t="n">
        <v>-11643</v>
      </c>
    </row>
    <row r="191" customFormat="false" ht="15.75" hidden="false" customHeight="false" outlineLevel="0" collapsed="false">
      <c r="B191" s="9" t="s">
        <v>15</v>
      </c>
      <c r="C191" s="10" t="s">
        <v>16</v>
      </c>
      <c r="D191" s="9" t="s">
        <v>215</v>
      </c>
      <c r="E191" s="11" t="str">
        <f aca="false">IF(D191="","",IFERROR(INDEX('CLM &amp; IM Mapping'!$B$2:$B$270,MATCH(TRIM(D191),'CLM &amp; IM Mapping'!$A$2:$A$270,0)),"Not Mapped"))</f>
        <v>Girish N</v>
      </c>
      <c r="F191" s="11" t="str">
        <f aca="false">IF(D191="","",IFERROR(INDEX('CLM &amp; IM Mapping'!$C$2:$C$270,MATCH(TRIM(D191),'CLM &amp; IM Mapping'!$A$2:$A$270,0)),"Not Mapped"))</f>
        <v>Un Mapped</v>
      </c>
      <c r="G191" s="10" t="s">
        <v>18</v>
      </c>
      <c r="H191" s="12" t="n">
        <v>29680</v>
      </c>
      <c r="I191" s="12" t="n">
        <v>9315</v>
      </c>
      <c r="J191" s="12" t="n">
        <v>0</v>
      </c>
      <c r="K191" s="12" t="n">
        <v>3498</v>
      </c>
      <c r="L191" s="12" t="n">
        <v>283</v>
      </c>
      <c r="M191" s="12" t="n">
        <v>0</v>
      </c>
      <c r="N191" s="12" t="n">
        <v>0</v>
      </c>
      <c r="O191" s="12" t="n">
        <v>0</v>
      </c>
      <c r="P191" s="12" t="n">
        <v>42776</v>
      </c>
    </row>
    <row r="192" customFormat="false" ht="15.75" hidden="false" customHeight="false" outlineLevel="0" collapsed="false">
      <c r="B192" s="9" t="s">
        <v>15</v>
      </c>
      <c r="C192" s="10" t="s">
        <v>16</v>
      </c>
      <c r="D192" s="9" t="s">
        <v>216</v>
      </c>
      <c r="E192" s="11" t="str">
        <f aca="false">IF(D192="","",IFERROR(INDEX('CLM &amp; IM Mapping'!$B$2:$B$270,MATCH(TRIM(D192),'CLM &amp; IM Mapping'!$A$2:$A$270,0)),"Not Mapped"))</f>
        <v>Saddam Hussain</v>
      </c>
      <c r="F192" s="11" t="str">
        <f aca="false">IF(D192="","",IFERROR(INDEX('CLM &amp; IM Mapping'!$C$2:$C$270,MATCH(TRIM(D192),'CLM &amp; IM Mapping'!$A$2:$A$270,0)),"Not Mapped"))</f>
        <v>Un Mapped</v>
      </c>
      <c r="G192" s="10" t="s">
        <v>18</v>
      </c>
      <c r="H192" s="12" t="n">
        <v>-4229</v>
      </c>
      <c r="I192" s="12" t="n">
        <v>1324</v>
      </c>
      <c r="J192" s="12" t="n">
        <v>0</v>
      </c>
      <c r="K192" s="12" t="n">
        <v>43</v>
      </c>
      <c r="L192" s="12" t="n">
        <v>1118</v>
      </c>
      <c r="M192" s="12" t="n">
        <v>0</v>
      </c>
      <c r="N192" s="12" t="n">
        <v>1386</v>
      </c>
      <c r="O192" s="12" t="n">
        <v>0</v>
      </c>
      <c r="P192" s="12" t="n">
        <v>-358</v>
      </c>
    </row>
    <row r="193" customFormat="false" ht="15.75" hidden="false" customHeight="false" outlineLevel="0" collapsed="false">
      <c r="B193" s="9" t="s">
        <v>15</v>
      </c>
      <c r="C193" s="10" t="s">
        <v>47</v>
      </c>
      <c r="D193" s="9" t="s">
        <v>217</v>
      </c>
      <c r="E193" s="11" t="str">
        <f aca="false">IF(D193="","",IFERROR(INDEX('CLM &amp; IM Mapping'!$B$2:$B$270,MATCH(TRIM(D193),'CLM &amp; IM Mapping'!$A$2:$A$270,0)),"Not Mapped"))</f>
        <v>John Britto</v>
      </c>
      <c r="F193" s="11" t="str">
        <f aca="false">IF(D193="","",IFERROR(INDEX('CLM &amp; IM Mapping'!$C$2:$C$270,MATCH(TRIM(D193),'CLM &amp; IM Mapping'!$A$2:$A$270,0)),"Not Mapped"))</f>
        <v>Aravind S</v>
      </c>
      <c r="G193" s="10" t="s">
        <v>18</v>
      </c>
      <c r="H193" s="12" t="n">
        <v>-11910</v>
      </c>
      <c r="I193" s="12" t="n">
        <v>2411</v>
      </c>
      <c r="J193" s="12" t="n">
        <v>0</v>
      </c>
      <c r="K193" s="12" t="n">
        <v>0</v>
      </c>
      <c r="L193" s="12" t="n">
        <v>246</v>
      </c>
      <c r="M193" s="12" t="n">
        <v>0</v>
      </c>
      <c r="N193" s="12" t="n">
        <v>0</v>
      </c>
      <c r="O193" s="12" t="n">
        <v>0</v>
      </c>
      <c r="P193" s="12" t="n">
        <v>-9253</v>
      </c>
    </row>
    <row r="194" customFormat="false" ht="15.75" hidden="false" customHeight="false" outlineLevel="0" collapsed="false">
      <c r="B194" s="9" t="s">
        <v>15</v>
      </c>
      <c r="C194" s="10" t="s">
        <v>16</v>
      </c>
      <c r="D194" s="9" t="s">
        <v>218</v>
      </c>
      <c r="E194" s="11" t="str">
        <f aca="false">IF(D194="","",IFERROR(INDEX('CLM &amp; IM Mapping'!$B$2:$B$270,MATCH(TRIM(D194),'CLM &amp; IM Mapping'!$A$2:$A$270,0)),"Not Mapped"))</f>
        <v>Akshay P</v>
      </c>
      <c r="F194" s="11" t="str">
        <f aca="false">IF(D194="","",IFERROR(INDEX('CLM &amp; IM Mapping'!$C$2:$C$270,MATCH(TRIM(D194),'CLM &amp; IM Mapping'!$A$2:$A$270,0)),"Not Mapped"))</f>
        <v>Srittam Dhal</v>
      </c>
      <c r="G194" s="10" t="s">
        <v>18</v>
      </c>
      <c r="H194" s="12" t="n">
        <v>-1479</v>
      </c>
      <c r="I194" s="12" t="n">
        <v>956</v>
      </c>
      <c r="J194" s="12" t="n">
        <v>0</v>
      </c>
      <c r="K194" s="12" t="n">
        <v>0</v>
      </c>
      <c r="L194" s="12" t="n">
        <v>283</v>
      </c>
      <c r="M194" s="12" t="n">
        <v>0</v>
      </c>
      <c r="N194" s="12" t="n">
        <v>0</v>
      </c>
      <c r="O194" s="12" t="n">
        <v>0</v>
      </c>
      <c r="P194" s="12" t="n">
        <v>-240</v>
      </c>
    </row>
    <row r="195" customFormat="false" ht="15.75" hidden="false" customHeight="false" outlineLevel="0" collapsed="false">
      <c r="B195" s="9" t="s">
        <v>15</v>
      </c>
      <c r="C195" s="10" t="s">
        <v>47</v>
      </c>
      <c r="D195" s="9" t="s">
        <v>219</v>
      </c>
      <c r="E195" s="11" t="str">
        <f aca="false">IF(D195="","",IFERROR(INDEX('CLM &amp; IM Mapping'!$B$2:$B$270,MATCH(TRIM(D195),'CLM &amp; IM Mapping'!$A$2:$A$270,0)),"Not Mapped"))</f>
        <v>John Britto</v>
      </c>
      <c r="F195" s="11" t="str">
        <f aca="false">IF(D195="","",IFERROR(INDEX('CLM &amp; IM Mapping'!$C$2:$C$270,MATCH(TRIM(D195),'CLM &amp; IM Mapping'!$A$2:$A$270,0)),"Not Mapped"))</f>
        <v>Aravind S</v>
      </c>
      <c r="G195" s="10" t="s">
        <v>18</v>
      </c>
      <c r="H195" s="12" t="n">
        <v>-28955</v>
      </c>
      <c r="I195" s="12" t="n">
        <v>468</v>
      </c>
      <c r="J195" s="12" t="n">
        <v>0</v>
      </c>
      <c r="K195" s="12" t="n">
        <v>0</v>
      </c>
      <c r="L195" s="12" t="n">
        <v>0</v>
      </c>
      <c r="M195" s="12" t="n">
        <v>0</v>
      </c>
      <c r="N195" s="12" t="n">
        <v>0</v>
      </c>
      <c r="O195" s="12" t="n">
        <v>0</v>
      </c>
      <c r="P195" s="12" t="n">
        <v>-28487</v>
      </c>
    </row>
    <row r="196" customFormat="false" ht="15.75" hidden="false" customHeight="false" outlineLevel="0" collapsed="false">
      <c r="B196" s="9" t="s">
        <v>15</v>
      </c>
      <c r="C196" s="10" t="s">
        <v>16</v>
      </c>
      <c r="D196" s="9" t="s">
        <v>220</v>
      </c>
      <c r="E196" s="11" t="str">
        <f aca="false">IF(D196="","",IFERROR(INDEX('CLM &amp; IM Mapping'!$B$2:$B$270,MATCH(TRIM(D196),'CLM &amp; IM Mapping'!$A$2:$A$270,0)),"Not Mapped"))</f>
        <v>Sundaresh S</v>
      </c>
      <c r="F196" s="11" t="str">
        <f aca="false">IF(D196="","",IFERROR(INDEX('CLM &amp; IM Mapping'!$C$2:$C$270,MATCH(TRIM(D196),'CLM &amp; IM Mapping'!$A$2:$A$270,0)),"Not Mapped"))</f>
        <v>Un Mapped</v>
      </c>
      <c r="G196" s="10" t="s">
        <v>18</v>
      </c>
      <c r="H196" s="12" t="n">
        <v>-13425</v>
      </c>
      <c r="I196" s="12" t="n">
        <v>4786</v>
      </c>
      <c r="J196" s="12" t="n">
        <v>1649</v>
      </c>
      <c r="K196" s="12" t="n">
        <v>5982</v>
      </c>
      <c r="L196" s="12" t="n">
        <v>543</v>
      </c>
      <c r="M196" s="12" t="n">
        <v>0</v>
      </c>
      <c r="N196" s="12" t="n">
        <v>0</v>
      </c>
      <c r="O196" s="12" t="n">
        <v>0</v>
      </c>
      <c r="P196" s="12" t="n">
        <v>-465</v>
      </c>
    </row>
    <row r="197" customFormat="false" ht="15.75" hidden="false" customHeight="false" outlineLevel="0" collapsed="false">
      <c r="B197" s="9" t="s">
        <v>15</v>
      </c>
      <c r="C197" s="10" t="s">
        <v>16</v>
      </c>
      <c r="D197" s="9" t="s">
        <v>221</v>
      </c>
      <c r="E197" s="11" t="str">
        <f aca="false">IF(D197="","",IFERROR(INDEX('CLM &amp; IM Mapping'!$B$2:$B$270,MATCH(TRIM(D197),'CLM &amp; IM Mapping'!$A$2:$A$270,0)),"Not Mapped"))</f>
        <v>Balaji G</v>
      </c>
      <c r="F197" s="11" t="str">
        <f aca="false">IF(D197="","",IFERROR(INDEX('CLM &amp; IM Mapping'!$C$2:$C$270,MATCH(TRIM(D197),'CLM &amp; IM Mapping'!$A$2:$A$270,0)),"Not Mapped"))</f>
        <v>Mohammed Akbar</v>
      </c>
      <c r="G197" s="10" t="s">
        <v>18</v>
      </c>
      <c r="H197" s="12" t="n">
        <v>-12490</v>
      </c>
      <c r="I197" s="12" t="n">
        <v>5741</v>
      </c>
      <c r="J197" s="12" t="n">
        <v>0</v>
      </c>
      <c r="K197" s="12" t="n">
        <v>30</v>
      </c>
      <c r="L197" s="12" t="n">
        <v>0</v>
      </c>
      <c r="M197" s="12" t="n">
        <v>0</v>
      </c>
      <c r="N197" s="12" t="n">
        <v>0</v>
      </c>
      <c r="O197" s="12" t="n">
        <v>0</v>
      </c>
      <c r="P197" s="12" t="n">
        <v>-6720</v>
      </c>
    </row>
    <row r="198" customFormat="false" ht="15.75" hidden="false" customHeight="false" outlineLevel="0" collapsed="false">
      <c r="B198" s="9" t="s">
        <v>15</v>
      </c>
      <c r="C198" s="10" t="s">
        <v>16</v>
      </c>
      <c r="D198" s="9" t="s">
        <v>222</v>
      </c>
      <c r="E198" s="11" t="str">
        <f aca="false">IF(D198="","",IFERROR(INDEX('CLM &amp; IM Mapping'!$B$2:$B$270,MATCH(TRIM(D198),'CLM &amp; IM Mapping'!$A$2:$A$270,0)),"Not Mapped"))</f>
        <v>Sundaresh S</v>
      </c>
      <c r="F198" s="11" t="str">
        <f aca="false">IF(D198="","",IFERROR(INDEX('CLM &amp; IM Mapping'!$C$2:$C$270,MATCH(TRIM(D198),'CLM &amp; IM Mapping'!$A$2:$A$270,0)),"Not Mapped"))</f>
        <v>Un Mapped</v>
      </c>
      <c r="G198" s="10" t="s">
        <v>18</v>
      </c>
      <c r="H198" s="12" t="n">
        <v>-2061</v>
      </c>
      <c r="I198" s="12" t="n">
        <v>8363</v>
      </c>
      <c r="J198" s="12" t="n">
        <v>0</v>
      </c>
      <c r="K198" s="12" t="n">
        <v>916</v>
      </c>
      <c r="L198" s="12" t="n">
        <v>119</v>
      </c>
      <c r="M198" s="12" t="n">
        <v>0</v>
      </c>
      <c r="N198" s="12" t="n">
        <v>0</v>
      </c>
      <c r="O198" s="12" t="n">
        <v>0</v>
      </c>
      <c r="P198" s="12" t="n">
        <v>7336</v>
      </c>
    </row>
    <row r="199" customFormat="false" ht="15.75" hidden="false" customHeight="false" outlineLevel="0" collapsed="false">
      <c r="B199" s="9" t="s">
        <v>15</v>
      </c>
      <c r="C199" s="10" t="s">
        <v>16</v>
      </c>
      <c r="D199" s="10" t="s">
        <v>223</v>
      </c>
      <c r="E199" s="11" t="str">
        <f aca="false">IF(D199="","",IFERROR(INDEX('CLM &amp; IM Mapping'!$B$2:$B$270,MATCH(TRIM(D199),'CLM &amp; IM Mapping'!$A$2:$A$270,0)),"Not Mapped"))</f>
        <v>Suhas N</v>
      </c>
      <c r="F199" s="11" t="str">
        <f aca="false">IF(D199="","",IFERROR(INDEX('CLM &amp; IM Mapping'!$C$2:$C$270,MATCH(TRIM(D199),'CLM &amp; IM Mapping'!$A$2:$A$270,0)),"Not Mapped"))</f>
        <v>Aravind S</v>
      </c>
      <c r="G199" s="10" t="s">
        <v>18</v>
      </c>
      <c r="H199" s="12" t="n">
        <v>2986</v>
      </c>
      <c r="I199" s="12" t="n">
        <v>0</v>
      </c>
      <c r="J199" s="12" t="n">
        <v>0</v>
      </c>
      <c r="K199" s="12" t="n">
        <v>0</v>
      </c>
      <c r="L199" s="12" t="n">
        <v>144</v>
      </c>
      <c r="M199" s="12" t="n">
        <v>0</v>
      </c>
      <c r="N199" s="12" t="n">
        <v>0</v>
      </c>
      <c r="O199" s="12" t="n">
        <v>0</v>
      </c>
      <c r="P199" s="12" t="n">
        <v>3130</v>
      </c>
    </row>
    <row r="200" customFormat="false" ht="15.75" hidden="false" customHeight="false" outlineLevel="0" collapsed="false">
      <c r="B200" s="9" t="s">
        <v>15</v>
      </c>
      <c r="C200" s="10" t="s">
        <v>16</v>
      </c>
      <c r="D200" s="9" t="s">
        <v>224</v>
      </c>
      <c r="E200" s="11" t="str">
        <f aca="false">IF(D200="","",IFERROR(INDEX('CLM &amp; IM Mapping'!$B$2:$B$270,MATCH(TRIM(D200),'CLM &amp; IM Mapping'!$A$2:$A$270,0)),"Not Mapped"))</f>
        <v>Balaji G</v>
      </c>
      <c r="F200" s="11" t="str">
        <f aca="false">IF(D200="","",IFERROR(INDEX('CLM &amp; IM Mapping'!$C$2:$C$270,MATCH(TRIM(D200),'CLM &amp; IM Mapping'!$A$2:$A$270,0)),"Not Mapped"))</f>
        <v>Mohammed Akbar</v>
      </c>
      <c r="G200" s="10" t="s">
        <v>18</v>
      </c>
      <c r="H200" s="12" t="n">
        <v>-19317</v>
      </c>
      <c r="I200" s="12" t="n">
        <v>10703</v>
      </c>
      <c r="J200" s="12" t="n">
        <v>0</v>
      </c>
      <c r="K200" s="12" t="n">
        <v>400</v>
      </c>
      <c r="L200" s="12" t="n">
        <v>2810</v>
      </c>
      <c r="M200" s="12" t="n">
        <v>0</v>
      </c>
      <c r="N200" s="12" t="n">
        <v>0</v>
      </c>
      <c r="O200" s="12" t="n">
        <v>0</v>
      </c>
      <c r="P200" s="12" t="n">
        <v>-5403</v>
      </c>
    </row>
    <row r="201" customFormat="false" ht="15.75" hidden="false" customHeight="false" outlineLevel="0" collapsed="false">
      <c r="B201" s="9" t="s">
        <v>15</v>
      </c>
      <c r="C201" s="10" t="s">
        <v>16</v>
      </c>
      <c r="D201" s="9" t="s">
        <v>225</v>
      </c>
      <c r="E201" s="11" t="str">
        <f aca="false">IF(D201="","",IFERROR(INDEX('CLM &amp; IM Mapping'!$B$2:$B$270,MATCH(TRIM(D201),'CLM &amp; IM Mapping'!$A$2:$A$270,0)),"Not Mapped"))</f>
        <v>Raghavendra Vernekar</v>
      </c>
      <c r="F201" s="11" t="str">
        <f aca="false">IF(D201="","",IFERROR(INDEX('CLM &amp; IM Mapping'!$C$2:$C$270,MATCH(TRIM(D201),'CLM &amp; IM Mapping'!$A$2:$A$270,0)),"Not Mapped"))</f>
        <v>Prakash BS</v>
      </c>
      <c r="G201" s="10" t="s">
        <v>18</v>
      </c>
      <c r="H201" s="12" t="n">
        <v>16378</v>
      </c>
      <c r="I201" s="12" t="n">
        <v>18410</v>
      </c>
      <c r="J201" s="12" t="n">
        <v>227</v>
      </c>
      <c r="K201" s="12" t="n">
        <v>2848</v>
      </c>
      <c r="L201" s="12" t="n">
        <v>751</v>
      </c>
      <c r="M201" s="12" t="n">
        <v>0</v>
      </c>
      <c r="N201" s="12" t="n">
        <v>756</v>
      </c>
      <c r="O201" s="12" t="n">
        <v>0</v>
      </c>
      <c r="P201" s="12" t="n">
        <v>39369</v>
      </c>
    </row>
    <row r="202" customFormat="false" ht="15.75" hidden="false" customHeight="false" outlineLevel="0" collapsed="false">
      <c r="B202" s="9" t="s">
        <v>15</v>
      </c>
      <c r="C202" s="10" t="s">
        <v>16</v>
      </c>
      <c r="D202" s="10" t="s">
        <v>226</v>
      </c>
      <c r="E202" s="11" t="str">
        <f aca="false">IF(D202="","",IFERROR(INDEX('CLM &amp; IM Mapping'!$B$2:$B$270,MATCH(TRIM(D202),'CLM &amp; IM Mapping'!$A$2:$A$270,0)),"Not Mapped"))</f>
        <v>Arun Raj</v>
      </c>
      <c r="F202" s="11" t="str">
        <f aca="false">IF(D202="","",IFERROR(INDEX('CLM &amp; IM Mapping'!$C$2:$C$270,MATCH(TRIM(D202),'CLM &amp; IM Mapping'!$A$2:$A$270,0)),"Not Mapped"))</f>
        <v>Simon Manoharan</v>
      </c>
      <c r="G202" s="10" t="s">
        <v>22</v>
      </c>
      <c r="H202" s="12" t="n">
        <v>-19616</v>
      </c>
      <c r="I202" s="12" t="n">
        <v>15330</v>
      </c>
      <c r="J202" s="12" t="n">
        <v>0</v>
      </c>
      <c r="K202" s="12" t="n">
        <v>490</v>
      </c>
      <c r="L202" s="12" t="n">
        <v>1353</v>
      </c>
      <c r="M202" s="12" t="n">
        <v>0</v>
      </c>
      <c r="N202" s="12" t="n">
        <v>0</v>
      </c>
      <c r="O202" s="12" t="n">
        <v>0</v>
      </c>
      <c r="P202" s="12" t="n">
        <v>-2443</v>
      </c>
    </row>
    <row r="203" customFormat="false" ht="15.75" hidden="false" customHeight="false" outlineLevel="0" collapsed="false">
      <c r="B203" s="9" t="s">
        <v>15</v>
      </c>
      <c r="C203" s="10" t="s">
        <v>16</v>
      </c>
      <c r="D203" s="9" t="s">
        <v>227</v>
      </c>
      <c r="E203" s="11" t="str">
        <f aca="false">IF(D203="","",IFERROR(INDEX('CLM &amp; IM Mapping'!$B$2:$B$270,MATCH(TRIM(D203),'CLM &amp; IM Mapping'!$A$2:$A$270,0)),"Not Mapped"))</f>
        <v>Mohaideen DH</v>
      </c>
      <c r="F203" s="11" t="str">
        <f aca="false">IF(D203="","",IFERROR(INDEX('CLM &amp; IM Mapping'!$C$2:$C$270,MATCH(TRIM(D203),'CLM &amp; IM Mapping'!$A$2:$A$270,0)),"Not Mapped"))</f>
        <v>Mohammed Akbar</v>
      </c>
      <c r="G203" s="10" t="s">
        <v>18</v>
      </c>
      <c r="H203" s="12" t="n">
        <v>805</v>
      </c>
      <c r="I203" s="12" t="n">
        <v>3126</v>
      </c>
      <c r="J203" s="12" t="n">
        <v>0</v>
      </c>
      <c r="K203" s="12" t="n">
        <v>180</v>
      </c>
      <c r="L203" s="12" t="n">
        <v>16</v>
      </c>
      <c r="M203" s="12" t="n">
        <v>0</v>
      </c>
      <c r="N203" s="12" t="n">
        <v>2753</v>
      </c>
      <c r="O203" s="12" t="n">
        <v>0</v>
      </c>
      <c r="P203" s="12" t="n">
        <v>6880</v>
      </c>
    </row>
    <row r="204" customFormat="false" ht="15.75" hidden="false" customHeight="false" outlineLevel="0" collapsed="false">
      <c r="B204" s="9" t="s">
        <v>15</v>
      </c>
      <c r="C204" s="10" t="s">
        <v>228</v>
      </c>
      <c r="D204" s="9" t="s">
        <v>229</v>
      </c>
      <c r="E204" s="11" t="str">
        <f aca="false">IF(D204="","",IFERROR(INDEX('CLM &amp; IM Mapping'!$B$2:$B$270,MATCH(TRIM(D204),'CLM &amp; IM Mapping'!$A$2:$A$270,0)),"Not Mapped"))</f>
        <v>Bangareppa CS</v>
      </c>
      <c r="F204" s="11" t="str">
        <f aca="false">IF(D204="","",IFERROR(INDEX('CLM &amp; IM Mapping'!$C$2:$C$270,MATCH(TRIM(D204),'CLM &amp; IM Mapping'!$A$2:$A$270,0)),"Not Mapped"))</f>
        <v>Kishor K</v>
      </c>
      <c r="G204" s="10" t="s">
        <v>18</v>
      </c>
      <c r="H204" s="12" t="n">
        <v>-17927</v>
      </c>
      <c r="I204" s="12" t="n">
        <v>8661</v>
      </c>
      <c r="J204" s="12" t="n">
        <v>0</v>
      </c>
      <c r="K204" s="12" t="n">
        <v>0</v>
      </c>
      <c r="L204" s="12" t="n">
        <v>545</v>
      </c>
      <c r="M204" s="12" t="n">
        <v>0</v>
      </c>
      <c r="N204" s="12" t="n">
        <v>7164</v>
      </c>
      <c r="O204" s="12" t="n">
        <v>0</v>
      </c>
      <c r="P204" s="12" t="n">
        <v>-1558</v>
      </c>
    </row>
    <row r="205" customFormat="false" ht="15.75" hidden="false" customHeight="false" outlineLevel="0" collapsed="false">
      <c r="B205" s="9" t="s">
        <v>15</v>
      </c>
      <c r="C205" s="10" t="s">
        <v>44</v>
      </c>
      <c r="D205" s="9" t="s">
        <v>230</v>
      </c>
      <c r="E205" s="11" t="str">
        <f aca="false">IF(D205="","",IFERROR(INDEX('CLM &amp; IM Mapping'!$B$2:$B$270,MATCH(TRIM(D205),'CLM &amp; IM Mapping'!$A$2:$A$270,0)),"Not Mapped"))</f>
        <v>Vishnu V</v>
      </c>
      <c r="F205" s="11" t="str">
        <f aca="false">IF(D205="","",IFERROR(INDEX('CLM &amp; IM Mapping'!$C$2:$C$270,MATCH(TRIM(D205),'CLM &amp; IM Mapping'!$A$2:$A$270,0)),"Not Mapped"))</f>
        <v>Arivind S</v>
      </c>
      <c r="G205" s="10" t="s">
        <v>18</v>
      </c>
      <c r="H205" s="12" t="n">
        <v>-10618</v>
      </c>
      <c r="I205" s="12" t="n">
        <v>4246</v>
      </c>
      <c r="J205" s="12" t="n">
        <v>1571</v>
      </c>
      <c r="K205" s="12" t="n">
        <v>258</v>
      </c>
      <c r="L205" s="12" t="n">
        <v>925</v>
      </c>
      <c r="M205" s="12" t="n">
        <v>0</v>
      </c>
      <c r="N205" s="12" t="n">
        <v>0</v>
      </c>
      <c r="O205" s="12" t="n">
        <v>0</v>
      </c>
      <c r="P205" s="12" t="n">
        <v>-3618</v>
      </c>
    </row>
    <row r="206" customFormat="false" ht="15.75" hidden="false" customHeight="false" outlineLevel="0" collapsed="false">
      <c r="B206" s="9" t="s">
        <v>15</v>
      </c>
      <c r="C206" s="10" t="s">
        <v>16</v>
      </c>
      <c r="D206" s="9" t="s">
        <v>231</v>
      </c>
      <c r="E206" s="11" t="str">
        <f aca="false">IF(D206="","",IFERROR(INDEX('CLM &amp; IM Mapping'!$B$2:$B$270,MATCH(TRIM(D206),'CLM &amp; IM Mapping'!$A$2:$A$270,0)),"Not Mapped"))</f>
        <v>Narasimhamurthy R</v>
      </c>
      <c r="F206" s="11" t="str">
        <f aca="false">IF(D206="","",IFERROR(INDEX('CLM &amp; IM Mapping'!$C$2:$C$270,MATCH(TRIM(D206),'CLM &amp; IM Mapping'!$A$2:$A$270,0)),"Not Mapped"))</f>
        <v>Kishor K</v>
      </c>
      <c r="G206" s="10" t="s">
        <v>18</v>
      </c>
      <c r="H206" s="12" t="n">
        <v>-7144</v>
      </c>
      <c r="I206" s="12" t="n">
        <v>933</v>
      </c>
      <c r="J206" s="12" t="n">
        <v>0</v>
      </c>
      <c r="K206" s="12" t="n">
        <v>0</v>
      </c>
      <c r="L206" s="12" t="n">
        <v>0</v>
      </c>
      <c r="M206" s="12" t="n">
        <v>0</v>
      </c>
      <c r="N206" s="12" t="n">
        <v>61</v>
      </c>
      <c r="O206" s="12" t="n">
        <v>0</v>
      </c>
      <c r="P206" s="12" t="n">
        <v>-6150</v>
      </c>
    </row>
    <row r="207" customFormat="false" ht="15.75" hidden="false" customHeight="false" outlineLevel="0" collapsed="false">
      <c r="B207" s="9" t="s">
        <v>15</v>
      </c>
      <c r="C207" s="10" t="s">
        <v>16</v>
      </c>
      <c r="D207" s="9" t="s">
        <v>232</v>
      </c>
      <c r="E207" s="11" t="str">
        <f aca="false">IF(D207="","",IFERROR(INDEX('CLM &amp; IM Mapping'!$B$2:$B$270,MATCH(TRIM(D207),'CLM &amp; IM Mapping'!$A$2:$A$270,0)),"Not Mapped"))</f>
        <v>Sundaresh S</v>
      </c>
      <c r="F207" s="11" t="str">
        <f aca="false">IF(D207="","",IFERROR(INDEX('CLM &amp; IM Mapping'!$C$2:$C$270,MATCH(TRIM(D207),'CLM &amp; IM Mapping'!$A$2:$A$270,0)),"Not Mapped"))</f>
        <v>Un Mapped</v>
      </c>
      <c r="G207" s="10" t="s">
        <v>18</v>
      </c>
      <c r="H207" s="12" t="n">
        <v>-46491</v>
      </c>
      <c r="I207" s="12" t="n">
        <v>6605</v>
      </c>
      <c r="J207" s="12" t="n">
        <v>1245</v>
      </c>
      <c r="K207" s="12" t="n">
        <v>0</v>
      </c>
      <c r="L207" s="12" t="n">
        <v>1245</v>
      </c>
      <c r="M207" s="12" t="n">
        <v>0</v>
      </c>
      <c r="N207" s="12" t="n">
        <v>0</v>
      </c>
      <c r="O207" s="12" t="n">
        <v>0</v>
      </c>
      <c r="P207" s="12" t="n">
        <v>-37396</v>
      </c>
    </row>
    <row r="208" customFormat="false" ht="15.75" hidden="false" customHeight="false" outlineLevel="0" collapsed="false">
      <c r="B208" s="9" t="s">
        <v>15</v>
      </c>
      <c r="C208" s="10" t="s">
        <v>16</v>
      </c>
      <c r="D208" s="9" t="s">
        <v>233</v>
      </c>
      <c r="E208" s="11" t="str">
        <f aca="false">IF(D208="","",IFERROR(INDEX('CLM &amp; IM Mapping'!$B$2:$B$270,MATCH(TRIM(D208),'CLM &amp; IM Mapping'!$A$2:$A$270,0)),"Not Mapped"))</f>
        <v>Arun Raj</v>
      </c>
      <c r="F208" s="11" t="str">
        <f aca="false">IF(D208="","",IFERROR(INDEX('CLM &amp; IM Mapping'!$C$2:$C$270,MATCH(TRIM(D208),'CLM &amp; IM Mapping'!$A$2:$A$270,0)),"Not Mapped"))</f>
        <v>Simon Manoharan</v>
      </c>
      <c r="G208" s="10" t="s">
        <v>22</v>
      </c>
      <c r="H208" s="12" t="n">
        <v>462</v>
      </c>
      <c r="I208" s="12" t="n">
        <v>23403</v>
      </c>
      <c r="J208" s="12" t="n">
        <v>0</v>
      </c>
      <c r="K208" s="12" t="n">
        <v>0</v>
      </c>
      <c r="L208" s="12" t="n">
        <v>4786</v>
      </c>
      <c r="M208" s="12" t="n">
        <v>0</v>
      </c>
      <c r="N208" s="12" t="n">
        <v>0</v>
      </c>
      <c r="O208" s="12" t="n">
        <v>0</v>
      </c>
      <c r="P208" s="12" t="n">
        <v>28651</v>
      </c>
    </row>
    <row r="209" customFormat="false" ht="15.75" hidden="false" customHeight="false" outlineLevel="0" collapsed="false">
      <c r="B209" s="9" t="s">
        <v>15</v>
      </c>
      <c r="C209" s="10" t="s">
        <v>16</v>
      </c>
      <c r="D209" s="9" t="s">
        <v>234</v>
      </c>
      <c r="E209" s="11" t="str">
        <f aca="false">IF(D209="","",IFERROR(INDEX('CLM &amp; IM Mapping'!$B$2:$B$270,MATCH(TRIM(D209),'CLM &amp; IM Mapping'!$A$2:$A$270,0)),"Not Mapped"))</f>
        <v>Silambarasan E</v>
      </c>
      <c r="F209" s="11" t="str">
        <f aca="false">IF(D209="","",IFERROR(INDEX('CLM &amp; IM Mapping'!$C$2:$C$270,MATCH(TRIM(D209),'CLM &amp; IM Mapping'!$A$2:$A$270,0)),"Not Mapped"))</f>
        <v>Arivind S</v>
      </c>
      <c r="G209" s="10" t="s">
        <v>18</v>
      </c>
      <c r="H209" s="12" t="n">
        <v>18883</v>
      </c>
      <c r="I209" s="12" t="n">
        <v>7350</v>
      </c>
      <c r="J209" s="12" t="n">
        <v>1000</v>
      </c>
      <c r="K209" s="12" t="n">
        <v>615</v>
      </c>
      <c r="L209" s="12" t="n">
        <v>501</v>
      </c>
      <c r="M209" s="12" t="n">
        <v>0</v>
      </c>
      <c r="N209" s="12" t="n">
        <v>0</v>
      </c>
      <c r="O209" s="12" t="n">
        <v>0</v>
      </c>
      <c r="P209" s="12" t="n">
        <v>28349</v>
      </c>
    </row>
    <row r="210" customFormat="false" ht="15.75" hidden="false" customHeight="false" outlineLevel="0" collapsed="false">
      <c r="B210" s="9" t="s">
        <v>15</v>
      </c>
      <c r="C210" s="10" t="s">
        <v>16</v>
      </c>
      <c r="D210" s="9" t="s">
        <v>235</v>
      </c>
      <c r="E210" s="11" t="str">
        <f aca="false">IF(D210="","",IFERROR(INDEX('CLM &amp; IM Mapping'!$B$2:$B$270,MATCH(TRIM(D210),'CLM &amp; IM Mapping'!$A$2:$A$270,0)),"Not Mapped"))</f>
        <v>Ravishankar gowda</v>
      </c>
      <c r="F210" s="11" t="str">
        <f aca="false">IF(D210="","",IFERROR(INDEX('CLM &amp; IM Mapping'!$C$2:$C$270,MATCH(TRIM(D210),'CLM &amp; IM Mapping'!$A$2:$A$270,0)),"Not Mapped"))</f>
        <v>Kishor K</v>
      </c>
      <c r="G210" s="10" t="s">
        <v>18</v>
      </c>
      <c r="H210" s="12" t="n">
        <v>-5924</v>
      </c>
      <c r="I210" s="12" t="n">
        <v>1578</v>
      </c>
      <c r="J210" s="12" t="n">
        <v>0</v>
      </c>
      <c r="K210" s="12" t="n">
        <v>0</v>
      </c>
      <c r="L210" s="12" t="n">
        <v>167</v>
      </c>
      <c r="M210" s="12" t="n">
        <v>0</v>
      </c>
      <c r="N210" s="12" t="n">
        <v>0</v>
      </c>
      <c r="O210" s="12" t="n">
        <v>0</v>
      </c>
      <c r="P210" s="12" t="n">
        <v>-4178</v>
      </c>
    </row>
    <row r="211" customFormat="false" ht="15.75" hidden="false" customHeight="false" outlineLevel="0" collapsed="false">
      <c r="B211" s="9" t="s">
        <v>15</v>
      </c>
      <c r="C211" s="10" t="s">
        <v>16</v>
      </c>
      <c r="D211" s="9" t="s">
        <v>236</v>
      </c>
      <c r="E211" s="11" t="str">
        <f aca="false">IF(D211="","",IFERROR(INDEX('CLM &amp; IM Mapping'!$B$2:$B$270,MATCH(TRIM(D211),'CLM &amp; IM Mapping'!$A$2:$A$270,0)),"Not Mapped"))</f>
        <v>Balaji G</v>
      </c>
      <c r="F211" s="11" t="str">
        <f aca="false">IF(D211="","",IFERROR(INDEX('CLM &amp; IM Mapping'!$C$2:$C$270,MATCH(TRIM(D211),'CLM &amp; IM Mapping'!$A$2:$A$270,0)),"Not Mapped"))</f>
        <v>Mohammed Akbar</v>
      </c>
      <c r="G211" s="10" t="s">
        <v>18</v>
      </c>
      <c r="H211" s="12" t="n">
        <v>3171</v>
      </c>
      <c r="I211" s="12" t="n">
        <v>31819</v>
      </c>
      <c r="J211" s="12" t="n">
        <v>2882</v>
      </c>
      <c r="K211" s="12" t="n">
        <v>3955</v>
      </c>
      <c r="L211" s="12" t="n">
        <v>1745</v>
      </c>
      <c r="M211" s="12" t="n">
        <v>0</v>
      </c>
      <c r="N211" s="12" t="n">
        <v>0</v>
      </c>
      <c r="O211" s="12" t="n">
        <v>0</v>
      </c>
      <c r="P211" s="12" t="n">
        <v>43571</v>
      </c>
    </row>
    <row r="212" customFormat="false" ht="15.75" hidden="false" customHeight="false" outlineLevel="0" collapsed="false">
      <c r="B212" s="9" t="s">
        <v>15</v>
      </c>
      <c r="C212" s="10" t="s">
        <v>16</v>
      </c>
      <c r="D212" s="9" t="s">
        <v>237</v>
      </c>
      <c r="E212" s="11" t="str">
        <f aca="false">IF(D212="","",IFERROR(INDEX('CLM &amp; IM Mapping'!$B$2:$B$270,MATCH(TRIM(D212),'CLM &amp; IM Mapping'!$A$2:$A$270,0)),"Not Mapped"))</f>
        <v>Ravishankar gowda</v>
      </c>
      <c r="F212" s="11" t="str">
        <f aca="false">IF(D212="","",IFERROR(INDEX('CLM &amp; IM Mapping'!$C$2:$C$270,MATCH(TRIM(D212),'CLM &amp; IM Mapping'!$A$2:$A$270,0)),"Not Mapped"))</f>
        <v>Kishor K</v>
      </c>
      <c r="G212" s="10" t="s">
        <v>18</v>
      </c>
      <c r="H212" s="12" t="n">
        <v>-8308</v>
      </c>
      <c r="I212" s="12" t="n">
        <v>5468</v>
      </c>
      <c r="J212" s="12" t="n">
        <v>0</v>
      </c>
      <c r="K212" s="12" t="n">
        <v>0</v>
      </c>
      <c r="L212" s="12" t="n">
        <v>0</v>
      </c>
      <c r="M212" s="12" t="n">
        <v>0</v>
      </c>
      <c r="N212" s="12" t="n">
        <v>0</v>
      </c>
      <c r="O212" s="12" t="n">
        <v>0</v>
      </c>
      <c r="P212" s="12" t="n">
        <v>-2840</v>
      </c>
    </row>
    <row r="213" customFormat="false" ht="15.75" hidden="false" customHeight="false" outlineLevel="0" collapsed="false">
      <c r="B213" s="9" t="s">
        <v>15</v>
      </c>
      <c r="C213" s="10" t="s">
        <v>228</v>
      </c>
      <c r="D213" s="10" t="s">
        <v>238</v>
      </c>
      <c r="E213" s="11" t="str">
        <f aca="false">IF(D213="","",IFERROR(INDEX('CLM &amp; IM Mapping'!$B$2:$B$270,MATCH(TRIM(D213),'CLM &amp; IM Mapping'!$A$2:$A$270,0)),"Not Mapped"))</f>
        <v>Bangareppa CS</v>
      </c>
      <c r="F213" s="11" t="str">
        <f aca="false">IF(D213="","",IFERROR(INDEX('CLM &amp; IM Mapping'!$C$2:$C$270,MATCH(TRIM(D213),'CLM &amp; IM Mapping'!$A$2:$A$270,0)),"Not Mapped"))</f>
        <v>Kishor K</v>
      </c>
      <c r="G213" s="10" t="s">
        <v>18</v>
      </c>
      <c r="H213" s="12" t="n">
        <v>-8069</v>
      </c>
      <c r="I213" s="12" t="n">
        <v>5498</v>
      </c>
      <c r="J213" s="12" t="n">
        <v>0</v>
      </c>
      <c r="K213" s="12" t="n">
        <v>0</v>
      </c>
      <c r="L213" s="12" t="n">
        <v>417</v>
      </c>
      <c r="M213" s="12" t="n">
        <v>0</v>
      </c>
      <c r="N213" s="12" t="n">
        <v>0</v>
      </c>
      <c r="O213" s="12" t="n">
        <v>0</v>
      </c>
      <c r="P213" s="12" t="n">
        <v>-2154</v>
      </c>
    </row>
    <row r="214" customFormat="false" ht="15.75" hidden="false" customHeight="false" outlineLevel="0" collapsed="false">
      <c r="B214" s="9" t="s">
        <v>15</v>
      </c>
      <c r="C214" s="10" t="s">
        <v>16</v>
      </c>
      <c r="D214" s="9" t="s">
        <v>239</v>
      </c>
      <c r="E214" s="11" t="str">
        <f aca="false">IF(D214="","",IFERROR(INDEX('CLM &amp; IM Mapping'!$B$2:$B$270,MATCH(TRIM(D214),'CLM &amp; IM Mapping'!$A$2:$A$270,0)),"Not Mapped"))</f>
        <v>Silambarasan E</v>
      </c>
      <c r="F214" s="11" t="str">
        <f aca="false">IF(D214="","",IFERROR(INDEX('CLM &amp; IM Mapping'!$C$2:$C$270,MATCH(TRIM(D214),'CLM &amp; IM Mapping'!$A$2:$A$270,0)),"Not Mapped"))</f>
        <v>Arivind S</v>
      </c>
      <c r="G214" s="10" t="s">
        <v>18</v>
      </c>
      <c r="H214" s="12" t="n">
        <v>13995</v>
      </c>
      <c r="I214" s="12" t="n">
        <v>11558</v>
      </c>
      <c r="J214" s="12" t="n">
        <v>415</v>
      </c>
      <c r="K214" s="12" t="n">
        <v>828</v>
      </c>
      <c r="L214" s="12" t="n">
        <v>1365</v>
      </c>
      <c r="M214" s="12" t="n">
        <v>0</v>
      </c>
      <c r="N214" s="12" t="n">
        <v>2031</v>
      </c>
      <c r="O214" s="12" t="n">
        <v>9909</v>
      </c>
      <c r="P214" s="12" t="n">
        <v>40101</v>
      </c>
    </row>
    <row r="215" customFormat="false" ht="15.75" hidden="false" customHeight="false" outlineLevel="0" collapsed="false">
      <c r="B215" s="9" t="s">
        <v>15</v>
      </c>
      <c r="C215" s="10" t="s">
        <v>16</v>
      </c>
      <c r="D215" s="9" t="s">
        <v>240</v>
      </c>
      <c r="E215" s="11" t="str">
        <f aca="false">IF(D215="","",IFERROR(INDEX('CLM &amp; IM Mapping'!$B$2:$B$270,MATCH(TRIM(D215),'CLM &amp; IM Mapping'!$A$2:$A$270,0)),"Not Mapped"))</f>
        <v>Richard Harris</v>
      </c>
      <c r="F215" s="11" t="str">
        <f aca="false">IF(D215="","",IFERROR(INDEX('CLM &amp; IM Mapping'!$C$2:$C$270,MATCH(TRIM(D215),'CLM &amp; IM Mapping'!$A$2:$A$270,0)),"Not Mapped"))</f>
        <v>Kantha Kumar</v>
      </c>
      <c r="G215" s="10" t="s">
        <v>18</v>
      </c>
      <c r="H215" s="12" t="n">
        <v>-9479</v>
      </c>
      <c r="I215" s="12" t="n">
        <v>3869</v>
      </c>
      <c r="J215" s="12" t="n">
        <v>0</v>
      </c>
      <c r="K215" s="12" t="n">
        <v>0</v>
      </c>
      <c r="L215" s="12" t="n">
        <v>652</v>
      </c>
      <c r="M215" s="12" t="n">
        <v>0</v>
      </c>
      <c r="N215" s="12" t="n">
        <v>4320</v>
      </c>
      <c r="O215" s="12" t="n">
        <v>0</v>
      </c>
      <c r="P215" s="12" t="n">
        <v>-638</v>
      </c>
    </row>
    <row r="216" customFormat="false" ht="15.75" hidden="false" customHeight="false" outlineLevel="0" collapsed="false">
      <c r="B216" s="9" t="s">
        <v>15</v>
      </c>
      <c r="C216" s="10" t="s">
        <v>16</v>
      </c>
      <c r="D216" s="9" t="s">
        <v>241</v>
      </c>
      <c r="E216" s="11" t="str">
        <f aca="false">IF(D216="","",IFERROR(INDEX('CLM &amp; IM Mapping'!$B$2:$B$270,MATCH(TRIM(D216),'CLM &amp; IM Mapping'!$A$2:$A$270,0)),"Not Mapped"))</f>
        <v>Arun Raj</v>
      </c>
      <c r="F216" s="11" t="str">
        <f aca="false">IF(D216="","",IFERROR(INDEX('CLM &amp; IM Mapping'!$C$2:$C$270,MATCH(TRIM(D216),'CLM &amp; IM Mapping'!$A$2:$A$270,0)),"Not Mapped"))</f>
        <v>Simon Manoharan</v>
      </c>
      <c r="G216" s="10" t="s">
        <v>22</v>
      </c>
      <c r="H216" s="12" t="n">
        <v>-4601</v>
      </c>
      <c r="I216" s="12" t="n">
        <v>1560</v>
      </c>
      <c r="J216" s="12" t="n">
        <v>0</v>
      </c>
      <c r="K216" s="12" t="n">
        <v>69</v>
      </c>
      <c r="L216" s="12" t="n">
        <v>1727</v>
      </c>
      <c r="M216" s="12" t="n">
        <v>0</v>
      </c>
      <c r="N216" s="12" t="n">
        <v>0</v>
      </c>
      <c r="O216" s="12" t="n">
        <v>0</v>
      </c>
      <c r="P216" s="12" t="n">
        <v>-1245</v>
      </c>
    </row>
    <row r="217" customFormat="false" ht="15.75" hidden="false" customHeight="false" outlineLevel="0" collapsed="false">
      <c r="B217" s="9" t="s">
        <v>15</v>
      </c>
      <c r="C217" s="10" t="s">
        <v>16</v>
      </c>
      <c r="D217" s="10" t="s">
        <v>242</v>
      </c>
      <c r="E217" s="11" t="str">
        <f aca="false">IF(D217="","",IFERROR(INDEX('CLM &amp; IM Mapping'!$B$2:$B$270,MATCH(TRIM(D217),'CLM &amp; IM Mapping'!$A$2:$A$270,0)),"Not Mapped"))</f>
        <v>Ashwath S</v>
      </c>
      <c r="F217" s="11" t="str">
        <f aca="false">IF(D217="","",IFERROR(INDEX('CLM &amp; IM Mapping'!$C$2:$C$270,MATCH(TRIM(D217),'CLM &amp; IM Mapping'!$A$2:$A$270,0)),"Not Mapped"))</f>
        <v>Kantha Kumar</v>
      </c>
      <c r="G217" s="10" t="s">
        <v>18</v>
      </c>
      <c r="H217" s="12" t="n">
        <v>28774</v>
      </c>
      <c r="I217" s="12" t="n">
        <v>10857</v>
      </c>
      <c r="J217" s="12" t="n">
        <v>0</v>
      </c>
      <c r="K217" s="12" t="n">
        <v>0</v>
      </c>
      <c r="L217" s="12" t="n">
        <v>49</v>
      </c>
      <c r="M217" s="12" t="n">
        <v>0</v>
      </c>
      <c r="N217" s="12" t="n">
        <v>0</v>
      </c>
      <c r="O217" s="12" t="n">
        <v>0</v>
      </c>
      <c r="P217" s="12" t="n">
        <v>39679</v>
      </c>
    </row>
    <row r="218" customFormat="false" ht="15.75" hidden="false" customHeight="false" outlineLevel="0" collapsed="false">
      <c r="B218" s="9" t="s">
        <v>15</v>
      </c>
      <c r="C218" s="10" t="s">
        <v>31</v>
      </c>
      <c r="D218" s="9" t="s">
        <v>243</v>
      </c>
      <c r="E218" s="11" t="str">
        <f aca="false">IF(D218="","",IFERROR(INDEX('CLM &amp; IM Mapping'!$B$2:$B$270,MATCH(TRIM(D218),'CLM &amp; IM Mapping'!$A$2:$A$270,0)),"Not Mapped"))</f>
        <v>Santhosha M</v>
      </c>
      <c r="F218" s="11" t="str">
        <f aca="false">IF(D218="","",IFERROR(INDEX('CLM &amp; IM Mapping'!$C$2:$C$270,MATCH(TRIM(D218),'CLM &amp; IM Mapping'!$A$2:$A$270,0)),"Not Mapped"))</f>
        <v>Aravind S</v>
      </c>
      <c r="G218" s="10" t="s">
        <v>18</v>
      </c>
      <c r="H218" s="12" t="n">
        <v>-15689</v>
      </c>
      <c r="I218" s="12" t="n">
        <v>91</v>
      </c>
      <c r="J218" s="12" t="n">
        <v>0</v>
      </c>
      <c r="K218" s="12" t="n">
        <v>0</v>
      </c>
      <c r="L218" s="12" t="n">
        <v>63</v>
      </c>
      <c r="M218" s="12" t="n">
        <v>0</v>
      </c>
      <c r="N218" s="12" t="n">
        <v>0</v>
      </c>
      <c r="O218" s="12" t="n">
        <v>0</v>
      </c>
      <c r="P218" s="12" t="n">
        <v>-15536</v>
      </c>
    </row>
    <row r="219" customFormat="false" ht="15.75" hidden="false" customHeight="false" outlineLevel="0" collapsed="false">
      <c r="B219" s="9" t="s">
        <v>15</v>
      </c>
      <c r="C219" s="10" t="s">
        <v>16</v>
      </c>
      <c r="D219" s="9" t="s">
        <v>244</v>
      </c>
      <c r="E219" s="11" t="str">
        <f aca="false">IF(D219="","",IFERROR(INDEX('CLM &amp; IM Mapping'!$B$2:$B$270,MATCH(TRIM(D219),'CLM &amp; IM Mapping'!$A$2:$A$270,0)),"Not Mapped"))</f>
        <v>Balaji G</v>
      </c>
      <c r="F219" s="11" t="str">
        <f aca="false">IF(D219="","",IFERROR(INDEX('CLM &amp; IM Mapping'!$C$2:$C$270,MATCH(TRIM(D219),'CLM &amp; IM Mapping'!$A$2:$A$270,0)),"Not Mapped"))</f>
        <v>Mohammed Akbar</v>
      </c>
      <c r="G219" s="10" t="s">
        <v>18</v>
      </c>
      <c r="H219" s="12" t="n">
        <v>5392</v>
      </c>
      <c r="I219" s="12" t="n">
        <v>3343</v>
      </c>
      <c r="J219" s="12" t="n">
        <v>207</v>
      </c>
      <c r="K219" s="12" t="n">
        <v>0</v>
      </c>
      <c r="L219" s="12" t="n">
        <v>226</v>
      </c>
      <c r="M219" s="12" t="n">
        <v>0</v>
      </c>
      <c r="N219" s="12" t="n">
        <v>297</v>
      </c>
      <c r="O219" s="12" t="n">
        <v>0</v>
      </c>
      <c r="P219" s="12" t="n">
        <v>9465</v>
      </c>
    </row>
    <row r="220" customFormat="false" ht="15.75" hidden="false" customHeight="false" outlineLevel="0" collapsed="false">
      <c r="B220" s="9" t="s">
        <v>15</v>
      </c>
      <c r="C220" s="10" t="s">
        <v>16</v>
      </c>
      <c r="D220" s="9" t="s">
        <v>245</v>
      </c>
      <c r="E220" s="11" t="str">
        <f aca="false">IF(D220="","",IFERROR(INDEX('CLM &amp; IM Mapping'!$B$2:$B$270,MATCH(TRIM(D220),'CLM &amp; IM Mapping'!$A$2:$A$270,0)),"Not Mapped"))</f>
        <v>Rizwan Ahmed</v>
      </c>
      <c r="F220" s="11" t="str">
        <f aca="false">IF(D220="","",IFERROR(INDEX('CLM &amp; IM Mapping'!$C$2:$C$270,MATCH(TRIM(D220),'CLM &amp; IM Mapping'!$A$2:$A$270,0)),"Not Mapped"))</f>
        <v>Prakash BS</v>
      </c>
      <c r="G220" s="10" t="s">
        <v>18</v>
      </c>
      <c r="H220" s="12" t="n">
        <v>-8700</v>
      </c>
      <c r="I220" s="12" t="n">
        <v>11408</v>
      </c>
      <c r="J220" s="12" t="n">
        <v>0</v>
      </c>
      <c r="K220" s="12" t="n">
        <v>0</v>
      </c>
      <c r="L220" s="12" t="n">
        <v>6176</v>
      </c>
      <c r="M220" s="12" t="n">
        <v>0</v>
      </c>
      <c r="N220" s="12" t="n">
        <v>0</v>
      </c>
      <c r="O220" s="12" t="n">
        <v>0</v>
      </c>
      <c r="P220" s="12" t="n">
        <v>8883</v>
      </c>
    </row>
    <row r="221" customFormat="false" ht="15.75" hidden="false" customHeight="false" outlineLevel="0" collapsed="false">
      <c r="B221" s="9" t="s">
        <v>15</v>
      </c>
      <c r="C221" s="10" t="s">
        <v>16</v>
      </c>
      <c r="D221" s="9" t="s">
        <v>246</v>
      </c>
      <c r="E221" s="11" t="str">
        <f aca="false">IF(D221="","",IFERROR(INDEX('CLM &amp; IM Mapping'!$B$2:$B$270,MATCH(TRIM(D221),'CLM &amp; IM Mapping'!$A$2:$A$270,0)),"Not Mapped"))</f>
        <v>Adhavan Subramani</v>
      </c>
      <c r="F221" s="11" t="str">
        <f aca="false">IF(D221="","",IFERROR(INDEX('CLM &amp; IM Mapping'!$C$2:$C$270,MATCH(TRIM(D221),'CLM &amp; IM Mapping'!$A$2:$A$270,0)),"Not Mapped"))</f>
        <v>Mohammed Akbar</v>
      </c>
      <c r="G221" s="10" t="s">
        <v>18</v>
      </c>
      <c r="H221" s="12" t="n">
        <v>30178</v>
      </c>
      <c r="I221" s="12" t="n">
        <v>6153</v>
      </c>
      <c r="J221" s="12" t="n">
        <v>0</v>
      </c>
      <c r="K221" s="12" t="n">
        <v>3968</v>
      </c>
      <c r="L221" s="12" t="n">
        <v>810</v>
      </c>
      <c r="M221" s="12" t="n">
        <v>0</v>
      </c>
      <c r="N221" s="12" t="n">
        <v>0</v>
      </c>
      <c r="O221" s="12" t="n">
        <v>0</v>
      </c>
      <c r="P221" s="12" t="n">
        <v>41109</v>
      </c>
    </row>
    <row r="222" customFormat="false" ht="15.75" hidden="false" customHeight="false" outlineLevel="0" collapsed="false">
      <c r="B222" s="9" t="s">
        <v>15</v>
      </c>
      <c r="C222" s="10" t="s">
        <v>16</v>
      </c>
      <c r="D222" s="10" t="s">
        <v>247</v>
      </c>
      <c r="E222" s="11" t="str">
        <f aca="false">IF(D222="","",IFERROR(INDEX('CLM &amp; IM Mapping'!$B$2:$B$270,MATCH(TRIM(D222),'CLM &amp; IM Mapping'!$A$2:$A$270,0)),"Not Mapped"))</f>
        <v>Manjunatha V</v>
      </c>
      <c r="F222" s="11" t="str">
        <f aca="false">IF(D222="","",IFERROR(INDEX('CLM &amp; IM Mapping'!$C$2:$C$270,MATCH(TRIM(D222),'CLM &amp; IM Mapping'!$A$2:$A$270,0)),"Not Mapped"))</f>
        <v>Un Mapped</v>
      </c>
      <c r="G222" s="10" t="s">
        <v>18</v>
      </c>
      <c r="H222" s="12" t="n">
        <v>-22334</v>
      </c>
      <c r="I222" s="12" t="n">
        <v>3779</v>
      </c>
      <c r="J222" s="12" t="n">
        <v>0</v>
      </c>
      <c r="K222" s="12" t="n">
        <v>0</v>
      </c>
      <c r="L222" s="12" t="n">
        <v>231</v>
      </c>
      <c r="M222" s="12" t="n">
        <v>0</v>
      </c>
      <c r="N222" s="12" t="n">
        <v>0</v>
      </c>
      <c r="O222" s="12" t="n">
        <v>0</v>
      </c>
      <c r="P222" s="12" t="n">
        <v>-18324</v>
      </c>
    </row>
    <row r="223" customFormat="false" ht="15.75" hidden="false" customHeight="false" outlineLevel="0" collapsed="false">
      <c r="B223" s="9" t="s">
        <v>15</v>
      </c>
      <c r="C223" s="10" t="s">
        <v>16</v>
      </c>
      <c r="D223" s="9" t="s">
        <v>248</v>
      </c>
      <c r="E223" s="11" t="str">
        <f aca="false">IF(D223="","",IFERROR(INDEX('CLM &amp; IM Mapping'!$B$2:$B$270,MATCH(TRIM(D223),'CLM &amp; IM Mapping'!$A$2:$A$270,0)),"Not Mapped"))</f>
        <v>Sundaresh S</v>
      </c>
      <c r="F223" s="11" t="str">
        <f aca="false">IF(D223="","",IFERROR(INDEX('CLM &amp; IM Mapping'!$C$2:$C$270,MATCH(TRIM(D223),'CLM &amp; IM Mapping'!$A$2:$A$270,0)),"Not Mapped"))</f>
        <v>Un Mapped</v>
      </c>
      <c r="G223" s="10" t="s">
        <v>18</v>
      </c>
      <c r="H223" s="12" t="n">
        <v>-18091</v>
      </c>
      <c r="I223" s="12" t="n">
        <v>5898</v>
      </c>
      <c r="J223" s="12" t="n">
        <v>0</v>
      </c>
      <c r="K223" s="12" t="n">
        <v>0</v>
      </c>
      <c r="L223" s="12" t="n">
        <v>863</v>
      </c>
      <c r="M223" s="12" t="n">
        <v>0</v>
      </c>
      <c r="N223" s="12" t="n">
        <v>0</v>
      </c>
      <c r="O223" s="12" t="n">
        <v>0</v>
      </c>
      <c r="P223" s="12" t="n">
        <v>-11330</v>
      </c>
    </row>
    <row r="224" customFormat="false" ht="15.75" hidden="false" customHeight="false" outlineLevel="0" collapsed="false">
      <c r="B224" s="9" t="s">
        <v>15</v>
      </c>
      <c r="C224" s="10" t="s">
        <v>16</v>
      </c>
      <c r="D224" s="9" t="s">
        <v>249</v>
      </c>
      <c r="E224" s="11" t="str">
        <f aca="false">IF(D224="","",IFERROR(INDEX('CLM &amp; IM Mapping'!$B$2:$B$270,MATCH(TRIM(D224),'CLM &amp; IM Mapping'!$A$2:$A$270,0)),"Not Mapped"))</f>
        <v>Manoj Kj</v>
      </c>
      <c r="F224" s="11" t="str">
        <f aca="false">IF(D224="","",IFERROR(INDEX('CLM &amp; IM Mapping'!$C$2:$C$270,MATCH(TRIM(D224),'CLM &amp; IM Mapping'!$A$2:$A$270,0)),"Not Mapped"))</f>
        <v>Srittam Dhal</v>
      </c>
      <c r="G224" s="10" t="s">
        <v>18</v>
      </c>
      <c r="H224" s="12" t="n">
        <v>-10049</v>
      </c>
      <c r="I224" s="12" t="n">
        <v>3910</v>
      </c>
      <c r="J224" s="12" t="n">
        <v>0</v>
      </c>
      <c r="K224" s="12" t="n">
        <v>0</v>
      </c>
      <c r="L224" s="12" t="n">
        <v>0</v>
      </c>
      <c r="M224" s="12" t="n">
        <v>0</v>
      </c>
      <c r="N224" s="12" t="n">
        <v>0</v>
      </c>
      <c r="O224" s="12" t="n">
        <v>0</v>
      </c>
      <c r="P224" s="12" t="n">
        <v>-6139</v>
      </c>
    </row>
    <row r="225" customFormat="false" ht="15.75" hidden="false" customHeight="false" outlineLevel="0" collapsed="false">
      <c r="B225" s="9" t="s">
        <v>15</v>
      </c>
      <c r="C225" s="10" t="s">
        <v>47</v>
      </c>
      <c r="D225" s="10" t="s">
        <v>250</v>
      </c>
      <c r="E225" s="11" t="str">
        <f aca="false">IF(D225="","",IFERROR(INDEX('CLM &amp; IM Mapping'!$B$2:$B$270,MATCH(TRIM(D225),'CLM &amp; IM Mapping'!$A$2:$A$270,0)),"Not Mapped"))</f>
        <v>John Britto</v>
      </c>
      <c r="F225" s="11" t="str">
        <f aca="false">IF(D225="","",IFERROR(INDEX('CLM &amp; IM Mapping'!$C$2:$C$270,MATCH(TRIM(D225),'CLM &amp; IM Mapping'!$A$2:$A$270,0)),"Not Mapped"))</f>
        <v>Aravind S</v>
      </c>
      <c r="G225" s="10" t="s">
        <v>18</v>
      </c>
      <c r="H225" s="12" t="n">
        <v>-2375</v>
      </c>
      <c r="I225" s="12" t="n">
        <v>1050</v>
      </c>
      <c r="J225" s="12" t="n">
        <v>0</v>
      </c>
      <c r="K225" s="12" t="n">
        <v>0</v>
      </c>
      <c r="L225" s="12" t="n">
        <v>39</v>
      </c>
      <c r="M225" s="12" t="n">
        <v>0</v>
      </c>
      <c r="N225" s="12" t="n">
        <v>0</v>
      </c>
      <c r="O225" s="12" t="n">
        <v>0</v>
      </c>
      <c r="P225" s="12" t="n">
        <v>-1287</v>
      </c>
    </row>
    <row r="226" customFormat="false" ht="15.75" hidden="false" customHeight="false" outlineLevel="0" collapsed="false">
      <c r="B226" s="9" t="s">
        <v>15</v>
      </c>
      <c r="C226" s="10" t="s">
        <v>16</v>
      </c>
      <c r="D226" s="9" t="s">
        <v>251</v>
      </c>
      <c r="E226" s="11" t="str">
        <f aca="false">IF(D226="","",IFERROR(INDEX('CLM &amp; IM Mapping'!$B$2:$B$270,MATCH(TRIM(D226),'CLM &amp; IM Mapping'!$A$2:$A$270,0)),"Not Mapped"))</f>
        <v>Manjunatha V</v>
      </c>
      <c r="F226" s="11" t="str">
        <f aca="false">IF(D226="","",IFERROR(INDEX('CLM &amp; IM Mapping'!$C$2:$C$270,MATCH(TRIM(D226),'CLM &amp; IM Mapping'!$A$2:$A$270,0)),"Not Mapped"))</f>
        <v>Un Mapped</v>
      </c>
      <c r="G226" s="10" t="s">
        <v>18</v>
      </c>
      <c r="H226" s="12" t="n">
        <v>-30293</v>
      </c>
      <c r="I226" s="12" t="n">
        <v>19556</v>
      </c>
      <c r="J226" s="12" t="n">
        <v>188</v>
      </c>
      <c r="K226" s="12" t="n">
        <v>31331</v>
      </c>
      <c r="L226" s="12" t="n">
        <v>1349</v>
      </c>
      <c r="M226" s="12" t="n">
        <v>0</v>
      </c>
      <c r="N226" s="12" t="n">
        <v>0</v>
      </c>
      <c r="O226" s="12" t="n">
        <v>0</v>
      </c>
      <c r="P226" s="12" t="n">
        <v>22131</v>
      </c>
    </row>
    <row r="227" customFormat="false" ht="15.75" hidden="false" customHeight="false" outlineLevel="0" collapsed="false">
      <c r="B227" s="9" t="s">
        <v>15</v>
      </c>
      <c r="C227" s="10" t="s">
        <v>16</v>
      </c>
      <c r="D227" s="9" t="s">
        <v>252</v>
      </c>
      <c r="E227" s="11" t="str">
        <f aca="false">IF(D227="","",IFERROR(INDEX('CLM &amp; IM Mapping'!$B$2:$B$270,MATCH(TRIM(D227),'CLM &amp; IM Mapping'!$A$2:$A$270,0)),"Not Mapped"))</f>
        <v>Akshay P</v>
      </c>
      <c r="F227" s="11" t="str">
        <f aca="false">IF(D227="","",IFERROR(INDEX('CLM &amp; IM Mapping'!$C$2:$C$270,MATCH(TRIM(D227),'CLM &amp; IM Mapping'!$A$2:$A$270,0)),"Not Mapped"))</f>
        <v>Srittam Dhal</v>
      </c>
      <c r="G227" s="10" t="s">
        <v>18</v>
      </c>
      <c r="H227" s="12" t="n">
        <v>-3150</v>
      </c>
      <c r="I227" s="12" t="n">
        <v>39</v>
      </c>
      <c r="J227" s="12" t="n">
        <v>0</v>
      </c>
      <c r="K227" s="12" t="n">
        <v>0</v>
      </c>
      <c r="L227" s="12" t="n">
        <v>127</v>
      </c>
      <c r="M227" s="12" t="n">
        <v>0</v>
      </c>
      <c r="N227" s="12" t="n">
        <v>0</v>
      </c>
      <c r="O227" s="12" t="n">
        <v>0</v>
      </c>
      <c r="P227" s="12" t="n">
        <v>-2984</v>
      </c>
    </row>
    <row r="228" customFormat="false" ht="15.75" hidden="false" customHeight="false" outlineLevel="0" collapsed="false">
      <c r="B228" s="9" t="s">
        <v>15</v>
      </c>
      <c r="C228" s="10" t="s">
        <v>16</v>
      </c>
      <c r="D228" s="9" t="s">
        <v>253</v>
      </c>
      <c r="E228" s="11" t="str">
        <f aca="false">IF(D228="","",IFERROR(INDEX('CLM &amp; IM Mapping'!$B$2:$B$270,MATCH(TRIM(D228),'CLM &amp; IM Mapping'!$A$2:$A$270,0)),"Not Mapped"))</f>
        <v>Girish N</v>
      </c>
      <c r="F228" s="11" t="str">
        <f aca="false">IF(D228="","",IFERROR(INDEX('CLM &amp; IM Mapping'!$C$2:$C$270,MATCH(TRIM(D228),'CLM &amp; IM Mapping'!$A$2:$A$270,0)),"Not Mapped"))</f>
        <v>Un Mapped</v>
      </c>
      <c r="G228" s="10" t="s">
        <v>18</v>
      </c>
      <c r="H228" s="12" t="n">
        <v>19635</v>
      </c>
      <c r="I228" s="12" t="n">
        <v>18346</v>
      </c>
      <c r="J228" s="12" t="n">
        <v>0</v>
      </c>
      <c r="K228" s="12" t="n">
        <v>292</v>
      </c>
      <c r="L228" s="12" t="n">
        <v>1633</v>
      </c>
      <c r="M228" s="12" t="n">
        <v>0</v>
      </c>
      <c r="N228" s="12" t="n">
        <v>0</v>
      </c>
      <c r="O228" s="12" t="n">
        <v>0</v>
      </c>
      <c r="P228" s="12" t="n">
        <v>39906</v>
      </c>
    </row>
    <row r="229" customFormat="false" ht="15.75" hidden="false" customHeight="false" outlineLevel="0" collapsed="false">
      <c r="B229" s="9" t="s">
        <v>15</v>
      </c>
      <c r="C229" s="10" t="s">
        <v>16</v>
      </c>
      <c r="D229" s="10" t="s">
        <v>254</v>
      </c>
      <c r="E229" s="11" t="str">
        <f aca="false">IF(D229="","",IFERROR(INDEX('CLM &amp; IM Mapping'!$B$2:$B$270,MATCH(TRIM(D229),'CLM &amp; IM Mapping'!$A$2:$A$270,0)),"Not Mapped"))</f>
        <v>Suhas N</v>
      </c>
      <c r="F229" s="11" t="str">
        <f aca="false">IF(D229="","",IFERROR(INDEX('CLM &amp; IM Mapping'!$C$2:$C$270,MATCH(TRIM(D229),'CLM &amp; IM Mapping'!$A$2:$A$270,0)),"Not Mapped"))</f>
        <v>Aravind S</v>
      </c>
      <c r="G229" s="10" t="s">
        <v>18</v>
      </c>
      <c r="H229" s="12" t="n">
        <v>-44048</v>
      </c>
      <c r="I229" s="12" t="n">
        <v>978</v>
      </c>
      <c r="J229" s="12" t="n">
        <v>0</v>
      </c>
      <c r="K229" s="12" t="n">
        <v>184</v>
      </c>
      <c r="L229" s="12" t="n">
        <v>73</v>
      </c>
      <c r="M229" s="12" t="n">
        <v>0</v>
      </c>
      <c r="N229" s="12" t="n">
        <v>0</v>
      </c>
      <c r="O229" s="12" t="n">
        <v>0</v>
      </c>
      <c r="P229" s="12" t="n">
        <v>-42812</v>
      </c>
    </row>
    <row r="230" customFormat="false" ht="15.75" hidden="false" customHeight="false" outlineLevel="0" collapsed="false">
      <c r="B230" s="9" t="s">
        <v>15</v>
      </c>
      <c r="C230" s="10" t="s">
        <v>44</v>
      </c>
      <c r="D230" s="9" t="s">
        <v>255</v>
      </c>
      <c r="E230" s="11" t="str">
        <f aca="false">IF(D230="","",IFERROR(INDEX('CLM &amp; IM Mapping'!$B$2:$B$270,MATCH(TRIM(D230),'CLM &amp; IM Mapping'!$A$2:$A$270,0)),"Not Mapped"))</f>
        <v>Vishnu V</v>
      </c>
      <c r="F230" s="11" t="str">
        <f aca="false">IF(D230="","",IFERROR(INDEX('CLM &amp; IM Mapping'!$C$2:$C$270,MATCH(TRIM(D230),'CLM &amp; IM Mapping'!$A$2:$A$270,0)),"Not Mapped"))</f>
        <v>Arivind S</v>
      </c>
      <c r="G230" s="10" t="s">
        <v>18</v>
      </c>
      <c r="H230" s="12" t="n">
        <v>-10069</v>
      </c>
      <c r="I230" s="12" t="n">
        <v>1068</v>
      </c>
      <c r="J230" s="12" t="n">
        <v>0</v>
      </c>
      <c r="K230" s="12" t="n">
        <v>0</v>
      </c>
      <c r="L230" s="12" t="n">
        <v>443</v>
      </c>
      <c r="M230" s="12" t="n">
        <v>0</v>
      </c>
      <c r="N230" s="12" t="n">
        <v>0</v>
      </c>
      <c r="O230" s="12" t="n">
        <v>0</v>
      </c>
      <c r="P230" s="12" t="n">
        <v>-8558</v>
      </c>
    </row>
    <row r="231" customFormat="false" ht="15.75" hidden="false" customHeight="false" outlineLevel="0" collapsed="false">
      <c r="B231" s="9" t="s">
        <v>15</v>
      </c>
      <c r="C231" s="10" t="s">
        <v>16</v>
      </c>
      <c r="D231" s="10" t="s">
        <v>256</v>
      </c>
      <c r="E231" s="11" t="str">
        <f aca="false">IF(D231="","",IFERROR(INDEX('CLM &amp; IM Mapping'!$B$2:$B$270,MATCH(TRIM(D231),'CLM &amp; IM Mapping'!$A$2:$A$270,0)),"Not Mapped"))</f>
        <v>Raghavendra Vernekar</v>
      </c>
      <c r="F231" s="11" t="str">
        <f aca="false">IF(D231="","",IFERROR(INDEX('CLM &amp; IM Mapping'!$C$2:$C$270,MATCH(TRIM(D231),'CLM &amp; IM Mapping'!$A$2:$A$270,0)),"Not Mapped"))</f>
        <v>Prakash BS</v>
      </c>
      <c r="G231" s="10" t="s">
        <v>18</v>
      </c>
      <c r="H231" s="12" t="n">
        <v>-12248</v>
      </c>
      <c r="I231" s="12" t="n">
        <v>9745</v>
      </c>
      <c r="J231" s="12" t="n">
        <v>0</v>
      </c>
      <c r="K231" s="12" t="n">
        <v>0</v>
      </c>
      <c r="L231" s="12" t="n">
        <v>559</v>
      </c>
      <c r="M231" s="12" t="n">
        <v>0</v>
      </c>
      <c r="N231" s="12" t="n">
        <v>0</v>
      </c>
      <c r="O231" s="12" t="n">
        <v>0</v>
      </c>
      <c r="P231" s="12" t="n">
        <v>-1945</v>
      </c>
    </row>
    <row r="232" customFormat="false" ht="15.75" hidden="false" customHeight="false" outlineLevel="0" collapsed="false">
      <c r="B232" s="9" t="s">
        <v>15</v>
      </c>
      <c r="C232" s="10" t="s">
        <v>16</v>
      </c>
      <c r="D232" s="10" t="s">
        <v>257</v>
      </c>
      <c r="E232" s="11" t="str">
        <f aca="false">IF(D232="","",IFERROR(INDEX('CLM &amp; IM Mapping'!$B$2:$B$270,MATCH(TRIM(D232),'CLM &amp; IM Mapping'!$A$2:$A$270,0)),"Not Mapped"))</f>
        <v>Balaji G</v>
      </c>
      <c r="F232" s="11" t="str">
        <f aca="false">IF(D232="","",IFERROR(INDEX('CLM &amp; IM Mapping'!$C$2:$C$270,MATCH(TRIM(D232),'CLM &amp; IM Mapping'!$A$2:$A$270,0)),"Not Mapped"))</f>
        <v>Mohammed Akbar</v>
      </c>
      <c r="G232" s="10" t="s">
        <v>18</v>
      </c>
      <c r="H232" s="12" t="n">
        <v>3821</v>
      </c>
      <c r="I232" s="12" t="n">
        <v>3869</v>
      </c>
      <c r="J232" s="12" t="n">
        <v>0</v>
      </c>
      <c r="K232" s="12" t="n">
        <v>0</v>
      </c>
      <c r="L232" s="12" t="n">
        <v>0</v>
      </c>
      <c r="M232" s="12" t="n">
        <v>0</v>
      </c>
      <c r="N232" s="12" t="n">
        <v>0</v>
      </c>
      <c r="O232" s="12" t="n">
        <v>0</v>
      </c>
      <c r="P232" s="12" t="n">
        <v>7689</v>
      </c>
    </row>
    <row r="233" customFormat="false" ht="15.75" hidden="false" customHeight="false" outlineLevel="0" collapsed="false">
      <c r="B233" s="9" t="s">
        <v>15</v>
      </c>
      <c r="C233" s="10" t="s">
        <v>16</v>
      </c>
      <c r="D233" s="10" t="s">
        <v>258</v>
      </c>
      <c r="E233" s="11" t="str">
        <f aca="false">IF(D233="","",IFERROR(INDEX('CLM &amp; IM Mapping'!$B$2:$B$270,MATCH(TRIM(D233),'CLM &amp; IM Mapping'!$A$2:$A$270,0)),"Not Mapped"))</f>
        <v>Sundaresh S</v>
      </c>
      <c r="F233" s="11" t="str">
        <f aca="false">IF(D233="","",IFERROR(INDEX('CLM &amp; IM Mapping'!$C$2:$C$270,MATCH(TRIM(D233),'CLM &amp; IM Mapping'!$A$2:$A$270,0)),"Not Mapped"))</f>
        <v>Un Mapped</v>
      </c>
      <c r="G233" s="10" t="s">
        <v>18</v>
      </c>
      <c r="H233" s="12" t="n">
        <v>15241</v>
      </c>
      <c r="I233" s="12" t="n">
        <v>17511</v>
      </c>
      <c r="J233" s="12" t="n">
        <v>0</v>
      </c>
      <c r="K233" s="12" t="n">
        <v>651</v>
      </c>
      <c r="L233" s="12" t="n">
        <v>1730</v>
      </c>
      <c r="M233" s="12" t="n">
        <v>0</v>
      </c>
      <c r="N233" s="12" t="n">
        <v>12084</v>
      </c>
      <c r="O233" s="12" t="n">
        <v>0</v>
      </c>
      <c r="P233" s="12" t="n">
        <v>47218</v>
      </c>
    </row>
    <row r="234" customFormat="false" ht="15.75" hidden="false" customHeight="false" outlineLevel="0" collapsed="false">
      <c r="B234" s="9" t="s">
        <v>15</v>
      </c>
      <c r="C234" s="10" t="s">
        <v>47</v>
      </c>
      <c r="D234" s="10" t="s">
        <v>259</v>
      </c>
      <c r="E234" s="11" t="str">
        <f aca="false">IF(D234="","",IFERROR(INDEX('CLM &amp; IM Mapping'!$B$2:$B$270,MATCH(TRIM(D234),'CLM &amp; IM Mapping'!$A$2:$A$270,0)),"Not Mapped"))</f>
        <v>John Britto</v>
      </c>
      <c r="F234" s="11" t="str">
        <f aca="false">IF(D234="","",IFERROR(INDEX('CLM &amp; IM Mapping'!$C$2:$C$270,MATCH(TRIM(D234),'CLM &amp; IM Mapping'!$A$2:$A$270,0)),"Not Mapped"))</f>
        <v>Aravind S</v>
      </c>
      <c r="G234" s="10" t="s">
        <v>18</v>
      </c>
      <c r="H234" s="12" t="n">
        <v>4157</v>
      </c>
      <c r="I234" s="12" t="n">
        <v>487</v>
      </c>
      <c r="J234" s="12" t="n">
        <v>0</v>
      </c>
      <c r="K234" s="12" t="n">
        <v>191</v>
      </c>
      <c r="L234" s="12" t="n">
        <v>666</v>
      </c>
      <c r="M234" s="12" t="n">
        <v>0</v>
      </c>
      <c r="N234" s="12" t="n">
        <v>0</v>
      </c>
      <c r="O234" s="12" t="n">
        <v>0</v>
      </c>
      <c r="P234" s="12" t="n">
        <v>5501</v>
      </c>
    </row>
    <row r="235" customFormat="false" ht="15.75" hidden="false" customHeight="false" outlineLevel="0" collapsed="false">
      <c r="B235" s="9" t="s">
        <v>15</v>
      </c>
      <c r="C235" s="10" t="s">
        <v>260</v>
      </c>
      <c r="D235" s="10" t="s">
        <v>261</v>
      </c>
      <c r="E235" s="11" t="str">
        <f aca="false">IF(D235="","",IFERROR(INDEX('CLM &amp; IM Mapping'!$B$2:$B$270,MATCH(TRIM(D235),'CLM &amp; IM Mapping'!$A$2:$A$270,0)),"Not Mapped"))</f>
        <v>Balaji G</v>
      </c>
      <c r="F235" s="11" t="str">
        <f aca="false">IF(D235="","",IFERROR(INDEX('CLM &amp; IM Mapping'!$C$2:$C$270,MATCH(TRIM(D235),'CLM &amp; IM Mapping'!$A$2:$A$270,0)),"Not Mapped"))</f>
        <v>Mohammed Akbar</v>
      </c>
      <c r="G235" s="10" t="s">
        <v>18</v>
      </c>
      <c r="H235" s="12" t="n">
        <v>-203</v>
      </c>
      <c r="I235" s="12" t="n">
        <v>28240</v>
      </c>
      <c r="J235" s="12" t="n">
        <v>0</v>
      </c>
      <c r="K235" s="12" t="n">
        <v>0</v>
      </c>
      <c r="L235" s="12" t="n">
        <v>340</v>
      </c>
      <c r="M235" s="12" t="n">
        <v>0</v>
      </c>
      <c r="N235" s="12" t="n">
        <v>0</v>
      </c>
      <c r="O235" s="12" t="n">
        <v>0</v>
      </c>
      <c r="P235" s="12" t="n">
        <v>28377</v>
      </c>
    </row>
    <row r="236" customFormat="false" ht="15.75" hidden="false" customHeight="false" outlineLevel="0" collapsed="false">
      <c r="B236" s="9" t="s">
        <v>15</v>
      </c>
      <c r="C236" s="10" t="s">
        <v>16</v>
      </c>
      <c r="D236" s="10" t="s">
        <v>262</v>
      </c>
      <c r="E236" s="11" t="str">
        <f aca="false">IF(D236="","",IFERROR(INDEX('CLM &amp; IM Mapping'!$B$2:$B$270,MATCH(TRIM(D236),'CLM &amp; IM Mapping'!$A$2:$A$270,0)),"Not Mapped"))</f>
        <v>Raghavendra Vernekar</v>
      </c>
      <c r="F236" s="11" t="str">
        <f aca="false">IF(D236="","",IFERROR(INDEX('CLM &amp; IM Mapping'!$C$2:$C$270,MATCH(TRIM(D236),'CLM &amp; IM Mapping'!$A$2:$A$270,0)),"Not Mapped"))</f>
        <v>Prakash BS</v>
      </c>
      <c r="G236" s="10" t="s">
        <v>18</v>
      </c>
      <c r="H236" s="12" t="n">
        <v>-18636</v>
      </c>
      <c r="I236" s="12" t="n">
        <v>26089</v>
      </c>
      <c r="J236" s="12" t="n">
        <v>0</v>
      </c>
      <c r="K236" s="12" t="n">
        <v>228</v>
      </c>
      <c r="L236" s="12" t="n">
        <v>237</v>
      </c>
      <c r="M236" s="12" t="n">
        <v>0</v>
      </c>
      <c r="N236" s="12" t="n">
        <v>2148</v>
      </c>
      <c r="O236" s="12" t="n">
        <v>32886</v>
      </c>
      <c r="P236" s="12" t="n">
        <v>42952</v>
      </c>
    </row>
    <row r="237" customFormat="false" ht="15.75" hidden="false" customHeight="false" outlineLevel="0" collapsed="false">
      <c r="B237" s="9" t="s">
        <v>15</v>
      </c>
      <c r="C237" s="10" t="s">
        <v>16</v>
      </c>
      <c r="D237" s="10" t="s">
        <v>263</v>
      </c>
      <c r="E237" s="11" t="str">
        <f aca="false">IF(D237="","",IFERROR(INDEX('CLM &amp; IM Mapping'!$B$2:$B$270,MATCH(TRIM(D237),'CLM &amp; IM Mapping'!$A$2:$A$270,0)),"Not Mapped"))</f>
        <v>Silambarasan E</v>
      </c>
      <c r="F237" s="11" t="str">
        <f aca="false">IF(D237="","",IFERROR(INDEX('CLM &amp; IM Mapping'!$C$2:$C$270,MATCH(TRIM(D237),'CLM &amp; IM Mapping'!$A$2:$A$270,0)),"Not Mapped"))</f>
        <v>Arivind S</v>
      </c>
      <c r="G237" s="10" t="s">
        <v>18</v>
      </c>
      <c r="H237" s="12" t="n">
        <v>-14706</v>
      </c>
      <c r="I237" s="12" t="n">
        <v>7716</v>
      </c>
      <c r="J237" s="12" t="n">
        <v>535</v>
      </c>
      <c r="K237" s="12" t="n">
        <v>780</v>
      </c>
      <c r="L237" s="12" t="n">
        <v>736</v>
      </c>
      <c r="M237" s="12" t="n">
        <v>0</v>
      </c>
      <c r="N237" s="12" t="n">
        <v>0</v>
      </c>
      <c r="O237" s="12" t="n">
        <v>0</v>
      </c>
      <c r="P237" s="12" t="n">
        <v>-4939</v>
      </c>
    </row>
    <row r="238" customFormat="false" ht="15.75" hidden="false" customHeight="false" outlineLevel="0" collapsed="false">
      <c r="B238" s="9" t="s">
        <v>15</v>
      </c>
      <c r="C238" s="10" t="s">
        <v>16</v>
      </c>
      <c r="D238" s="10" t="s">
        <v>264</v>
      </c>
      <c r="E238" s="11" t="str">
        <f aca="false">IF(D238="","",IFERROR(INDEX('CLM &amp; IM Mapping'!$B$2:$B$270,MATCH(TRIM(D238),'CLM &amp; IM Mapping'!$A$2:$A$270,0)),"Not Mapped"))</f>
        <v>Basil Scariya</v>
      </c>
      <c r="F238" s="11" t="str">
        <f aca="false">IF(D238="","",IFERROR(INDEX('CLM &amp; IM Mapping'!$C$2:$C$270,MATCH(TRIM(D238),'CLM &amp; IM Mapping'!$A$2:$A$270,0)),"Not Mapped"))</f>
        <v>Prakash BS</v>
      </c>
      <c r="G238" s="10" t="s">
        <v>18</v>
      </c>
      <c r="H238" s="12" t="n">
        <v>-5301</v>
      </c>
      <c r="I238" s="12" t="n">
        <v>7662</v>
      </c>
      <c r="J238" s="12" t="n">
        <v>0</v>
      </c>
      <c r="K238" s="12" t="n">
        <v>98</v>
      </c>
      <c r="L238" s="12" t="n">
        <v>222</v>
      </c>
      <c r="M238" s="12" t="n">
        <v>0</v>
      </c>
      <c r="N238" s="12" t="n">
        <v>0</v>
      </c>
      <c r="O238" s="12" t="n">
        <v>0</v>
      </c>
      <c r="P238" s="12" t="n">
        <v>2681</v>
      </c>
    </row>
    <row r="239" customFormat="false" ht="15.75" hidden="false" customHeight="false" outlineLevel="0" collapsed="false">
      <c r="B239" s="9" t="s">
        <v>15</v>
      </c>
      <c r="C239" s="10" t="s">
        <v>16</v>
      </c>
      <c r="D239" s="10" t="s">
        <v>265</v>
      </c>
      <c r="E239" s="11" t="str">
        <f aca="false">IF(D239="","",IFERROR(INDEX('CLM &amp; IM Mapping'!$B$2:$B$270,MATCH(TRIM(D239),'CLM &amp; IM Mapping'!$A$2:$A$270,0)),"Not Mapped"))</f>
        <v>Arun Raj</v>
      </c>
      <c r="F239" s="11" t="str">
        <f aca="false">IF(D239="","",IFERROR(INDEX('CLM &amp; IM Mapping'!$C$2:$C$270,MATCH(TRIM(D239),'CLM &amp; IM Mapping'!$A$2:$A$270,0)),"Not Mapped"))</f>
        <v>Simon Manoharan</v>
      </c>
      <c r="G239" s="10" t="s">
        <v>22</v>
      </c>
      <c r="H239" s="12" t="n">
        <v>-5354</v>
      </c>
      <c r="I239" s="12" t="n">
        <v>2283</v>
      </c>
      <c r="J239" s="12" t="n">
        <v>0</v>
      </c>
      <c r="K239" s="12" t="n">
        <v>0</v>
      </c>
      <c r="L239" s="12" t="n">
        <v>1819</v>
      </c>
      <c r="M239" s="12" t="n">
        <v>0</v>
      </c>
      <c r="N239" s="12" t="n">
        <v>0</v>
      </c>
      <c r="O239" s="12" t="n">
        <v>0</v>
      </c>
      <c r="P239" s="12" t="n">
        <v>-1252</v>
      </c>
    </row>
    <row r="240" customFormat="false" ht="15.75" hidden="false" customHeight="false" outlineLevel="0" collapsed="false">
      <c r="B240" s="9" t="s">
        <v>15</v>
      </c>
      <c r="C240" s="10" t="s">
        <v>44</v>
      </c>
      <c r="D240" s="10" t="s">
        <v>266</v>
      </c>
      <c r="E240" s="11" t="str">
        <f aca="false">IF(D240="","",IFERROR(INDEX('CLM &amp; IM Mapping'!$B$2:$B$270,MATCH(TRIM(D240),'CLM &amp; IM Mapping'!$A$2:$A$270,0)),"Not Mapped"))</f>
        <v>Vishnu V</v>
      </c>
      <c r="F240" s="11" t="str">
        <f aca="false">IF(D240="","",IFERROR(INDEX('CLM &amp; IM Mapping'!$C$2:$C$270,MATCH(TRIM(D240),'CLM &amp; IM Mapping'!$A$2:$A$270,0)),"Not Mapped"))</f>
        <v>Arivind S</v>
      </c>
      <c r="G240" s="10" t="s">
        <v>18</v>
      </c>
      <c r="H240" s="12" t="n">
        <v>632</v>
      </c>
      <c r="I240" s="12" t="n">
        <v>2776</v>
      </c>
      <c r="J240" s="12" t="n">
        <v>0</v>
      </c>
      <c r="K240" s="12" t="n">
        <v>0</v>
      </c>
      <c r="L240" s="12" t="n">
        <v>0</v>
      </c>
      <c r="M240" s="12" t="n">
        <v>0</v>
      </c>
      <c r="N240" s="12" t="n">
        <v>0</v>
      </c>
      <c r="O240" s="12" t="n">
        <v>0</v>
      </c>
      <c r="P240" s="12" t="n">
        <v>3408</v>
      </c>
    </row>
    <row r="241" customFormat="false" ht="15.75" hidden="false" customHeight="false" outlineLevel="0" collapsed="false">
      <c r="B241" s="9" t="s">
        <v>15</v>
      </c>
      <c r="C241" s="10" t="s">
        <v>16</v>
      </c>
      <c r="D241" s="10" t="s">
        <v>267</v>
      </c>
      <c r="E241" s="11" t="str">
        <f aca="false">IF(D241="","",IFERROR(INDEX('CLM &amp; IM Mapping'!$B$2:$B$270,MATCH(TRIM(D241),'CLM &amp; IM Mapping'!$A$2:$A$270,0)),"Not Mapped"))</f>
        <v>Suhas N</v>
      </c>
      <c r="F241" s="11" t="str">
        <f aca="false">IF(D241="","",IFERROR(INDEX('CLM &amp; IM Mapping'!$C$2:$C$270,MATCH(TRIM(D241),'CLM &amp; IM Mapping'!$A$2:$A$270,0)),"Not Mapped"))</f>
        <v>Aravind S</v>
      </c>
      <c r="G241" s="10" t="s">
        <v>18</v>
      </c>
      <c r="H241" s="12" t="n">
        <v>-23503</v>
      </c>
      <c r="I241" s="12" t="n">
        <v>12828</v>
      </c>
      <c r="J241" s="12" t="n">
        <v>0</v>
      </c>
      <c r="K241" s="12" t="n">
        <v>842</v>
      </c>
      <c r="L241" s="12" t="n">
        <v>622</v>
      </c>
      <c r="M241" s="12" t="n">
        <v>0</v>
      </c>
      <c r="N241" s="12" t="n">
        <v>1082</v>
      </c>
      <c r="O241" s="12" t="n">
        <v>19</v>
      </c>
      <c r="P241" s="12" t="n">
        <v>-8110</v>
      </c>
    </row>
    <row r="242" customFormat="false" ht="15.75" hidden="false" customHeight="false" outlineLevel="0" collapsed="false">
      <c r="B242" s="9" t="s">
        <v>15</v>
      </c>
      <c r="C242" s="10" t="s">
        <v>16</v>
      </c>
      <c r="D242" s="10" t="s">
        <v>268</v>
      </c>
      <c r="E242" s="11" t="str">
        <f aca="false">IF(D242="","",IFERROR(INDEX('CLM &amp; IM Mapping'!$B$2:$B$270,MATCH(TRIM(D242),'CLM &amp; IM Mapping'!$A$2:$A$270,0)),"Not Mapped"))</f>
        <v>Arun Raj</v>
      </c>
      <c r="F242" s="11" t="str">
        <f aca="false">IF(D242="","",IFERROR(INDEX('CLM &amp; IM Mapping'!$C$2:$C$270,MATCH(TRIM(D242),'CLM &amp; IM Mapping'!$A$2:$A$270,0)),"Not Mapped"))</f>
        <v>Simon Manoharan</v>
      </c>
      <c r="G242" s="10" t="s">
        <v>22</v>
      </c>
      <c r="H242" s="12" t="n">
        <v>-2075</v>
      </c>
      <c r="I242" s="12" t="n">
        <v>12709</v>
      </c>
      <c r="J242" s="12" t="n">
        <v>0</v>
      </c>
      <c r="K242" s="12" t="n">
        <v>0</v>
      </c>
      <c r="L242" s="12" t="n">
        <v>1301</v>
      </c>
      <c r="M242" s="12" t="n">
        <v>0</v>
      </c>
      <c r="N242" s="12" t="n">
        <v>0</v>
      </c>
      <c r="O242" s="12" t="n">
        <v>0</v>
      </c>
      <c r="P242" s="12" t="n">
        <v>11936</v>
      </c>
    </row>
    <row r="243" customFormat="false" ht="15.75" hidden="false" customHeight="false" outlineLevel="0" collapsed="false">
      <c r="B243" s="9" t="s">
        <v>15</v>
      </c>
      <c r="C243" s="10" t="s">
        <v>31</v>
      </c>
      <c r="D243" s="10" t="s">
        <v>269</v>
      </c>
      <c r="E243" s="11" t="str">
        <f aca="false">IF(D243="","",IFERROR(INDEX('CLM &amp; IM Mapping'!$B$2:$B$270,MATCH(TRIM(D243),'CLM &amp; IM Mapping'!$A$2:$A$270,0)),"Not Mapped"))</f>
        <v>Santhosha M</v>
      </c>
      <c r="F243" s="11" t="str">
        <f aca="false">IF(D243="","",IFERROR(INDEX('CLM &amp; IM Mapping'!$C$2:$C$270,MATCH(TRIM(D243),'CLM &amp; IM Mapping'!$A$2:$A$270,0)),"Not Mapped"))</f>
        <v>Aravind S</v>
      </c>
      <c r="G243" s="10" t="s">
        <v>18</v>
      </c>
      <c r="H243" s="12" t="n">
        <v>-4415</v>
      </c>
      <c r="I243" s="12" t="n">
        <v>0</v>
      </c>
      <c r="J243" s="12" t="n">
        <v>0</v>
      </c>
      <c r="K243" s="12" t="n">
        <v>0</v>
      </c>
      <c r="L243" s="12" t="n">
        <v>0</v>
      </c>
      <c r="M243" s="12" t="n">
        <v>0</v>
      </c>
      <c r="N243" s="12" t="n">
        <v>0</v>
      </c>
      <c r="O243" s="12" t="n">
        <v>0</v>
      </c>
      <c r="P243" s="12" t="n">
        <v>-4415</v>
      </c>
    </row>
    <row r="244" customFormat="false" ht="15.75" hidden="false" customHeight="false" outlineLevel="0" collapsed="false">
      <c r="B244" s="9" t="s">
        <v>15</v>
      </c>
      <c r="C244" s="10" t="s">
        <v>16</v>
      </c>
      <c r="D244" s="9" t="s">
        <v>270</v>
      </c>
      <c r="E244" s="11" t="str">
        <f aca="false">IF(D244="","",IFERROR(INDEX('CLM &amp; IM Mapping'!$B$2:$B$270,MATCH(TRIM(D244),'CLM &amp; IM Mapping'!$A$2:$A$270,0)),"Not Mapped"))</f>
        <v>Adhavan Subramani</v>
      </c>
      <c r="F244" s="11" t="str">
        <f aca="false">IF(D244="","",IFERROR(INDEX('CLM &amp; IM Mapping'!$C$2:$C$270,MATCH(TRIM(D244),'CLM &amp; IM Mapping'!$A$2:$A$270,0)),"Not Mapped"))</f>
        <v>Mohammed Akbar</v>
      </c>
      <c r="G244" s="10" t="s">
        <v>18</v>
      </c>
      <c r="H244" s="12" t="n">
        <v>-6675</v>
      </c>
      <c r="I244" s="12" t="n">
        <v>16761</v>
      </c>
      <c r="J244" s="12" t="n">
        <v>928</v>
      </c>
      <c r="K244" s="12" t="n">
        <v>420</v>
      </c>
      <c r="L244" s="12" t="n">
        <v>1098</v>
      </c>
      <c r="M244" s="12" t="n">
        <v>0</v>
      </c>
      <c r="N244" s="12" t="n">
        <v>59</v>
      </c>
      <c r="O244" s="12" t="n">
        <v>330</v>
      </c>
      <c r="P244" s="12" t="n">
        <v>12922</v>
      </c>
    </row>
    <row r="245" customFormat="false" ht="15.75" hidden="false" customHeight="false" outlineLevel="0" collapsed="false">
      <c r="B245" s="9" t="s">
        <v>15</v>
      </c>
      <c r="C245" s="10" t="s">
        <v>16</v>
      </c>
      <c r="D245" s="9" t="s">
        <v>271</v>
      </c>
      <c r="E245" s="11" t="str">
        <f aca="false">IF(D245="","",IFERROR(INDEX('CLM &amp; IM Mapping'!$B$2:$B$270,MATCH(TRIM(D245),'CLM &amp; IM Mapping'!$A$2:$A$270,0)),"Not Mapped"))</f>
        <v>Ashwath S</v>
      </c>
      <c r="F245" s="11" t="str">
        <f aca="false">IF(D245="","",IFERROR(INDEX('CLM &amp; IM Mapping'!$C$2:$C$270,MATCH(TRIM(D245),'CLM &amp; IM Mapping'!$A$2:$A$270,0)),"Not Mapped"))</f>
        <v>Kantha Kumar</v>
      </c>
      <c r="G245" s="10" t="s">
        <v>18</v>
      </c>
      <c r="H245" s="12" t="n">
        <v>5711</v>
      </c>
      <c r="I245" s="12" t="n">
        <v>629</v>
      </c>
      <c r="J245" s="12" t="n">
        <v>0</v>
      </c>
      <c r="K245" s="12" t="n">
        <v>0</v>
      </c>
      <c r="L245" s="12" t="n">
        <v>590</v>
      </c>
      <c r="M245" s="12" t="n">
        <v>0</v>
      </c>
      <c r="N245" s="12" t="n">
        <v>219</v>
      </c>
      <c r="O245" s="12" t="n">
        <v>0</v>
      </c>
      <c r="P245" s="12" t="n">
        <v>7149</v>
      </c>
    </row>
    <row r="246" customFormat="false" ht="15.75" hidden="false" customHeight="false" outlineLevel="0" collapsed="false">
      <c r="B246" s="9" t="s">
        <v>15</v>
      </c>
      <c r="C246" s="10" t="s">
        <v>16</v>
      </c>
      <c r="D246" s="9" t="s">
        <v>272</v>
      </c>
      <c r="E246" s="11" t="str">
        <f aca="false">IF(D246="","",IFERROR(INDEX('CLM &amp; IM Mapping'!$B$2:$B$270,MATCH(TRIM(D246),'CLM &amp; IM Mapping'!$A$2:$A$270,0)),"Not Mapped"))</f>
        <v>Arun Raj</v>
      </c>
      <c r="F246" s="11" t="str">
        <f aca="false">IF(D246="","",IFERROR(INDEX('CLM &amp; IM Mapping'!$C$2:$C$270,MATCH(TRIM(D246),'CLM &amp; IM Mapping'!$A$2:$A$270,0)),"Not Mapped"))</f>
        <v>Simon Manoharan</v>
      </c>
      <c r="G246" s="10" t="s">
        <v>22</v>
      </c>
      <c r="H246" s="12" t="n">
        <v>-10777</v>
      </c>
      <c r="I246" s="12" t="n">
        <v>3143</v>
      </c>
      <c r="J246" s="12" t="n">
        <v>0</v>
      </c>
      <c r="K246" s="12" t="n">
        <v>0</v>
      </c>
      <c r="L246" s="12" t="n">
        <v>0</v>
      </c>
      <c r="M246" s="12" t="n">
        <v>0</v>
      </c>
      <c r="N246" s="12" t="n">
        <v>0</v>
      </c>
      <c r="O246" s="12" t="n">
        <v>0</v>
      </c>
      <c r="P246" s="12" t="n">
        <v>-7634</v>
      </c>
    </row>
    <row r="247" customFormat="false" ht="15.75" hidden="false" customHeight="false" outlineLevel="0" collapsed="false">
      <c r="B247" s="9" t="s">
        <v>15</v>
      </c>
      <c r="C247" s="10" t="s">
        <v>16</v>
      </c>
      <c r="D247" s="9" t="s">
        <v>273</v>
      </c>
      <c r="E247" s="11" t="str">
        <f aca="false">IF(D247="","",IFERROR(INDEX('CLM &amp; IM Mapping'!$B$2:$B$270,MATCH(TRIM(D247),'CLM &amp; IM Mapping'!$A$2:$A$270,0)),"Not Mapped"))</f>
        <v>Vijay M</v>
      </c>
      <c r="F247" s="11" t="str">
        <f aca="false">IF(D247="","",IFERROR(INDEX('CLM &amp; IM Mapping'!$C$2:$C$270,MATCH(TRIM(D247),'CLM &amp; IM Mapping'!$A$2:$A$270,0)),"Not Mapped"))</f>
        <v>Kantha Kumar</v>
      </c>
      <c r="G247" s="10" t="s">
        <v>18</v>
      </c>
      <c r="H247" s="12" t="n">
        <v>-2679</v>
      </c>
      <c r="I247" s="12" t="n">
        <v>15849</v>
      </c>
      <c r="J247" s="12" t="n">
        <v>0</v>
      </c>
      <c r="K247" s="12" t="n">
        <v>60</v>
      </c>
      <c r="L247" s="12" t="n">
        <v>1571</v>
      </c>
      <c r="M247" s="12" t="n">
        <v>0</v>
      </c>
      <c r="N247" s="12" t="n">
        <v>1559</v>
      </c>
      <c r="O247" s="12" t="n">
        <v>0</v>
      </c>
      <c r="P247" s="12" t="n">
        <v>16360</v>
      </c>
    </row>
    <row r="248" customFormat="false" ht="15.75" hidden="false" customHeight="false" outlineLevel="0" collapsed="false">
      <c r="B248" s="9" t="s">
        <v>15</v>
      </c>
      <c r="C248" s="10" t="s">
        <v>16</v>
      </c>
      <c r="D248" s="9" t="s">
        <v>274</v>
      </c>
      <c r="E248" s="11" t="str">
        <f aca="false">IF(D248="","",IFERROR(INDEX('CLM &amp; IM Mapping'!$B$2:$B$270,MATCH(TRIM(D248),'CLM &amp; IM Mapping'!$A$2:$A$270,0)),"Not Mapped"))</f>
        <v>Narasimhamurthy R</v>
      </c>
      <c r="F248" s="11" t="str">
        <f aca="false">IF(D248="","",IFERROR(INDEX('CLM &amp; IM Mapping'!$C$2:$C$270,MATCH(TRIM(D248),'CLM &amp; IM Mapping'!$A$2:$A$270,0)),"Not Mapped"))</f>
        <v>Kishor K</v>
      </c>
      <c r="G248" s="10" t="s">
        <v>18</v>
      </c>
      <c r="H248" s="12" t="n">
        <v>16668</v>
      </c>
      <c r="I248" s="12" t="n">
        <v>23989</v>
      </c>
      <c r="J248" s="12" t="n">
        <v>0</v>
      </c>
      <c r="K248" s="12" t="n">
        <v>0</v>
      </c>
      <c r="L248" s="12" t="n">
        <v>843</v>
      </c>
      <c r="M248" s="12" t="n">
        <v>0</v>
      </c>
      <c r="N248" s="12" t="n">
        <v>0</v>
      </c>
      <c r="O248" s="12" t="n">
        <v>0</v>
      </c>
      <c r="P248" s="12" t="n">
        <v>41500</v>
      </c>
    </row>
    <row r="249" customFormat="false" ht="15.75" hidden="false" customHeight="false" outlineLevel="0" collapsed="false">
      <c r="B249" s="9" t="s">
        <v>15</v>
      </c>
      <c r="C249" s="10" t="s">
        <v>16</v>
      </c>
      <c r="D249" s="9" t="s">
        <v>275</v>
      </c>
      <c r="E249" s="11" t="str">
        <f aca="false">IF(D249="","",IFERROR(INDEX('CLM &amp; IM Mapping'!$B$2:$B$270,MATCH(TRIM(D249),'CLM &amp; IM Mapping'!$A$2:$A$270,0)),"Not Mapped"))</f>
        <v>Adhavan Subramani</v>
      </c>
      <c r="F249" s="11" t="str">
        <f aca="false">IF(D249="","",IFERROR(INDEX('CLM &amp; IM Mapping'!$C$2:$C$270,MATCH(TRIM(D249),'CLM &amp; IM Mapping'!$A$2:$A$270,0)),"Not Mapped"))</f>
        <v>Mohammed Akbar</v>
      </c>
      <c r="G249" s="10" t="s">
        <v>18</v>
      </c>
      <c r="H249" s="12" t="n">
        <v>-9055</v>
      </c>
      <c r="I249" s="12" t="n">
        <v>0</v>
      </c>
      <c r="J249" s="12" t="n">
        <v>0</v>
      </c>
      <c r="K249" s="12" t="n">
        <v>34052</v>
      </c>
      <c r="L249" s="12" t="n">
        <v>0</v>
      </c>
      <c r="M249" s="12" t="n">
        <v>0</v>
      </c>
      <c r="N249" s="12" t="n">
        <v>0</v>
      </c>
      <c r="O249" s="12" t="n">
        <v>0</v>
      </c>
      <c r="P249" s="12" t="n">
        <v>24998</v>
      </c>
    </row>
    <row r="250" customFormat="false" ht="15.75" hidden="false" customHeight="false" outlineLevel="0" collapsed="false">
      <c r="B250" s="9" t="s">
        <v>15</v>
      </c>
      <c r="C250" s="10" t="s">
        <v>16</v>
      </c>
      <c r="D250" s="10" t="s">
        <v>276</v>
      </c>
      <c r="E250" s="11" t="str">
        <f aca="false">IF(D250="","",IFERROR(INDEX('CLM &amp; IM Mapping'!$B$2:$B$270,MATCH(TRIM(D250),'CLM &amp; IM Mapping'!$A$2:$A$270,0)),"Not Mapped"))</f>
        <v>Manjunatha V</v>
      </c>
      <c r="F250" s="11" t="str">
        <f aca="false">IF(D250="","",IFERROR(INDEX('CLM &amp; IM Mapping'!$C$2:$C$270,MATCH(TRIM(D250),'CLM &amp; IM Mapping'!$A$2:$A$270,0)),"Not Mapped"))</f>
        <v>Un Mapped</v>
      </c>
      <c r="G250" s="10" t="s">
        <v>18</v>
      </c>
      <c r="H250" s="12" t="n">
        <v>-15262</v>
      </c>
      <c r="I250" s="12" t="n">
        <v>2022</v>
      </c>
      <c r="J250" s="12" t="n">
        <v>0</v>
      </c>
      <c r="K250" s="12" t="n">
        <v>262</v>
      </c>
      <c r="L250" s="12" t="n">
        <v>1084</v>
      </c>
      <c r="M250" s="12" t="n">
        <v>0</v>
      </c>
      <c r="N250" s="12" t="n">
        <v>323</v>
      </c>
      <c r="O250" s="12" t="n">
        <v>0</v>
      </c>
      <c r="P250" s="12" t="n">
        <v>-11570</v>
      </c>
    </row>
    <row r="251" customFormat="false" ht="15.75" hidden="false" customHeight="false" outlineLevel="0" collapsed="false">
      <c r="B251" s="9" t="s">
        <v>15</v>
      </c>
      <c r="C251" s="10" t="s">
        <v>16</v>
      </c>
      <c r="D251" s="9" t="s">
        <v>277</v>
      </c>
      <c r="E251" s="11" t="str">
        <f aca="false">IF(D251="","",IFERROR(INDEX('CLM &amp; IM Mapping'!$B$2:$B$270,MATCH(TRIM(D251),'CLM &amp; IM Mapping'!$A$2:$A$270,0)),"Not Mapped"))</f>
        <v>Silambarasan E</v>
      </c>
      <c r="F251" s="11" t="str">
        <f aca="false">IF(D251="","",IFERROR(INDEX('CLM &amp; IM Mapping'!$C$2:$C$270,MATCH(TRIM(D251),'CLM &amp; IM Mapping'!$A$2:$A$270,0)),"Not Mapped"))</f>
        <v>Arivind S</v>
      </c>
      <c r="G251" s="10" t="s">
        <v>18</v>
      </c>
      <c r="H251" s="12" t="n">
        <v>-19351</v>
      </c>
      <c r="I251" s="12" t="n">
        <v>9488</v>
      </c>
      <c r="J251" s="12" t="n">
        <v>179</v>
      </c>
      <c r="K251" s="12" t="n">
        <v>43</v>
      </c>
      <c r="L251" s="12" t="n">
        <v>471</v>
      </c>
      <c r="M251" s="12" t="n">
        <v>0</v>
      </c>
      <c r="N251" s="12" t="n">
        <v>0</v>
      </c>
      <c r="O251" s="12" t="n">
        <v>0</v>
      </c>
      <c r="P251" s="12" t="n">
        <v>-9170</v>
      </c>
    </row>
    <row r="252" customFormat="false" ht="15.75" hidden="false" customHeight="false" outlineLevel="0" collapsed="false">
      <c r="B252" s="9" t="s">
        <v>15</v>
      </c>
      <c r="C252" s="10" t="s">
        <v>16</v>
      </c>
      <c r="D252" s="9" t="s">
        <v>278</v>
      </c>
      <c r="E252" s="11" t="str">
        <f aca="false">IF(D252="","",IFERROR(INDEX('CLM &amp; IM Mapping'!$B$2:$B$270,MATCH(TRIM(D252),'CLM &amp; IM Mapping'!$A$2:$A$270,0)),"Not Mapped"))</f>
        <v>Adhavan Subramani</v>
      </c>
      <c r="F252" s="11" t="str">
        <f aca="false">IF(D252="","",IFERROR(INDEX('CLM &amp; IM Mapping'!$C$2:$C$270,MATCH(TRIM(D252),'CLM &amp; IM Mapping'!$A$2:$A$270,0)),"Not Mapped"))</f>
        <v>Mohammed Akbar</v>
      </c>
      <c r="G252" s="10" t="s">
        <v>18</v>
      </c>
      <c r="H252" s="12" t="n">
        <v>11541</v>
      </c>
      <c r="I252" s="12" t="n">
        <v>8646</v>
      </c>
      <c r="J252" s="12" t="n">
        <v>418</v>
      </c>
      <c r="K252" s="12" t="n">
        <v>230</v>
      </c>
      <c r="L252" s="12" t="n">
        <v>538</v>
      </c>
      <c r="M252" s="12" t="n">
        <v>0</v>
      </c>
      <c r="N252" s="12" t="n">
        <v>576</v>
      </c>
      <c r="O252" s="12" t="n">
        <v>0</v>
      </c>
      <c r="P252" s="12" t="n">
        <v>21949</v>
      </c>
    </row>
    <row r="253" customFormat="false" ht="15.75" hidden="false" customHeight="false" outlineLevel="0" collapsed="false">
      <c r="B253" s="9" t="s">
        <v>15</v>
      </c>
      <c r="C253" s="10" t="s">
        <v>16</v>
      </c>
      <c r="D253" s="9" t="s">
        <v>279</v>
      </c>
      <c r="E253" s="11" t="str">
        <f aca="false">IF(D253="","",IFERROR(INDEX('CLM &amp; IM Mapping'!$B$2:$B$270,MATCH(TRIM(D253),'CLM &amp; IM Mapping'!$A$2:$A$270,0)),"Not Mapped"))</f>
        <v>Balaji G</v>
      </c>
      <c r="F253" s="11" t="str">
        <f aca="false">IF(D253="","",IFERROR(INDEX('CLM &amp; IM Mapping'!$C$2:$C$270,MATCH(TRIM(D253),'CLM &amp; IM Mapping'!$A$2:$A$270,0)),"Not Mapped"))</f>
        <v>Mohammed Akbar</v>
      </c>
      <c r="G253" s="10" t="s">
        <v>18</v>
      </c>
      <c r="H253" s="12" t="n">
        <v>1235</v>
      </c>
      <c r="I253" s="12" t="n">
        <v>3422</v>
      </c>
      <c r="J253" s="12" t="n">
        <v>0</v>
      </c>
      <c r="K253" s="12" t="n">
        <v>1307</v>
      </c>
      <c r="L253" s="12" t="n">
        <v>418</v>
      </c>
      <c r="M253" s="12" t="n">
        <v>0</v>
      </c>
      <c r="N253" s="12" t="n">
        <v>0</v>
      </c>
      <c r="O253" s="12" t="n">
        <v>0</v>
      </c>
      <c r="P253" s="12" t="n">
        <v>6380</v>
      </c>
    </row>
    <row r="254" customFormat="false" ht="15.75" hidden="false" customHeight="false" outlineLevel="0" collapsed="false">
      <c r="B254" s="9" t="s">
        <v>15</v>
      </c>
      <c r="C254" s="10" t="s">
        <v>16</v>
      </c>
      <c r="D254" s="9" t="s">
        <v>280</v>
      </c>
      <c r="E254" s="11" t="str">
        <f aca="false">IF(D254="","",IFERROR(INDEX('CLM &amp; IM Mapping'!$B$2:$B$270,MATCH(TRIM(D254),'CLM &amp; IM Mapping'!$A$2:$A$270,0)),"Not Mapped"))</f>
        <v>Adhavan Subramani</v>
      </c>
      <c r="F254" s="11" t="str">
        <f aca="false">IF(D254="","",IFERROR(INDEX('CLM &amp; IM Mapping'!$C$2:$C$270,MATCH(TRIM(D254),'CLM &amp; IM Mapping'!$A$2:$A$270,0)),"Not Mapped"))</f>
        <v>Mohammed Akbar</v>
      </c>
      <c r="G254" s="10" t="s">
        <v>18</v>
      </c>
      <c r="H254" s="12" t="n">
        <v>-1394</v>
      </c>
      <c r="I254" s="12" t="n">
        <v>0</v>
      </c>
      <c r="J254" s="12" t="n">
        <v>0</v>
      </c>
      <c r="K254" s="12" t="n">
        <v>0</v>
      </c>
      <c r="L254" s="12" t="n">
        <v>2014</v>
      </c>
      <c r="M254" s="12" t="n">
        <v>0</v>
      </c>
      <c r="N254" s="12" t="n">
        <v>8853</v>
      </c>
      <c r="O254" s="12" t="n">
        <v>0</v>
      </c>
      <c r="P254" s="12" t="n">
        <v>9473</v>
      </c>
    </row>
    <row r="255" customFormat="false" ht="15.75" hidden="false" customHeight="false" outlineLevel="0" collapsed="false">
      <c r="B255" s="9" t="s">
        <v>15</v>
      </c>
      <c r="C255" s="10" t="s">
        <v>44</v>
      </c>
      <c r="D255" s="9" t="s">
        <v>281</v>
      </c>
      <c r="E255" s="11" t="str">
        <f aca="false">IF(D255="","",IFERROR(INDEX('CLM &amp; IM Mapping'!$B$2:$B$270,MATCH(TRIM(D255),'CLM &amp; IM Mapping'!$A$2:$A$270,0)),"Not Mapped"))</f>
        <v>Vishnu V</v>
      </c>
      <c r="F255" s="11" t="str">
        <f aca="false">IF(D255="","",IFERROR(INDEX('CLM &amp; IM Mapping'!$C$2:$C$270,MATCH(TRIM(D255),'CLM &amp; IM Mapping'!$A$2:$A$270,0)),"Not Mapped"))</f>
        <v>Arivind S</v>
      </c>
      <c r="G255" s="10" t="s">
        <v>18</v>
      </c>
      <c r="H255" s="12" t="n">
        <v>1004</v>
      </c>
      <c r="I255" s="12" t="n">
        <v>8174</v>
      </c>
      <c r="J255" s="12" t="n">
        <v>281</v>
      </c>
      <c r="K255" s="12" t="n">
        <v>1371</v>
      </c>
      <c r="L255" s="12" t="n">
        <v>507</v>
      </c>
      <c r="M255" s="12" t="n">
        <v>0</v>
      </c>
      <c r="N255" s="12" t="n">
        <v>0</v>
      </c>
      <c r="O255" s="12" t="n">
        <v>0</v>
      </c>
      <c r="P255" s="12" t="n">
        <v>11337</v>
      </c>
    </row>
    <row r="256" customFormat="false" ht="15.75" hidden="false" customHeight="false" outlineLevel="0" collapsed="false">
      <c r="B256" s="9" t="s">
        <v>15</v>
      </c>
      <c r="C256" s="10" t="s">
        <v>31</v>
      </c>
      <c r="D256" s="9" t="s">
        <v>282</v>
      </c>
      <c r="E256" s="11" t="str">
        <f aca="false">IF(D256="","",IFERROR(INDEX('CLM &amp; IM Mapping'!$B$2:$B$270,MATCH(TRIM(D256),'CLM &amp; IM Mapping'!$A$2:$A$270,0)),"Not Mapped"))</f>
        <v>Santhosha M</v>
      </c>
      <c r="F256" s="11" t="str">
        <f aca="false">IF(D256="","",IFERROR(INDEX('CLM &amp; IM Mapping'!$C$2:$C$270,MATCH(TRIM(D256),'CLM &amp; IM Mapping'!$A$2:$A$270,0)),"Not Mapped"))</f>
        <v>Aravind S</v>
      </c>
      <c r="G256" s="10" t="s">
        <v>18</v>
      </c>
      <c r="H256" s="12" t="n">
        <v>-7967</v>
      </c>
      <c r="I256" s="12" t="n">
        <v>392</v>
      </c>
      <c r="J256" s="12" t="n">
        <v>0</v>
      </c>
      <c r="K256" s="12" t="n">
        <v>781</v>
      </c>
      <c r="L256" s="12" t="n">
        <v>380</v>
      </c>
      <c r="M256" s="12" t="n">
        <v>0</v>
      </c>
      <c r="N256" s="12" t="n">
        <v>0</v>
      </c>
      <c r="O256" s="12" t="n">
        <v>0</v>
      </c>
      <c r="P256" s="12" t="n">
        <v>-6416</v>
      </c>
    </row>
    <row r="257" customFormat="false" ht="15.75" hidden="false" customHeight="false" outlineLevel="0" collapsed="false">
      <c r="B257" s="9" t="s">
        <v>15</v>
      </c>
      <c r="C257" s="10" t="s">
        <v>283</v>
      </c>
      <c r="D257" s="9" t="s">
        <v>284</v>
      </c>
      <c r="E257" s="11" t="str">
        <f aca="false">IF(D257="","",IFERROR(INDEX('CLM &amp; IM Mapping'!$B$2:$B$270,MATCH(TRIM(D257),'CLM &amp; IM Mapping'!$A$2:$A$270,0)),"Not Mapped"))</f>
        <v>Vishnu V</v>
      </c>
      <c r="F257" s="11" t="str">
        <f aca="false">IF(D257="","",IFERROR(INDEX('CLM &amp; IM Mapping'!$C$2:$C$270,MATCH(TRIM(D257),'CLM &amp; IM Mapping'!$A$2:$A$270,0)),"Not Mapped"))</f>
        <v>Arivind S</v>
      </c>
      <c r="G257" s="10" t="s">
        <v>18</v>
      </c>
      <c r="H257" s="12" t="n">
        <v>-599</v>
      </c>
      <c r="I257" s="12" t="n">
        <v>0</v>
      </c>
      <c r="J257" s="12" t="n">
        <v>0</v>
      </c>
      <c r="K257" s="12" t="n">
        <v>0</v>
      </c>
      <c r="L257" s="12" t="n">
        <v>0</v>
      </c>
      <c r="M257" s="12" t="n">
        <v>0</v>
      </c>
      <c r="N257" s="12" t="n">
        <v>0</v>
      </c>
      <c r="O257" s="12" t="n">
        <v>0</v>
      </c>
      <c r="P257" s="12" t="n">
        <v>-599</v>
      </c>
    </row>
    <row r="258" customFormat="false" ht="15.75" hidden="false" customHeight="false" outlineLevel="0" collapsed="false">
      <c r="B258" s="9" t="s">
        <v>15</v>
      </c>
      <c r="C258" s="10" t="s">
        <v>16</v>
      </c>
      <c r="D258" s="9" t="s">
        <v>285</v>
      </c>
      <c r="E258" s="11" t="str">
        <f aca="false">IF(D258="","",IFERROR(INDEX('CLM &amp; IM Mapping'!$B$2:$B$270,MATCH(TRIM(D258),'CLM &amp; IM Mapping'!$A$2:$A$270,0)),"Not Mapped"))</f>
        <v>Adhavan Subramani</v>
      </c>
      <c r="F258" s="11" t="str">
        <f aca="false">IF(D258="","",IFERROR(INDEX('CLM &amp; IM Mapping'!$C$2:$C$270,MATCH(TRIM(D258),'CLM &amp; IM Mapping'!$A$2:$A$270,0)),"Not Mapped"))</f>
        <v>Mohammed Akbar</v>
      </c>
      <c r="G258" s="10" t="s">
        <v>18</v>
      </c>
      <c r="H258" s="12" t="n">
        <v>-13519</v>
      </c>
      <c r="I258" s="12" t="n">
        <v>154</v>
      </c>
      <c r="J258" s="12" t="n">
        <v>0</v>
      </c>
      <c r="K258" s="12" t="n">
        <v>0</v>
      </c>
      <c r="L258" s="12" t="n">
        <v>51</v>
      </c>
      <c r="M258" s="12" t="n">
        <v>0</v>
      </c>
      <c r="N258" s="12" t="n">
        <v>0</v>
      </c>
      <c r="O258" s="12" t="n">
        <v>0</v>
      </c>
      <c r="P258" s="12" t="n">
        <v>-13314</v>
      </c>
    </row>
    <row r="259" customFormat="false" ht="15.75" hidden="false" customHeight="false" outlineLevel="0" collapsed="false">
      <c r="B259" s="9" t="s">
        <v>15</v>
      </c>
      <c r="C259" s="10" t="s">
        <v>16</v>
      </c>
      <c r="D259" s="9" t="s">
        <v>286</v>
      </c>
      <c r="E259" s="11" t="str">
        <f aca="false">IF(D259="","",IFERROR(INDEX('CLM &amp; IM Mapping'!$B$2:$B$270,MATCH(TRIM(D259),'CLM &amp; IM Mapping'!$A$2:$A$270,0)),"Not Mapped"))</f>
        <v>Not Mapped</v>
      </c>
      <c r="F259" s="11" t="str">
        <f aca="false">IF(D259="","",IFERROR(INDEX('CLM &amp; IM Mapping'!$C$2:$C$270,MATCH(TRIM(D259),'CLM &amp; IM Mapping'!$A$2:$A$270,0)),"Not Mapped"))</f>
        <v>Not Mapped</v>
      </c>
      <c r="G259" s="10" t="s">
        <v>18</v>
      </c>
      <c r="H259" s="12" t="n">
        <v>0</v>
      </c>
      <c r="I259" s="12" t="n">
        <v>0</v>
      </c>
      <c r="J259" s="12" t="n">
        <v>0</v>
      </c>
      <c r="K259" s="12" t="n">
        <v>0</v>
      </c>
      <c r="L259" s="12" t="n">
        <v>0</v>
      </c>
      <c r="M259" s="12" t="n">
        <v>0</v>
      </c>
      <c r="N259" s="12" t="n">
        <v>0</v>
      </c>
      <c r="O259" s="12" t="n">
        <v>0</v>
      </c>
      <c r="P259" s="12" t="n">
        <v>0</v>
      </c>
    </row>
    <row r="260" customFormat="false" ht="15.75" hidden="false" customHeight="false" outlineLevel="0" collapsed="false">
      <c r="B260" s="9" t="s">
        <v>15</v>
      </c>
      <c r="C260" s="10" t="s">
        <v>16</v>
      </c>
      <c r="D260" s="9" t="s">
        <v>287</v>
      </c>
      <c r="E260" s="11" t="str">
        <f aca="false">IF(D260="","",IFERROR(INDEX('CLM &amp; IM Mapping'!$B$2:$B$270,MATCH(TRIM(D260),'CLM &amp; IM Mapping'!$A$2:$A$270,0)),"Not Mapped"))</f>
        <v>Not Mapped</v>
      </c>
      <c r="F260" s="11" t="str">
        <f aca="false">IF(D260="","",IFERROR(INDEX('CLM &amp; IM Mapping'!$C$2:$C$270,MATCH(TRIM(D260),'CLM &amp; IM Mapping'!$A$2:$A$270,0)),"Not Mapped"))</f>
        <v>Not Mapped</v>
      </c>
      <c r="G260" s="10" t="s">
        <v>18</v>
      </c>
      <c r="H260" s="12" t="n">
        <v>0</v>
      </c>
      <c r="I260" s="12" t="n">
        <v>0</v>
      </c>
      <c r="J260" s="12" t="n">
        <v>0</v>
      </c>
      <c r="K260" s="12" t="n">
        <v>0</v>
      </c>
      <c r="L260" s="12" t="n">
        <v>0</v>
      </c>
      <c r="M260" s="12" t="n">
        <v>0</v>
      </c>
      <c r="N260" s="12" t="n">
        <v>0</v>
      </c>
      <c r="O260" s="12" t="n">
        <v>0</v>
      </c>
      <c r="P260" s="12" t="n">
        <v>0</v>
      </c>
    </row>
  </sheetData>
  <autoFilter ref="B1:P260"/>
  <conditionalFormatting sqref="H2:H260">
    <cfRule type="colorScale" priority="2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conditionalFormatting sqref="I2:I260">
    <cfRule type="colorScale" priority="3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conditionalFormatting sqref="J2:J260">
    <cfRule type="colorScale" priority="4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conditionalFormatting sqref="K2:K260">
    <cfRule type="colorScale" priority="5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conditionalFormatting sqref="L2:L260">
    <cfRule type="colorScale" priority="6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conditionalFormatting sqref="M2:M260">
    <cfRule type="colorScale" priority="7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conditionalFormatting sqref="N2:N260">
    <cfRule type="colorScale" priority="8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conditionalFormatting sqref="O2:O260">
    <cfRule type="colorScale" priority="9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conditionalFormatting sqref="P2:P260">
    <cfRule type="colorScale" priority="10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L2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2" min="2" style="0" width="38.25"/>
    <col collapsed="false" customWidth="true" hidden="false" outlineLevel="0" max="4" min="3" style="0" width="18"/>
    <col collapsed="false" customWidth="true" hidden="false" outlineLevel="0" max="5" min="5" style="0" width="11.5"/>
    <col collapsed="false" customWidth="true" hidden="false" outlineLevel="0" max="6" min="6" style="0" width="13"/>
    <col collapsed="false" customWidth="true" hidden="false" outlineLevel="0" max="7" min="7" style="0" width="11.63"/>
    <col collapsed="false" customWidth="true" hidden="false" outlineLevel="0" max="8" min="8" style="0" width="5.63"/>
    <col collapsed="false" customWidth="true" hidden="false" outlineLevel="0" max="9" min="9" style="0" width="6.88"/>
    <col collapsed="false" customWidth="true" hidden="false" outlineLevel="0" max="10" min="10" style="0" width="5.63"/>
  </cols>
  <sheetData>
    <row r="1" customFormat="false" ht="15.75" hidden="false" customHeight="false" outlineLevel="0" collapsed="false"/>
    <row r="2" customFormat="false" ht="15.75" hidden="false" customHeight="false" outlineLevel="0" collapsed="false">
      <c r="B2" s="13" t="s">
        <v>288</v>
      </c>
      <c r="C2" s="13" t="s">
        <v>3</v>
      </c>
      <c r="D2" s="13" t="s">
        <v>4</v>
      </c>
      <c r="E2" s="13" t="s">
        <v>289</v>
      </c>
      <c r="F2" s="13" t="s">
        <v>290</v>
      </c>
      <c r="G2" s="13" t="s">
        <v>291</v>
      </c>
      <c r="H2" s="13" t="s">
        <v>292</v>
      </c>
      <c r="I2" s="13" t="s">
        <v>293</v>
      </c>
      <c r="J2" s="13" t="s">
        <v>294</v>
      </c>
      <c r="K2" s="13" t="s">
        <v>295</v>
      </c>
      <c r="L2" s="13" t="s">
        <v>296</v>
      </c>
    </row>
    <row r="3" customFormat="false" ht="15.75" hidden="false" customHeight="false" outlineLevel="0" collapsed="false">
      <c r="B3" s="13" t="s">
        <v>139</v>
      </c>
      <c r="C3" s="14" t="str">
        <f aca="false">IF(B3="","",IFERROR(INDEX('CLM &amp; IM Mapping'!$B$2:$B$270,MATCH(TRIM(B3),'CLM &amp; IM Mapping'!$A$2:$A$270,0)),"Not Mapped"))</f>
        <v>Majid Kakatikar</v>
      </c>
      <c r="D3" s="14" t="str">
        <f aca="false">IF(B3="","",IFERROR(INDEX('CLM &amp; IM Mapping'!$C$2:$C$270,MATCH(TRIM(B3),'CLM &amp; IM Mapping'!$A$2:$A$270,0)),"Not Mapped"))</f>
        <v>Kishor K</v>
      </c>
      <c r="E3" s="13" t="s">
        <v>18</v>
      </c>
      <c r="F3" s="13" t="s">
        <v>297</v>
      </c>
      <c r="G3" s="13" t="s">
        <v>138</v>
      </c>
      <c r="H3" s="15" t="n">
        <v>6127</v>
      </c>
      <c r="I3" s="16" t="n">
        <v>0.69</v>
      </c>
      <c r="J3" s="16" t="n">
        <v>1</v>
      </c>
      <c r="K3" s="16" t="n">
        <v>1</v>
      </c>
      <c r="L3" s="16" t="n">
        <v>1</v>
      </c>
    </row>
    <row r="4" customFormat="false" ht="15.75" hidden="false" customHeight="false" outlineLevel="0" collapsed="false">
      <c r="B4" s="13" t="s">
        <v>156</v>
      </c>
      <c r="C4" s="14" t="str">
        <f aca="false">IF(B4="","",IFERROR(INDEX('CLM &amp; IM Mapping'!$B$2:$B$270,MATCH(TRIM(B4),'CLM &amp; IM Mapping'!$A$2:$A$270,0)),"Not Mapped"))</f>
        <v>Majid Kakatikar</v>
      </c>
      <c r="D4" s="14" t="str">
        <f aca="false">IF(B4="","",IFERROR(INDEX('CLM &amp; IM Mapping'!$C$2:$C$270,MATCH(TRIM(B4),'CLM &amp; IM Mapping'!$A$2:$A$270,0)),"Not Mapped"))</f>
        <v>Kishor K</v>
      </c>
      <c r="E4" s="13" t="s">
        <v>18</v>
      </c>
      <c r="F4" s="13" t="s">
        <v>297</v>
      </c>
      <c r="G4" s="13" t="s">
        <v>138</v>
      </c>
      <c r="H4" s="15" t="n">
        <v>6826</v>
      </c>
      <c r="I4" s="16" t="n">
        <v>0.35</v>
      </c>
      <c r="J4" s="16" t="n">
        <v>0.95</v>
      </c>
      <c r="K4" s="16" t="n">
        <v>0.97</v>
      </c>
      <c r="L4" s="16" t="n">
        <v>0.95</v>
      </c>
    </row>
    <row r="5" customFormat="false" ht="15.75" hidden="false" customHeight="false" outlineLevel="0" collapsed="false">
      <c r="B5" s="13" t="s">
        <v>19</v>
      </c>
      <c r="C5" s="14" t="str">
        <f aca="false">IF(B5="","",IFERROR(INDEX('CLM &amp; IM Mapping'!$B$2:$B$270,MATCH(TRIM(B5),'CLM &amp; IM Mapping'!$A$2:$A$270,0)),"Not Mapped"))</f>
        <v>Ashwath S</v>
      </c>
      <c r="D5" s="14" t="str">
        <f aca="false">IF(B5="","",IFERROR(INDEX('CLM &amp; IM Mapping'!$C$2:$C$270,MATCH(TRIM(B5),'CLM &amp; IM Mapping'!$A$2:$A$270,0)),"Not Mapped"))</f>
        <v>Kantha Kumar</v>
      </c>
      <c r="E5" s="13" t="s">
        <v>18</v>
      </c>
      <c r="F5" s="13" t="s">
        <v>298</v>
      </c>
      <c r="G5" s="13" t="s">
        <v>16</v>
      </c>
      <c r="H5" s="15" t="n">
        <v>5551</v>
      </c>
      <c r="I5" s="16" t="n">
        <v>0.37</v>
      </c>
      <c r="J5" s="16" t="n">
        <v>0.85</v>
      </c>
      <c r="K5" s="16" t="n">
        <v>0.95</v>
      </c>
      <c r="L5" s="16" t="n">
        <v>0.85</v>
      </c>
    </row>
    <row r="6" customFormat="false" ht="15.75" hidden="false" customHeight="false" outlineLevel="0" collapsed="false">
      <c r="B6" s="13" t="s">
        <v>20</v>
      </c>
      <c r="C6" s="14" t="str">
        <f aca="false">IF(B6="","",IFERROR(INDEX('CLM &amp; IM Mapping'!$B$2:$B$270,MATCH(TRIM(B6),'CLM &amp; IM Mapping'!$A$2:$A$270,0)),"Not Mapped"))</f>
        <v>Vijay M</v>
      </c>
      <c r="D6" s="14" t="str">
        <f aca="false">IF(B6="","",IFERROR(INDEX('CLM &amp; IM Mapping'!$C$2:$C$270,MATCH(TRIM(B6),'CLM &amp; IM Mapping'!$A$2:$A$270,0)),"Not Mapped"))</f>
        <v>Kantha Kumar</v>
      </c>
      <c r="E6" s="13" t="s">
        <v>18</v>
      </c>
      <c r="F6" s="13" t="s">
        <v>298</v>
      </c>
      <c r="G6" s="13" t="s">
        <v>16</v>
      </c>
      <c r="H6" s="15" t="n">
        <v>4480</v>
      </c>
      <c r="I6" s="16" t="n">
        <v>0.41</v>
      </c>
      <c r="J6" s="16" t="n">
        <v>0.83</v>
      </c>
      <c r="K6" s="16" t="n">
        <v>0.95</v>
      </c>
      <c r="L6" s="16" t="n">
        <v>0.83</v>
      </c>
    </row>
    <row r="7" customFormat="false" ht="15.75" hidden="false" customHeight="false" outlineLevel="0" collapsed="false">
      <c r="B7" s="13" t="s">
        <v>23</v>
      </c>
      <c r="C7" s="14" t="str">
        <f aca="false">IF(B7="","",IFERROR(INDEX('CLM &amp; IM Mapping'!$B$2:$B$270,MATCH(TRIM(B7),'CLM &amp; IM Mapping'!$A$2:$A$270,0)),"Not Mapped"))</f>
        <v>Akshay P</v>
      </c>
      <c r="D7" s="14" t="str">
        <f aca="false">IF(B7="","",IFERROR(INDEX('CLM &amp; IM Mapping'!$C$2:$C$270,MATCH(TRIM(B7),'CLM &amp; IM Mapping'!$A$2:$A$270,0)),"Not Mapped"))</f>
        <v>Srittam Dhal</v>
      </c>
      <c r="E7" s="13" t="s">
        <v>18</v>
      </c>
      <c r="F7" s="13" t="s">
        <v>298</v>
      </c>
      <c r="G7" s="13" t="s">
        <v>16</v>
      </c>
      <c r="H7" s="15" t="n">
        <v>4636</v>
      </c>
      <c r="I7" s="16" t="n">
        <v>0.86</v>
      </c>
      <c r="J7" s="16" t="n">
        <v>0.79</v>
      </c>
      <c r="K7" s="16" t="n">
        <v>1</v>
      </c>
      <c r="L7" s="16" t="n">
        <v>0.79</v>
      </c>
    </row>
    <row r="8" customFormat="false" ht="15.75" hidden="false" customHeight="false" outlineLevel="0" collapsed="false">
      <c r="B8" s="13" t="s">
        <v>21</v>
      </c>
      <c r="C8" s="14" t="str">
        <f aca="false">IF(B8="","",IFERROR(INDEX('CLM &amp; IM Mapping'!$B$2:$B$270,MATCH(TRIM(B8),'CLM &amp; IM Mapping'!$A$2:$A$270,0)),"Not Mapped"))</f>
        <v>Arun Raj</v>
      </c>
      <c r="D8" s="14" t="str">
        <f aca="false">IF(B8="","",IFERROR(INDEX('CLM &amp; IM Mapping'!$C$2:$C$270,MATCH(TRIM(B8),'CLM &amp; IM Mapping'!$A$2:$A$270,0)),"Not Mapped"))</f>
        <v>Simon Manoharan</v>
      </c>
      <c r="E8" s="13" t="s">
        <v>22</v>
      </c>
      <c r="F8" s="13" t="s">
        <v>297</v>
      </c>
      <c r="G8" s="13" t="s">
        <v>16</v>
      </c>
      <c r="H8" s="15" t="n">
        <v>13736</v>
      </c>
      <c r="I8" s="16" t="n">
        <v>0.27</v>
      </c>
      <c r="J8" s="16" t="n">
        <v>0.97</v>
      </c>
      <c r="K8" s="16" t="n">
        <v>0.99</v>
      </c>
      <c r="L8" s="16" t="n">
        <v>0.97</v>
      </c>
    </row>
    <row r="9" customFormat="false" ht="15.75" hidden="false" customHeight="false" outlineLevel="0" collapsed="false">
      <c r="B9" s="13" t="s">
        <v>28</v>
      </c>
      <c r="C9" s="14" t="str">
        <f aca="false">IF(B9="","",IFERROR(INDEX('CLM &amp; IM Mapping'!$B$2:$B$270,MATCH(TRIM(B9),'CLM &amp; IM Mapping'!$A$2:$A$270,0)),"Not Mapped"))</f>
        <v>Ravishankar gowda</v>
      </c>
      <c r="D9" s="14" t="str">
        <f aca="false">IF(B9="","",IFERROR(INDEX('CLM &amp; IM Mapping'!$C$2:$C$270,MATCH(TRIM(B9),'CLM &amp; IM Mapping'!$A$2:$A$270,0)),"Not Mapped"))</f>
        <v>Kishor K</v>
      </c>
      <c r="E9" s="13" t="s">
        <v>18</v>
      </c>
      <c r="F9" s="13" t="s">
        <v>298</v>
      </c>
      <c r="G9" s="13" t="s">
        <v>16</v>
      </c>
      <c r="H9" s="15" t="n">
        <v>5893</v>
      </c>
      <c r="I9" s="16" t="n">
        <v>0.77</v>
      </c>
      <c r="J9" s="16" t="n">
        <v>0.88</v>
      </c>
      <c r="K9" s="16" t="n">
        <v>0.97</v>
      </c>
      <c r="L9" s="16" t="n">
        <v>0.88</v>
      </c>
    </row>
    <row r="10" customFormat="false" ht="15.75" hidden="false" customHeight="false" outlineLevel="0" collapsed="false">
      <c r="B10" s="13" t="s">
        <v>29</v>
      </c>
      <c r="C10" s="14" t="str">
        <f aca="false">IF(B10="","",IFERROR(INDEX('CLM &amp; IM Mapping'!$B$2:$B$270,MATCH(TRIM(B10),'CLM &amp; IM Mapping'!$A$2:$A$270,0)),"Not Mapped"))</f>
        <v>Rizwan Ahmed</v>
      </c>
      <c r="D10" s="14" t="str">
        <f aca="false">IF(B10="","",IFERROR(INDEX('CLM &amp; IM Mapping'!$C$2:$C$270,MATCH(TRIM(B10),'CLM &amp; IM Mapping'!$A$2:$A$270,0)),"Not Mapped"))</f>
        <v>Un Mapped</v>
      </c>
      <c r="E10" s="13" t="s">
        <v>18</v>
      </c>
      <c r="F10" s="13" t="s">
        <v>298</v>
      </c>
      <c r="G10" s="13" t="s">
        <v>16</v>
      </c>
      <c r="H10" s="15" t="n">
        <v>6360</v>
      </c>
      <c r="I10" s="16" t="n">
        <v>0.54</v>
      </c>
      <c r="J10" s="16" t="n">
        <v>0.89</v>
      </c>
      <c r="K10" s="16" t="n">
        <v>0.96</v>
      </c>
      <c r="L10" s="16" t="n">
        <v>0.89</v>
      </c>
    </row>
    <row r="11" customFormat="false" ht="15.75" hidden="false" customHeight="false" outlineLevel="0" collapsed="false">
      <c r="B11" s="13" t="s">
        <v>24</v>
      </c>
      <c r="C11" s="14" t="str">
        <f aca="false">IF(B11="","",IFERROR(INDEX('CLM &amp; IM Mapping'!$B$2:$B$270,MATCH(TRIM(B11),'CLM &amp; IM Mapping'!$A$2:$A$270,0)),"Not Mapped"))</f>
        <v>Balaji G</v>
      </c>
      <c r="D11" s="14" t="str">
        <f aca="false">IF(B11="","",IFERROR(INDEX('CLM &amp; IM Mapping'!$C$2:$C$270,MATCH(TRIM(B11),'CLM &amp; IM Mapping'!$A$2:$A$270,0)),"Not Mapped"))</f>
        <v>Mohammed Akbar</v>
      </c>
      <c r="E11" s="13" t="s">
        <v>18</v>
      </c>
      <c r="F11" s="13" t="s">
        <v>298</v>
      </c>
      <c r="G11" s="13" t="s">
        <v>16</v>
      </c>
      <c r="H11" s="15" t="n">
        <v>7445</v>
      </c>
      <c r="I11" s="16" t="n">
        <v>0.95</v>
      </c>
      <c r="J11" s="16" t="n">
        <v>0.94</v>
      </c>
      <c r="K11" s="16" t="n">
        <v>0.97</v>
      </c>
      <c r="L11" s="13"/>
    </row>
    <row r="12" customFormat="false" ht="15.75" hidden="false" customHeight="false" outlineLevel="0" collapsed="false">
      <c r="B12" s="13" t="s">
        <v>27</v>
      </c>
      <c r="C12" s="14" t="str">
        <f aca="false">IF(B12="","",IFERROR(INDEX('CLM &amp; IM Mapping'!$B$2:$B$270,MATCH(TRIM(B12),'CLM &amp; IM Mapping'!$A$2:$A$270,0)),"Not Mapped"))</f>
        <v>Arun Raj</v>
      </c>
      <c r="D12" s="14" t="str">
        <f aca="false">IF(B12="","",IFERROR(INDEX('CLM &amp; IM Mapping'!$C$2:$C$270,MATCH(TRIM(B12),'CLM &amp; IM Mapping'!$A$2:$A$270,0)),"Not Mapped"))</f>
        <v>Simon Manoharan</v>
      </c>
      <c r="E12" s="13" t="s">
        <v>22</v>
      </c>
      <c r="F12" s="13" t="s">
        <v>297</v>
      </c>
      <c r="G12" s="13" t="s">
        <v>16</v>
      </c>
      <c r="H12" s="15" t="n">
        <v>12938</v>
      </c>
      <c r="I12" s="16" t="n">
        <v>0.13</v>
      </c>
      <c r="J12" s="16" t="n">
        <v>0.77</v>
      </c>
      <c r="K12" s="16" t="n">
        <v>0.92</v>
      </c>
      <c r="L12" s="16" t="n">
        <v>0.46</v>
      </c>
    </row>
    <row r="13" customFormat="false" ht="15.75" hidden="false" customHeight="false" outlineLevel="0" collapsed="false">
      <c r="B13" s="13" t="s">
        <v>36</v>
      </c>
      <c r="C13" s="14" t="str">
        <f aca="false">IF(B13="","",IFERROR(INDEX('CLM &amp; IM Mapping'!$B$2:$B$270,MATCH(TRIM(B13),'CLM &amp; IM Mapping'!$A$2:$A$270,0)),"Not Mapped"))</f>
        <v>Keshav G</v>
      </c>
      <c r="D13" s="14" t="str">
        <f aca="false">IF(B13="","",IFERROR(INDEX('CLM &amp; IM Mapping'!$C$2:$C$270,MATCH(TRIM(B13),'CLM &amp; IM Mapping'!$A$2:$A$270,0)),"Not Mapped"))</f>
        <v>Un Mapped</v>
      </c>
      <c r="E13" s="13" t="s">
        <v>18</v>
      </c>
      <c r="F13" s="13" t="s">
        <v>297</v>
      </c>
      <c r="G13" s="13" t="s">
        <v>16</v>
      </c>
      <c r="H13" s="15" t="n">
        <v>5152</v>
      </c>
      <c r="I13" s="16" t="n">
        <v>0.53</v>
      </c>
      <c r="J13" s="16" t="n">
        <v>0.93</v>
      </c>
      <c r="K13" s="16" t="n">
        <v>0.98</v>
      </c>
      <c r="L13" s="16" t="n">
        <v>0.93</v>
      </c>
    </row>
    <row r="14" customFormat="false" ht="15.75" hidden="false" customHeight="false" outlineLevel="0" collapsed="false">
      <c r="B14" s="13" t="s">
        <v>35</v>
      </c>
      <c r="C14" s="14" t="str">
        <f aca="false">IF(B14="","",IFERROR(INDEX('CLM &amp; IM Mapping'!$B$2:$B$270,MATCH(TRIM(B14),'CLM &amp; IM Mapping'!$A$2:$A$270,0)),"Not Mapped"))</f>
        <v>Manjunatha V</v>
      </c>
      <c r="D14" s="14" t="str">
        <f aca="false">IF(B14="","",IFERROR(INDEX('CLM &amp; IM Mapping'!$C$2:$C$270,MATCH(TRIM(B14),'CLM &amp; IM Mapping'!$A$2:$A$270,0)),"Not Mapped"))</f>
        <v>Un Mapped</v>
      </c>
      <c r="E14" s="13" t="s">
        <v>18</v>
      </c>
      <c r="F14" s="13" t="s">
        <v>298</v>
      </c>
      <c r="G14" s="13" t="s">
        <v>16</v>
      </c>
      <c r="H14" s="15" t="n">
        <v>6969</v>
      </c>
      <c r="I14" s="16" t="n">
        <v>0.84</v>
      </c>
      <c r="J14" s="16" t="n">
        <v>0.94</v>
      </c>
      <c r="K14" s="16" t="n">
        <v>0.98</v>
      </c>
      <c r="L14" s="16" t="n">
        <v>0.94</v>
      </c>
    </row>
    <row r="15" customFormat="false" ht="15.75" hidden="false" customHeight="false" outlineLevel="0" collapsed="false">
      <c r="B15" s="13" t="s">
        <v>38</v>
      </c>
      <c r="C15" s="14" t="str">
        <f aca="false">IF(B15="","",IFERROR(INDEX('CLM &amp; IM Mapping'!$B$2:$B$270,MATCH(TRIM(B15),'CLM &amp; IM Mapping'!$A$2:$A$270,0)),"Not Mapped"))</f>
        <v>Saddam Hussain</v>
      </c>
      <c r="D15" s="14" t="str">
        <f aca="false">IF(B15="","",IFERROR(INDEX('CLM &amp; IM Mapping'!$C$2:$C$270,MATCH(TRIM(B15),'CLM &amp; IM Mapping'!$A$2:$A$270,0)),"Not Mapped"))</f>
        <v>Un Mapped</v>
      </c>
      <c r="E15" s="13" t="s">
        <v>18</v>
      </c>
      <c r="F15" s="13" t="s">
        <v>297</v>
      </c>
      <c r="G15" s="13" t="s">
        <v>16</v>
      </c>
      <c r="H15" s="15" t="n">
        <v>5314</v>
      </c>
      <c r="I15" s="16" t="n">
        <v>0.32</v>
      </c>
      <c r="J15" s="16" t="n">
        <v>0.78</v>
      </c>
      <c r="K15" s="16" t="n">
        <v>0.97</v>
      </c>
      <c r="L15" s="16" t="n">
        <v>0.78</v>
      </c>
    </row>
    <row r="16" customFormat="false" ht="15.75" hidden="false" customHeight="false" outlineLevel="0" collapsed="false">
      <c r="B16" s="13" t="s">
        <v>41</v>
      </c>
      <c r="C16" s="14" t="str">
        <f aca="false">IF(B16="","",IFERROR(INDEX('CLM &amp; IM Mapping'!$B$2:$B$270,MATCH(TRIM(B16),'CLM &amp; IM Mapping'!$A$2:$A$270,0)),"Not Mapped"))</f>
        <v>Silambarasan E</v>
      </c>
      <c r="D16" s="14" t="str">
        <f aca="false">IF(B16="","",IFERROR(INDEX('CLM &amp; IM Mapping'!$C$2:$C$270,MATCH(TRIM(B16),'CLM &amp; IM Mapping'!$A$2:$A$270,0)),"Not Mapped"))</f>
        <v>Arivind S</v>
      </c>
      <c r="E16" s="13" t="s">
        <v>18</v>
      </c>
      <c r="F16" s="13" t="s">
        <v>298</v>
      </c>
      <c r="G16" s="13" t="s">
        <v>16</v>
      </c>
      <c r="H16" s="15" t="n">
        <v>5057</v>
      </c>
      <c r="I16" s="16" t="n">
        <v>0.8</v>
      </c>
      <c r="J16" s="16" t="n">
        <v>0.86</v>
      </c>
      <c r="K16" s="16" t="n">
        <v>0.95</v>
      </c>
      <c r="L16" s="16" t="n">
        <v>0.86</v>
      </c>
    </row>
    <row r="17" customFormat="false" ht="15.75" hidden="false" customHeight="false" outlineLevel="0" collapsed="false">
      <c r="B17" s="13" t="s">
        <v>42</v>
      </c>
      <c r="C17" s="14" t="str">
        <f aca="false">IF(B17="","",IFERROR(INDEX('CLM &amp; IM Mapping'!$B$2:$B$270,MATCH(TRIM(B17),'CLM &amp; IM Mapping'!$A$2:$A$270,0)),"Not Mapped"))</f>
        <v>Vijay M</v>
      </c>
      <c r="D17" s="14" t="str">
        <f aca="false">IF(B17="","",IFERROR(INDEX('CLM &amp; IM Mapping'!$C$2:$C$270,MATCH(TRIM(B17),'CLM &amp; IM Mapping'!$A$2:$A$270,0)),"Not Mapped"))</f>
        <v>Kantha Kumar</v>
      </c>
      <c r="E17" s="13" t="s">
        <v>18</v>
      </c>
      <c r="F17" s="13" t="s">
        <v>298</v>
      </c>
      <c r="G17" s="13" t="s">
        <v>16</v>
      </c>
      <c r="H17" s="15" t="n">
        <v>5034</v>
      </c>
      <c r="I17" s="16" t="n">
        <v>0.65</v>
      </c>
      <c r="J17" s="16" t="n">
        <v>0.82</v>
      </c>
      <c r="K17" s="16" t="n">
        <v>0.96</v>
      </c>
      <c r="L17" s="16" t="n">
        <v>0.82</v>
      </c>
    </row>
    <row r="18" customFormat="false" ht="15.75" hidden="false" customHeight="false" outlineLevel="0" collapsed="false">
      <c r="B18" s="13" t="s">
        <v>43</v>
      </c>
      <c r="C18" s="14" t="str">
        <f aca="false">IF(B18="","",IFERROR(INDEX('CLM &amp; IM Mapping'!$B$2:$B$270,MATCH(TRIM(B18),'CLM &amp; IM Mapping'!$A$2:$A$270,0)),"Not Mapped"))</f>
        <v>Vijay M</v>
      </c>
      <c r="D18" s="14" t="str">
        <f aca="false">IF(B18="","",IFERROR(INDEX('CLM &amp; IM Mapping'!$C$2:$C$270,MATCH(TRIM(B18),'CLM &amp; IM Mapping'!$A$2:$A$270,0)),"Not Mapped"))</f>
        <v>Kantha Kumar</v>
      </c>
      <c r="E18" s="13" t="s">
        <v>18</v>
      </c>
      <c r="F18" s="13" t="s">
        <v>297</v>
      </c>
      <c r="G18" s="13" t="s">
        <v>16</v>
      </c>
      <c r="H18" s="15" t="n">
        <v>6121</v>
      </c>
      <c r="I18" s="16" t="n">
        <v>0.86</v>
      </c>
      <c r="J18" s="16" t="n">
        <v>0.93</v>
      </c>
      <c r="K18" s="16" t="n">
        <v>0.97</v>
      </c>
      <c r="L18" s="16" t="n">
        <v>0.93</v>
      </c>
    </row>
    <row r="19" customFormat="false" ht="15.75" hidden="false" customHeight="false" outlineLevel="0" collapsed="false">
      <c r="B19" s="13" t="s">
        <v>40</v>
      </c>
      <c r="C19" s="14" t="str">
        <f aca="false">IF(B19="","",IFERROR(INDEX('CLM &amp; IM Mapping'!$B$2:$B$270,MATCH(TRIM(B19),'CLM &amp; IM Mapping'!$A$2:$A$270,0)),"Not Mapped"))</f>
        <v>Narasimhamurthy R</v>
      </c>
      <c r="D19" s="14" t="str">
        <f aca="false">IF(B19="","",IFERROR(INDEX('CLM &amp; IM Mapping'!$C$2:$C$270,MATCH(TRIM(B19),'CLM &amp; IM Mapping'!$A$2:$A$270,0)),"Not Mapped"))</f>
        <v>Kishor K</v>
      </c>
      <c r="E19" s="13" t="s">
        <v>18</v>
      </c>
      <c r="F19" s="13" t="s">
        <v>298</v>
      </c>
      <c r="G19" s="13" t="s">
        <v>16</v>
      </c>
      <c r="H19" s="15" t="n">
        <v>5783</v>
      </c>
      <c r="I19" s="16" t="n">
        <v>0.57</v>
      </c>
      <c r="J19" s="16" t="n">
        <v>0.86</v>
      </c>
      <c r="K19" s="16" t="n">
        <v>0.95</v>
      </c>
      <c r="L19" s="16" t="n">
        <v>0.86</v>
      </c>
    </row>
    <row r="20" customFormat="false" ht="15.75" hidden="false" customHeight="false" outlineLevel="0" collapsed="false">
      <c r="B20" s="13" t="s">
        <v>46</v>
      </c>
      <c r="C20" s="14" t="str">
        <f aca="false">IF(B20="","",IFERROR(INDEX('CLM &amp; IM Mapping'!$B$2:$B$270,MATCH(TRIM(B20),'CLM &amp; IM Mapping'!$A$2:$A$270,0)),"Not Mapped"))</f>
        <v>Ashwath S</v>
      </c>
      <c r="D20" s="14" t="str">
        <f aca="false">IF(B20="","",IFERROR(INDEX('CLM &amp; IM Mapping'!$C$2:$C$270,MATCH(TRIM(B20),'CLM &amp; IM Mapping'!$A$2:$A$270,0)),"Not Mapped"))</f>
        <v>Kantha Kumar</v>
      </c>
      <c r="E20" s="13" t="s">
        <v>18</v>
      </c>
      <c r="F20" s="13" t="s">
        <v>298</v>
      </c>
      <c r="G20" s="13" t="s">
        <v>16</v>
      </c>
      <c r="H20" s="15" t="n">
        <v>6865</v>
      </c>
      <c r="I20" s="16" t="n">
        <v>0.53</v>
      </c>
      <c r="J20" s="16" t="n">
        <v>0.95</v>
      </c>
      <c r="K20" s="16" t="n">
        <v>0.98</v>
      </c>
      <c r="L20" s="13"/>
    </row>
    <row r="21" customFormat="false" ht="15.75" hidden="false" customHeight="false" outlineLevel="0" collapsed="false">
      <c r="B21" s="13" t="s">
        <v>51</v>
      </c>
      <c r="C21" s="14" t="str">
        <f aca="false">IF(B21="","",IFERROR(INDEX('CLM &amp; IM Mapping'!$B$2:$B$270,MATCH(TRIM(B21),'CLM &amp; IM Mapping'!$A$2:$A$270,0)),"Not Mapped"))</f>
        <v>Arun Raj</v>
      </c>
      <c r="D21" s="14" t="str">
        <f aca="false">IF(B21="","",IFERROR(INDEX('CLM &amp; IM Mapping'!$C$2:$C$270,MATCH(TRIM(B21),'CLM &amp; IM Mapping'!$A$2:$A$270,0)),"Not Mapped"))</f>
        <v>Simon Manoharan</v>
      </c>
      <c r="E21" s="13" t="s">
        <v>22</v>
      </c>
      <c r="F21" s="13" t="s">
        <v>297</v>
      </c>
      <c r="G21" s="13" t="s">
        <v>16</v>
      </c>
      <c r="H21" s="15" t="n">
        <v>13860</v>
      </c>
      <c r="I21" s="16" t="n">
        <v>0.32</v>
      </c>
      <c r="J21" s="16" t="n">
        <v>0.97</v>
      </c>
      <c r="K21" s="16" t="n">
        <v>0.99</v>
      </c>
      <c r="L21" s="16" t="n">
        <v>0.97</v>
      </c>
    </row>
    <row r="22" customFormat="false" ht="15.75" hidden="false" customHeight="false" outlineLevel="0" collapsed="false">
      <c r="B22" s="13" t="s">
        <v>55</v>
      </c>
      <c r="C22" s="14" t="str">
        <f aca="false">IF(B22="","",IFERROR(INDEX('CLM &amp; IM Mapping'!$B$2:$B$270,MATCH(TRIM(B22),'CLM &amp; IM Mapping'!$A$2:$A$270,0)),"Not Mapped"))</f>
        <v>Suhas N</v>
      </c>
      <c r="D22" s="14" t="str">
        <f aca="false">IF(B22="","",IFERROR(INDEX('CLM &amp; IM Mapping'!$C$2:$C$270,MATCH(TRIM(B22),'CLM &amp; IM Mapping'!$A$2:$A$270,0)),"Not Mapped"))</f>
        <v>Aravind S</v>
      </c>
      <c r="E22" s="13" t="s">
        <v>18</v>
      </c>
      <c r="F22" s="13" t="s">
        <v>298</v>
      </c>
      <c r="G22" s="13" t="s">
        <v>16</v>
      </c>
      <c r="H22" s="15" t="n">
        <v>4834</v>
      </c>
      <c r="I22" s="16" t="n">
        <v>0.42</v>
      </c>
      <c r="J22" s="16" t="n">
        <v>0.77</v>
      </c>
      <c r="K22" s="16" t="n">
        <v>0.92</v>
      </c>
      <c r="L22" s="16" t="n">
        <v>0.77</v>
      </c>
    </row>
    <row r="23" customFormat="false" ht="15.75" hidden="false" customHeight="false" outlineLevel="0" collapsed="false">
      <c r="B23" s="13" t="s">
        <v>53</v>
      </c>
      <c r="C23" s="14" t="str">
        <f aca="false">IF(B23="","",IFERROR(INDEX('CLM &amp; IM Mapping'!$B$2:$B$270,MATCH(TRIM(B23),'CLM &amp; IM Mapping'!$A$2:$A$270,0)),"Not Mapped"))</f>
        <v>Ashwath S</v>
      </c>
      <c r="D23" s="14" t="str">
        <f aca="false">IF(B23="","",IFERROR(INDEX('CLM &amp; IM Mapping'!$C$2:$C$270,MATCH(TRIM(B23),'CLM &amp; IM Mapping'!$A$2:$A$270,0)),"Not Mapped"))</f>
        <v>Kantha Kumar</v>
      </c>
      <c r="E23" s="13" t="s">
        <v>18</v>
      </c>
      <c r="F23" s="13" t="s">
        <v>298</v>
      </c>
      <c r="G23" s="13" t="s">
        <v>16</v>
      </c>
      <c r="H23" s="15" t="n">
        <v>7436</v>
      </c>
      <c r="I23" s="16" t="n">
        <v>0.34</v>
      </c>
      <c r="J23" s="16" t="n">
        <v>0.8</v>
      </c>
      <c r="K23" s="16" t="n">
        <v>0.96</v>
      </c>
      <c r="L23" s="16" t="n">
        <v>0.8</v>
      </c>
    </row>
    <row r="24" customFormat="false" ht="15.75" hidden="false" customHeight="false" outlineLevel="0" collapsed="false">
      <c r="B24" s="13" t="s">
        <v>54</v>
      </c>
      <c r="C24" s="14" t="str">
        <f aca="false">IF(B24="","",IFERROR(INDEX('CLM &amp; IM Mapping'!$B$2:$B$270,MATCH(TRIM(B24),'CLM &amp; IM Mapping'!$A$2:$A$270,0)),"Not Mapped"))</f>
        <v>Manoj Kj</v>
      </c>
      <c r="D24" s="14" t="str">
        <f aca="false">IF(B24="","",IFERROR(INDEX('CLM &amp; IM Mapping'!$C$2:$C$270,MATCH(TRIM(B24),'CLM &amp; IM Mapping'!$A$2:$A$270,0)),"Not Mapped"))</f>
        <v>Srittam Dhal</v>
      </c>
      <c r="E24" s="13" t="s">
        <v>18</v>
      </c>
      <c r="F24" s="13" t="s">
        <v>297</v>
      </c>
      <c r="G24" s="13" t="s">
        <v>16</v>
      </c>
      <c r="H24" s="15" t="n">
        <v>4962</v>
      </c>
      <c r="I24" s="16" t="n">
        <v>0.86</v>
      </c>
      <c r="J24" s="16" t="n">
        <v>0.89</v>
      </c>
      <c r="K24" s="16" t="n">
        <v>0.97</v>
      </c>
      <c r="L24" s="16" t="n">
        <v>0.89</v>
      </c>
    </row>
    <row r="25" customFormat="false" ht="15.75" hidden="false" customHeight="false" outlineLevel="0" collapsed="false">
      <c r="B25" s="13" t="s">
        <v>56</v>
      </c>
      <c r="C25" s="14" t="str">
        <f aca="false">IF(B25="","",IFERROR(INDEX('CLM &amp; IM Mapping'!$B$2:$B$270,MATCH(TRIM(B25),'CLM &amp; IM Mapping'!$A$2:$A$270,0)),"Not Mapped"))</f>
        <v>Balaji G</v>
      </c>
      <c r="D25" s="14" t="str">
        <f aca="false">IF(B25="","",IFERROR(INDEX('CLM &amp; IM Mapping'!$C$2:$C$270,MATCH(TRIM(B25),'CLM &amp; IM Mapping'!$A$2:$A$270,0)),"Not Mapped"))</f>
        <v>Mohammed Akbar</v>
      </c>
      <c r="E25" s="13" t="s">
        <v>18</v>
      </c>
      <c r="F25" s="13" t="s">
        <v>298</v>
      </c>
      <c r="G25" s="13" t="s">
        <v>16</v>
      </c>
      <c r="H25" s="15" t="n">
        <v>5948</v>
      </c>
      <c r="I25" s="16" t="n">
        <v>0.79</v>
      </c>
      <c r="J25" s="16" t="n">
        <v>0.9</v>
      </c>
      <c r="K25" s="16" t="n">
        <v>0.98</v>
      </c>
      <c r="L25" s="13"/>
    </row>
    <row r="26" customFormat="false" ht="15.75" hidden="false" customHeight="false" outlineLevel="0" collapsed="false">
      <c r="B26" s="13" t="s">
        <v>61</v>
      </c>
      <c r="C26" s="14" t="str">
        <f aca="false">IF(B26="","",IFERROR(INDEX('CLM &amp; IM Mapping'!$B$2:$B$270,MATCH(TRIM(B26),'CLM &amp; IM Mapping'!$A$2:$A$270,0)),"Not Mapped"))</f>
        <v>Basil Scariya</v>
      </c>
      <c r="D26" s="14" t="str">
        <f aca="false">IF(B26="","",IFERROR(INDEX('CLM &amp; IM Mapping'!$C$2:$C$270,MATCH(TRIM(B26),'CLM &amp; IM Mapping'!$A$2:$A$270,0)),"Not Mapped"))</f>
        <v>Prakash BS</v>
      </c>
      <c r="E26" s="13" t="s">
        <v>18</v>
      </c>
      <c r="F26" s="13" t="s">
        <v>298</v>
      </c>
      <c r="G26" s="13" t="s">
        <v>16</v>
      </c>
      <c r="H26" s="15" t="n">
        <v>5311</v>
      </c>
      <c r="I26" s="16" t="n">
        <v>0.49</v>
      </c>
      <c r="J26" s="16" t="n">
        <v>0.85</v>
      </c>
      <c r="K26" s="16" t="n">
        <v>0.96</v>
      </c>
      <c r="L26" s="16" t="n">
        <v>0.85</v>
      </c>
    </row>
    <row r="27" customFormat="false" ht="15.75" hidden="false" customHeight="false" outlineLevel="0" collapsed="false">
      <c r="B27" s="13" t="s">
        <v>58</v>
      </c>
      <c r="C27" s="14" t="str">
        <f aca="false">IF(B27="","",IFERROR(INDEX('CLM &amp; IM Mapping'!$B$2:$B$270,MATCH(TRIM(B27),'CLM &amp; IM Mapping'!$A$2:$A$270,0)),"Not Mapped"))</f>
        <v>Ashwath S</v>
      </c>
      <c r="D27" s="14" t="str">
        <f aca="false">IF(B27="","",IFERROR(INDEX('CLM &amp; IM Mapping'!$C$2:$C$270,MATCH(TRIM(B27),'CLM &amp; IM Mapping'!$A$2:$A$270,0)),"Not Mapped"))</f>
        <v>Kantha Kumar</v>
      </c>
      <c r="E27" s="13" t="s">
        <v>18</v>
      </c>
      <c r="F27" s="13" t="s">
        <v>298</v>
      </c>
      <c r="G27" s="13" t="s">
        <v>16</v>
      </c>
      <c r="H27" s="15" t="n">
        <v>7207</v>
      </c>
      <c r="I27" s="16" t="n">
        <v>0.82</v>
      </c>
      <c r="J27" s="16" t="n">
        <v>0.95</v>
      </c>
      <c r="K27" s="16" t="n">
        <v>0.99</v>
      </c>
      <c r="L27" s="16" t="n">
        <v>0.95</v>
      </c>
    </row>
    <row r="28" customFormat="false" ht="15.75" hidden="false" customHeight="false" outlineLevel="0" collapsed="false">
      <c r="B28" s="13" t="s">
        <v>59</v>
      </c>
      <c r="C28" s="14" t="str">
        <f aca="false">IF(B28="","",IFERROR(INDEX('CLM &amp; IM Mapping'!$B$2:$B$270,MATCH(TRIM(B28),'CLM &amp; IM Mapping'!$A$2:$A$270,0)),"Not Mapped"))</f>
        <v>Manoj Kj</v>
      </c>
      <c r="D28" s="14" t="str">
        <f aca="false">IF(B28="","",IFERROR(INDEX('CLM &amp; IM Mapping'!$C$2:$C$270,MATCH(TRIM(B28),'CLM &amp; IM Mapping'!$A$2:$A$270,0)),"Not Mapped"))</f>
        <v>Srittam Dhal</v>
      </c>
      <c r="E28" s="13" t="s">
        <v>18</v>
      </c>
      <c r="F28" s="13" t="s">
        <v>298</v>
      </c>
      <c r="G28" s="13" t="s">
        <v>16</v>
      </c>
      <c r="H28" s="15" t="n">
        <v>6275</v>
      </c>
      <c r="I28" s="16" t="n">
        <v>0.64</v>
      </c>
      <c r="J28" s="16" t="n">
        <v>0.81</v>
      </c>
      <c r="K28" s="16" t="n">
        <v>0.93</v>
      </c>
      <c r="L28" s="16" t="n">
        <v>0.81</v>
      </c>
    </row>
    <row r="29" customFormat="false" ht="15.75" hidden="false" customHeight="false" outlineLevel="0" collapsed="false">
      <c r="B29" s="13" t="s">
        <v>62</v>
      </c>
      <c r="C29" s="14" t="str">
        <f aca="false">IF(B29="","",IFERROR(INDEX('CLM &amp; IM Mapping'!$B$2:$B$270,MATCH(TRIM(B29),'CLM &amp; IM Mapping'!$A$2:$A$270,0)),"Not Mapped"))</f>
        <v>Sundaresh S</v>
      </c>
      <c r="D29" s="14" t="str">
        <f aca="false">IF(B29="","",IFERROR(INDEX('CLM &amp; IM Mapping'!$C$2:$C$270,MATCH(TRIM(B29),'CLM &amp; IM Mapping'!$A$2:$A$270,0)),"Not Mapped"))</f>
        <v>Un Mapped</v>
      </c>
      <c r="E29" s="13" t="s">
        <v>18</v>
      </c>
      <c r="F29" s="13" t="s">
        <v>298</v>
      </c>
      <c r="G29" s="13" t="s">
        <v>16</v>
      </c>
      <c r="H29" s="15" t="n">
        <v>7335</v>
      </c>
      <c r="I29" s="16" t="n">
        <v>0.83</v>
      </c>
      <c r="J29" s="16" t="n">
        <v>0.94</v>
      </c>
      <c r="K29" s="16" t="n">
        <v>0.97</v>
      </c>
      <c r="L29" s="13"/>
    </row>
    <row r="30" customFormat="false" ht="15.75" hidden="false" customHeight="false" outlineLevel="0" collapsed="false">
      <c r="B30" s="13" t="s">
        <v>65</v>
      </c>
      <c r="C30" s="14" t="str">
        <f aca="false">IF(B30="","",IFERROR(INDEX('CLM &amp; IM Mapping'!$B$2:$B$270,MATCH(TRIM(B30),'CLM &amp; IM Mapping'!$A$2:$A$270,0)),"Not Mapped"))</f>
        <v>Rizwan Ahmed</v>
      </c>
      <c r="D30" s="14" t="str">
        <f aca="false">IF(B30="","",IFERROR(INDEX('CLM &amp; IM Mapping'!$C$2:$C$270,MATCH(TRIM(B30),'CLM &amp; IM Mapping'!$A$2:$A$270,0)),"Not Mapped"))</f>
        <v>Un Mapped</v>
      </c>
      <c r="E30" s="13" t="s">
        <v>18</v>
      </c>
      <c r="F30" s="13" t="s">
        <v>297</v>
      </c>
      <c r="G30" s="13" t="s">
        <v>16</v>
      </c>
      <c r="H30" s="15" t="n">
        <v>4945</v>
      </c>
      <c r="I30" s="16" t="n">
        <v>0.46</v>
      </c>
      <c r="J30" s="16" t="n">
        <v>0.94</v>
      </c>
      <c r="K30" s="16" t="n">
        <v>0.99</v>
      </c>
      <c r="L30" s="16" t="n">
        <v>0.94</v>
      </c>
    </row>
    <row r="31" customFormat="false" ht="15.75" hidden="false" customHeight="false" outlineLevel="0" collapsed="false">
      <c r="B31" s="13" t="s">
        <v>74</v>
      </c>
      <c r="C31" s="14" t="str">
        <f aca="false">IF(B31="","",IFERROR(INDEX('CLM &amp; IM Mapping'!$B$2:$B$270,MATCH(TRIM(B31),'CLM &amp; IM Mapping'!$A$2:$A$270,0)),"Not Mapped"))</f>
        <v>Balaji G</v>
      </c>
      <c r="D31" s="14" t="str">
        <f aca="false">IF(B31="","",IFERROR(INDEX('CLM &amp; IM Mapping'!$C$2:$C$270,MATCH(TRIM(B31),'CLM &amp; IM Mapping'!$A$2:$A$270,0)),"Not Mapped"))</f>
        <v>Mohammed Akbar</v>
      </c>
      <c r="E31" s="13" t="s">
        <v>18</v>
      </c>
      <c r="F31" s="13" t="s">
        <v>297</v>
      </c>
      <c r="G31" s="13" t="s">
        <v>16</v>
      </c>
      <c r="H31" s="15" t="n">
        <v>6557</v>
      </c>
      <c r="I31" s="16" t="n">
        <v>0.91</v>
      </c>
      <c r="J31" s="16" t="n">
        <v>0.88</v>
      </c>
      <c r="K31" s="16" t="n">
        <v>0.97</v>
      </c>
      <c r="L31" s="16" t="n">
        <v>0.88</v>
      </c>
    </row>
    <row r="32" customFormat="false" ht="15.75" hidden="false" customHeight="false" outlineLevel="0" collapsed="false">
      <c r="B32" s="13" t="s">
        <v>72</v>
      </c>
      <c r="C32" s="14" t="str">
        <f aca="false">IF(B32="","",IFERROR(INDEX('CLM &amp; IM Mapping'!$B$2:$B$270,MATCH(TRIM(B32),'CLM &amp; IM Mapping'!$A$2:$A$270,0)),"Not Mapped"))</f>
        <v>Basil Scariya</v>
      </c>
      <c r="D32" s="14" t="str">
        <f aca="false">IF(B32="","",IFERROR(INDEX('CLM &amp; IM Mapping'!$C$2:$C$270,MATCH(TRIM(B32),'CLM &amp; IM Mapping'!$A$2:$A$270,0)),"Not Mapped"))</f>
        <v>Prakash BS</v>
      </c>
      <c r="E32" s="13" t="s">
        <v>18</v>
      </c>
      <c r="F32" s="13" t="s">
        <v>298</v>
      </c>
      <c r="G32" s="13" t="s">
        <v>16</v>
      </c>
      <c r="H32" s="15" t="n">
        <v>6269</v>
      </c>
      <c r="I32" s="16" t="n">
        <v>0.62</v>
      </c>
      <c r="J32" s="16" t="n">
        <v>0.88</v>
      </c>
      <c r="K32" s="16" t="n">
        <v>0.96</v>
      </c>
      <c r="L32" s="16" t="n">
        <v>0.88</v>
      </c>
    </row>
    <row r="33" customFormat="false" ht="15.75" hidden="false" customHeight="false" outlineLevel="0" collapsed="false">
      <c r="B33" s="13" t="s">
        <v>90</v>
      </c>
      <c r="C33" s="14" t="str">
        <f aca="false">IF(B33="","",IFERROR(INDEX('CLM &amp; IM Mapping'!$B$2:$B$270,MATCH(TRIM(B33),'CLM &amp; IM Mapping'!$A$2:$A$270,0)),"Not Mapped"))</f>
        <v>Ashwath S</v>
      </c>
      <c r="D33" s="14" t="str">
        <f aca="false">IF(B33="","",IFERROR(INDEX('CLM &amp; IM Mapping'!$C$2:$C$270,MATCH(TRIM(B33),'CLM &amp; IM Mapping'!$A$2:$A$270,0)),"Not Mapped"))</f>
        <v>Kantha Kumar</v>
      </c>
      <c r="E33" s="13" t="s">
        <v>18</v>
      </c>
      <c r="F33" s="13" t="s">
        <v>297</v>
      </c>
      <c r="G33" s="13" t="s">
        <v>16</v>
      </c>
      <c r="H33" s="15" t="n">
        <v>4660</v>
      </c>
      <c r="I33" s="16" t="n">
        <v>0.9</v>
      </c>
      <c r="J33" s="16" t="n">
        <v>0.88</v>
      </c>
      <c r="K33" s="16" t="n">
        <v>0.98</v>
      </c>
      <c r="L33" s="16" t="n">
        <v>0.88</v>
      </c>
    </row>
    <row r="34" customFormat="false" ht="15.75" hidden="false" customHeight="false" outlineLevel="0" collapsed="false">
      <c r="B34" s="13" t="s">
        <v>96</v>
      </c>
      <c r="C34" s="14" t="str">
        <f aca="false">IF(B34="","",IFERROR(INDEX('CLM &amp; IM Mapping'!$B$2:$B$270,MATCH(TRIM(B34),'CLM &amp; IM Mapping'!$A$2:$A$270,0)),"Not Mapped"))</f>
        <v>Girish N</v>
      </c>
      <c r="D34" s="14" t="str">
        <f aca="false">IF(B34="","",IFERROR(INDEX('CLM &amp; IM Mapping'!$C$2:$C$270,MATCH(TRIM(B34),'CLM &amp; IM Mapping'!$A$2:$A$270,0)),"Not Mapped"))</f>
        <v>Un Mapped</v>
      </c>
      <c r="E34" s="13" t="s">
        <v>18</v>
      </c>
      <c r="F34" s="13" t="s">
        <v>297</v>
      </c>
      <c r="G34" s="13" t="s">
        <v>16</v>
      </c>
      <c r="H34" s="15" t="n">
        <v>7468</v>
      </c>
      <c r="I34" s="16" t="n">
        <v>0.67</v>
      </c>
      <c r="J34" s="16" t="n">
        <v>0.92</v>
      </c>
      <c r="K34" s="16" t="n">
        <v>0.98</v>
      </c>
      <c r="L34" s="16" t="n">
        <v>0.92</v>
      </c>
    </row>
    <row r="35" customFormat="false" ht="15.75" hidden="false" customHeight="false" outlineLevel="0" collapsed="false">
      <c r="B35" s="13" t="s">
        <v>97</v>
      </c>
      <c r="C35" s="14" t="str">
        <f aca="false">IF(B35="","",IFERROR(INDEX('CLM &amp; IM Mapping'!$B$2:$B$270,MATCH(TRIM(B35),'CLM &amp; IM Mapping'!$A$2:$A$270,0)),"Not Mapped"))</f>
        <v>Arun Raj</v>
      </c>
      <c r="D35" s="14" t="str">
        <f aca="false">IF(B35="","",IFERROR(INDEX('CLM &amp; IM Mapping'!$C$2:$C$270,MATCH(TRIM(B35),'CLM &amp; IM Mapping'!$A$2:$A$270,0)),"Not Mapped"))</f>
        <v>Simon Manoharan</v>
      </c>
      <c r="E35" s="13" t="s">
        <v>22</v>
      </c>
      <c r="F35" s="13" t="s">
        <v>297</v>
      </c>
      <c r="G35" s="13" t="s">
        <v>16</v>
      </c>
      <c r="H35" s="15" t="n">
        <v>7680</v>
      </c>
      <c r="I35" s="16" t="n">
        <v>0.14</v>
      </c>
      <c r="J35" s="16" t="n">
        <v>0.76</v>
      </c>
      <c r="K35" s="16" t="n">
        <v>0.96</v>
      </c>
      <c r="L35" s="16" t="n">
        <v>0.46</v>
      </c>
    </row>
    <row r="36" customFormat="false" ht="15.75" hidden="false" customHeight="false" outlineLevel="0" collapsed="false">
      <c r="B36" s="13" t="s">
        <v>95</v>
      </c>
      <c r="C36" s="14" t="str">
        <f aca="false">IF(B36="","",IFERROR(INDEX('CLM &amp; IM Mapping'!$B$2:$B$270,MATCH(TRIM(B36),'CLM &amp; IM Mapping'!$A$2:$A$270,0)),"Not Mapped"))</f>
        <v>Arun Raj</v>
      </c>
      <c r="D36" s="14" t="str">
        <f aca="false">IF(B36="","",IFERROR(INDEX('CLM &amp; IM Mapping'!$C$2:$C$270,MATCH(TRIM(B36),'CLM &amp; IM Mapping'!$A$2:$A$270,0)),"Not Mapped"))</f>
        <v>Simon Manoharan</v>
      </c>
      <c r="E36" s="13" t="s">
        <v>22</v>
      </c>
      <c r="F36" s="13" t="s">
        <v>297</v>
      </c>
      <c r="G36" s="13" t="s">
        <v>16</v>
      </c>
      <c r="H36" s="15" t="n">
        <v>11966</v>
      </c>
      <c r="I36" s="16" t="n">
        <v>0.54</v>
      </c>
      <c r="J36" s="16" t="n">
        <v>0.98</v>
      </c>
      <c r="K36" s="16" t="n">
        <v>1</v>
      </c>
      <c r="L36" s="16" t="n">
        <v>0.98</v>
      </c>
    </row>
    <row r="37" customFormat="false" ht="15.75" hidden="false" customHeight="false" outlineLevel="0" collapsed="false">
      <c r="B37" s="13" t="s">
        <v>102</v>
      </c>
      <c r="C37" s="14" t="str">
        <f aca="false">IF(B37="","",IFERROR(INDEX('CLM &amp; IM Mapping'!$B$2:$B$270,MATCH(TRIM(B37),'CLM &amp; IM Mapping'!$A$2:$A$270,0)),"Not Mapped"))</f>
        <v>Saddam Hussain</v>
      </c>
      <c r="D37" s="14" t="str">
        <f aca="false">IF(B37="","",IFERROR(INDEX('CLM &amp; IM Mapping'!$C$2:$C$270,MATCH(TRIM(B37),'CLM &amp; IM Mapping'!$A$2:$A$270,0)),"Not Mapped"))</f>
        <v>Un Mapped</v>
      </c>
      <c r="E37" s="13" t="s">
        <v>18</v>
      </c>
      <c r="F37" s="13" t="s">
        <v>297</v>
      </c>
      <c r="G37" s="13" t="s">
        <v>16</v>
      </c>
      <c r="H37" s="15" t="n">
        <v>4901</v>
      </c>
      <c r="I37" s="16" t="n">
        <v>0.64</v>
      </c>
      <c r="J37" s="16" t="n">
        <v>0.9</v>
      </c>
      <c r="K37" s="16" t="n">
        <v>0.98</v>
      </c>
      <c r="L37" s="16" t="n">
        <v>0.9</v>
      </c>
    </row>
    <row r="38" customFormat="false" ht="15.75" hidden="false" customHeight="false" outlineLevel="0" collapsed="false">
      <c r="B38" s="13" t="s">
        <v>100</v>
      </c>
      <c r="C38" s="14" t="str">
        <f aca="false">IF(B38="","",IFERROR(INDEX('CLM &amp; IM Mapping'!$B$2:$B$270,MATCH(TRIM(B38),'CLM &amp; IM Mapping'!$A$2:$A$270,0)),"Not Mapped"))</f>
        <v>Adhavan Subramani</v>
      </c>
      <c r="D38" s="14" t="str">
        <f aca="false">IF(B38="","",IFERROR(INDEX('CLM &amp; IM Mapping'!$C$2:$C$270,MATCH(TRIM(B38),'CLM &amp; IM Mapping'!$A$2:$A$270,0)),"Not Mapped"))</f>
        <v>Mohammed Akbar</v>
      </c>
      <c r="E38" s="13" t="s">
        <v>18</v>
      </c>
      <c r="F38" s="13" t="s">
        <v>298</v>
      </c>
      <c r="G38" s="13" t="s">
        <v>16</v>
      </c>
      <c r="H38" s="15" t="n">
        <v>5573</v>
      </c>
      <c r="I38" s="16" t="n">
        <v>0.53</v>
      </c>
      <c r="J38" s="16" t="n">
        <v>0.86</v>
      </c>
      <c r="K38" s="16" t="n">
        <v>0.94</v>
      </c>
      <c r="L38" s="16" t="n">
        <v>0.86</v>
      </c>
    </row>
    <row r="39" customFormat="false" ht="15.75" hidden="false" customHeight="false" outlineLevel="0" collapsed="false">
      <c r="B39" s="13" t="s">
        <v>113</v>
      </c>
      <c r="C39" s="14" t="str">
        <f aca="false">IF(B39="","",IFERROR(INDEX('CLM &amp; IM Mapping'!$B$2:$B$270,MATCH(TRIM(B39),'CLM &amp; IM Mapping'!$A$2:$A$270,0)),"Not Mapped"))</f>
        <v>Ashwath S</v>
      </c>
      <c r="D39" s="14" t="str">
        <f aca="false">IF(B39="","",IFERROR(INDEX('CLM &amp; IM Mapping'!$C$2:$C$270,MATCH(TRIM(B39),'CLM &amp; IM Mapping'!$A$2:$A$270,0)),"Not Mapped"))</f>
        <v>Kantha Kumar</v>
      </c>
      <c r="E39" s="13" t="s">
        <v>18</v>
      </c>
      <c r="F39" s="13" t="s">
        <v>298</v>
      </c>
      <c r="G39" s="13" t="s">
        <v>16</v>
      </c>
      <c r="H39" s="15" t="n">
        <v>7376</v>
      </c>
      <c r="I39" s="16" t="n">
        <v>0.37</v>
      </c>
      <c r="J39" s="16" t="n">
        <v>0.8</v>
      </c>
      <c r="K39" s="16" t="n">
        <v>0.62</v>
      </c>
      <c r="L39" s="16" t="n">
        <v>0.8</v>
      </c>
    </row>
    <row r="40" customFormat="false" ht="15.75" hidden="false" customHeight="false" outlineLevel="0" collapsed="false">
      <c r="B40" s="13" t="s">
        <v>114</v>
      </c>
      <c r="C40" s="14" t="str">
        <f aca="false">IF(B40="","",IFERROR(INDEX('CLM &amp; IM Mapping'!$B$2:$B$270,MATCH(TRIM(B40),'CLM &amp; IM Mapping'!$A$2:$A$270,0)),"Not Mapped"))</f>
        <v>Akshay P</v>
      </c>
      <c r="D40" s="14" t="str">
        <f aca="false">IF(B40="","",IFERROR(INDEX('CLM &amp; IM Mapping'!$C$2:$C$270,MATCH(TRIM(B40),'CLM &amp; IM Mapping'!$A$2:$A$270,0)),"Not Mapped"))</f>
        <v>Srittam Dhal</v>
      </c>
      <c r="E40" s="13" t="s">
        <v>18</v>
      </c>
      <c r="F40" s="13" t="s">
        <v>297</v>
      </c>
      <c r="G40" s="13" t="s">
        <v>16</v>
      </c>
      <c r="H40" s="15" t="n">
        <v>6639</v>
      </c>
      <c r="I40" s="16" t="n">
        <v>0.4</v>
      </c>
      <c r="J40" s="16" t="n">
        <v>0.87</v>
      </c>
      <c r="K40" s="16" t="n">
        <v>0.97</v>
      </c>
      <c r="L40" s="16" t="n">
        <v>0.87</v>
      </c>
    </row>
    <row r="41" customFormat="false" ht="15.75" hidden="false" customHeight="false" outlineLevel="0" collapsed="false">
      <c r="B41" s="13" t="s">
        <v>119</v>
      </c>
      <c r="C41" s="14" t="str">
        <f aca="false">IF(B41="","",IFERROR(INDEX('CLM &amp; IM Mapping'!$B$2:$B$270,MATCH(TRIM(B41),'CLM &amp; IM Mapping'!$A$2:$A$270,0)),"Not Mapped"))</f>
        <v>Arun Raj</v>
      </c>
      <c r="D41" s="14" t="str">
        <f aca="false">IF(B41="","",IFERROR(INDEX('CLM &amp; IM Mapping'!$C$2:$C$270,MATCH(TRIM(B41),'CLM &amp; IM Mapping'!$A$2:$A$270,0)),"Not Mapped"))</f>
        <v>Simon Manoharan</v>
      </c>
      <c r="E41" s="13" t="s">
        <v>22</v>
      </c>
      <c r="F41" s="13" t="s">
        <v>297</v>
      </c>
      <c r="G41" s="13" t="s">
        <v>16</v>
      </c>
      <c r="H41" s="15" t="n">
        <v>13730</v>
      </c>
      <c r="I41" s="16" t="n">
        <v>0.06</v>
      </c>
      <c r="J41" s="16" t="n">
        <v>0.96</v>
      </c>
      <c r="K41" s="16" t="n">
        <v>0.98</v>
      </c>
      <c r="L41" s="16" t="n">
        <v>0.26</v>
      </c>
    </row>
    <row r="42" customFormat="false" ht="15.75" hidden="false" customHeight="false" outlineLevel="0" collapsed="false">
      <c r="B42" s="13" t="s">
        <v>117</v>
      </c>
      <c r="C42" s="14" t="str">
        <f aca="false">IF(B42="","",IFERROR(INDEX('CLM &amp; IM Mapping'!$B$2:$B$270,MATCH(TRIM(B42),'CLM &amp; IM Mapping'!$A$2:$A$270,0)),"Not Mapped"))</f>
        <v>Saddam Hussain</v>
      </c>
      <c r="D42" s="14" t="str">
        <f aca="false">IF(B42="","",IFERROR(INDEX('CLM &amp; IM Mapping'!$C$2:$C$270,MATCH(TRIM(B42),'CLM &amp; IM Mapping'!$A$2:$A$270,0)),"Not Mapped"))</f>
        <v>Un Mapped</v>
      </c>
      <c r="E42" s="13" t="s">
        <v>18</v>
      </c>
      <c r="F42" s="13" t="s">
        <v>298</v>
      </c>
      <c r="G42" s="13" t="s">
        <v>16</v>
      </c>
      <c r="H42" s="15" t="n">
        <v>6691</v>
      </c>
      <c r="I42" s="16" t="n">
        <v>0.23</v>
      </c>
      <c r="J42" s="16" t="n">
        <v>0.73</v>
      </c>
      <c r="K42" s="16" t="n">
        <v>0.86</v>
      </c>
      <c r="L42" s="16" t="n">
        <v>0.73</v>
      </c>
    </row>
    <row r="43" customFormat="false" ht="15.75" hidden="false" customHeight="false" outlineLevel="0" collapsed="false">
      <c r="B43" s="13" t="s">
        <v>123</v>
      </c>
      <c r="C43" s="14" t="str">
        <f aca="false">IF(B43="","",IFERROR(INDEX('CLM &amp; IM Mapping'!$B$2:$B$270,MATCH(TRIM(B43),'CLM &amp; IM Mapping'!$A$2:$A$270,0)),"Not Mapped"))</f>
        <v>Saddam Hussain</v>
      </c>
      <c r="D43" s="14" t="str">
        <f aca="false">IF(B43="","",IFERROR(INDEX('CLM &amp; IM Mapping'!$C$2:$C$270,MATCH(TRIM(B43),'CLM &amp; IM Mapping'!$A$2:$A$270,0)),"Not Mapped"))</f>
        <v>Un Mapped</v>
      </c>
      <c r="E43" s="13" t="s">
        <v>18</v>
      </c>
      <c r="F43" s="13" t="s">
        <v>298</v>
      </c>
      <c r="G43" s="13" t="s">
        <v>16</v>
      </c>
      <c r="H43" s="15" t="n">
        <v>5663</v>
      </c>
      <c r="I43" s="16" t="n">
        <v>0.7</v>
      </c>
      <c r="J43" s="16" t="n">
        <v>0.94</v>
      </c>
      <c r="K43" s="16" t="n">
        <v>0.99</v>
      </c>
      <c r="L43" s="16" t="n">
        <v>0.94</v>
      </c>
    </row>
    <row r="44" customFormat="false" ht="15.75" hidden="false" customHeight="false" outlineLevel="0" collapsed="false">
      <c r="B44" s="13" t="s">
        <v>125</v>
      </c>
      <c r="C44" s="14" t="str">
        <f aca="false">IF(B44="","",IFERROR(INDEX('CLM &amp; IM Mapping'!$B$2:$B$270,MATCH(TRIM(B44),'CLM &amp; IM Mapping'!$A$2:$A$270,0)),"Not Mapped"))</f>
        <v>Sundaresh S</v>
      </c>
      <c r="D44" s="14" t="str">
        <f aca="false">IF(B44="","",IFERROR(INDEX('CLM &amp; IM Mapping'!$C$2:$C$270,MATCH(TRIM(B44),'CLM &amp; IM Mapping'!$A$2:$A$270,0)),"Not Mapped"))</f>
        <v>Un Mapped</v>
      </c>
      <c r="E44" s="13" t="s">
        <v>18</v>
      </c>
      <c r="F44" s="13" t="s">
        <v>298</v>
      </c>
      <c r="G44" s="13" t="s">
        <v>16</v>
      </c>
      <c r="H44" s="15" t="n">
        <v>6352</v>
      </c>
      <c r="I44" s="16" t="n">
        <v>0.29</v>
      </c>
      <c r="J44" s="16" t="n">
        <v>0.69</v>
      </c>
      <c r="K44" s="16" t="n">
        <v>0.93</v>
      </c>
      <c r="L44" s="16" t="n">
        <v>0.69</v>
      </c>
    </row>
    <row r="45" customFormat="false" ht="15.75" hidden="false" customHeight="false" outlineLevel="0" collapsed="false">
      <c r="B45" s="13" t="s">
        <v>126</v>
      </c>
      <c r="C45" s="14" t="str">
        <f aca="false">IF(B45="","",IFERROR(INDEX('CLM &amp; IM Mapping'!$B$2:$B$270,MATCH(TRIM(B45),'CLM &amp; IM Mapping'!$A$2:$A$270,0)),"Not Mapped"))</f>
        <v>Raghavendra Vernekar</v>
      </c>
      <c r="D45" s="14" t="str">
        <f aca="false">IF(B45="","",IFERROR(INDEX('CLM &amp; IM Mapping'!$C$2:$C$270,MATCH(TRIM(B45),'CLM &amp; IM Mapping'!$A$2:$A$270,0)),"Not Mapped"))</f>
        <v>Prakash BS</v>
      </c>
      <c r="E45" s="13" t="s">
        <v>18</v>
      </c>
      <c r="F45" s="13" t="s">
        <v>297</v>
      </c>
      <c r="G45" s="13" t="s">
        <v>16</v>
      </c>
      <c r="H45" s="15" t="n">
        <v>4755</v>
      </c>
      <c r="I45" s="16" t="n">
        <v>0.99</v>
      </c>
      <c r="J45" s="16" t="n">
        <v>0.94</v>
      </c>
      <c r="K45" s="16" t="n">
        <v>0.99</v>
      </c>
      <c r="L45" s="16" t="n">
        <v>0.94</v>
      </c>
    </row>
    <row r="46" customFormat="false" ht="15.75" hidden="false" customHeight="false" outlineLevel="0" collapsed="false">
      <c r="B46" s="13" t="s">
        <v>124</v>
      </c>
      <c r="C46" s="14" t="str">
        <f aca="false">IF(B46="","",IFERROR(INDEX('CLM &amp; IM Mapping'!$B$2:$B$270,MATCH(TRIM(B46),'CLM &amp; IM Mapping'!$A$2:$A$270,0)),"Not Mapped"))</f>
        <v>Akshay P</v>
      </c>
      <c r="D46" s="14" t="str">
        <f aca="false">IF(B46="","",IFERROR(INDEX('CLM &amp; IM Mapping'!$C$2:$C$270,MATCH(TRIM(B46),'CLM &amp; IM Mapping'!$A$2:$A$270,0)),"Not Mapped"))</f>
        <v>Srittam Dhal</v>
      </c>
      <c r="E46" s="13" t="s">
        <v>18</v>
      </c>
      <c r="F46" s="13" t="s">
        <v>298</v>
      </c>
      <c r="G46" s="13" t="s">
        <v>16</v>
      </c>
      <c r="H46" s="15" t="n">
        <v>7531</v>
      </c>
      <c r="I46" s="16" t="n">
        <v>0.31</v>
      </c>
      <c r="J46" s="16" t="n">
        <v>0.82</v>
      </c>
      <c r="K46" s="16" t="n">
        <v>0.89</v>
      </c>
      <c r="L46" s="16" t="n">
        <v>0.82</v>
      </c>
    </row>
    <row r="47" customFormat="false" ht="15.75" hidden="false" customHeight="false" outlineLevel="0" collapsed="false">
      <c r="B47" s="13" t="s">
        <v>132</v>
      </c>
      <c r="C47" s="14" t="str">
        <f aca="false">IF(B47="","",IFERROR(INDEX('CLM &amp; IM Mapping'!$B$2:$B$270,MATCH(TRIM(B47),'CLM &amp; IM Mapping'!$A$2:$A$270,0)),"Not Mapped"))</f>
        <v>Arun Raj</v>
      </c>
      <c r="D47" s="14" t="str">
        <f aca="false">IF(B47="","",IFERROR(INDEX('CLM &amp; IM Mapping'!$C$2:$C$270,MATCH(TRIM(B47),'CLM &amp; IM Mapping'!$A$2:$A$270,0)),"Not Mapped"))</f>
        <v>Simon Manoharan</v>
      </c>
      <c r="E47" s="13" t="s">
        <v>22</v>
      </c>
      <c r="F47" s="13" t="s">
        <v>297</v>
      </c>
      <c r="G47" s="13" t="s">
        <v>16</v>
      </c>
      <c r="H47" s="15" t="n">
        <v>12700</v>
      </c>
      <c r="I47" s="16" t="n">
        <v>0.53</v>
      </c>
      <c r="J47" s="16" t="n">
        <v>0.97</v>
      </c>
      <c r="K47" s="16" t="n">
        <v>0.99</v>
      </c>
      <c r="L47" s="16" t="n">
        <v>0.97</v>
      </c>
    </row>
    <row r="48" customFormat="false" ht="15.75" hidden="false" customHeight="false" outlineLevel="0" collapsed="false">
      <c r="B48" s="13" t="s">
        <v>128</v>
      </c>
      <c r="C48" s="14" t="str">
        <f aca="false">IF(B48="","",IFERROR(INDEX('CLM &amp; IM Mapping'!$B$2:$B$270,MATCH(TRIM(B48),'CLM &amp; IM Mapping'!$A$2:$A$270,0)),"Not Mapped"))</f>
        <v>Silambarasan E</v>
      </c>
      <c r="D48" s="14" t="str">
        <f aca="false">IF(B48="","",IFERROR(INDEX('CLM &amp; IM Mapping'!$C$2:$C$270,MATCH(TRIM(B48),'CLM &amp; IM Mapping'!$A$2:$A$270,0)),"Not Mapped"))</f>
        <v>Arivind S</v>
      </c>
      <c r="E48" s="13" t="s">
        <v>18</v>
      </c>
      <c r="F48" s="13" t="s">
        <v>298</v>
      </c>
      <c r="G48" s="13" t="s">
        <v>16</v>
      </c>
      <c r="H48" s="15" t="n">
        <v>6145</v>
      </c>
      <c r="I48" s="16" t="n">
        <v>0.49</v>
      </c>
      <c r="J48" s="16" t="n">
        <v>0.87</v>
      </c>
      <c r="K48" s="16" t="n">
        <v>0.97</v>
      </c>
      <c r="L48" s="16" t="n">
        <v>0.87</v>
      </c>
    </row>
    <row r="49" customFormat="false" ht="15.75" hidden="false" customHeight="false" outlineLevel="0" collapsed="false">
      <c r="B49" s="13" t="s">
        <v>127</v>
      </c>
      <c r="C49" s="14" t="str">
        <f aca="false">IF(B49="","",IFERROR(INDEX('CLM &amp; IM Mapping'!$B$2:$B$270,MATCH(TRIM(B49),'CLM &amp; IM Mapping'!$A$2:$A$270,0)),"Not Mapped"))</f>
        <v>Rizwan Ahmed</v>
      </c>
      <c r="D49" s="14" t="str">
        <f aca="false">IF(B49="","",IFERROR(INDEX('CLM &amp; IM Mapping'!$C$2:$C$270,MATCH(TRIM(B49),'CLM &amp; IM Mapping'!$A$2:$A$270,0)),"Not Mapped"))</f>
        <v>Un Mapped</v>
      </c>
      <c r="E49" s="13" t="s">
        <v>18</v>
      </c>
      <c r="F49" s="13" t="s">
        <v>298</v>
      </c>
      <c r="G49" s="13" t="s">
        <v>16</v>
      </c>
      <c r="H49" s="15" t="n">
        <v>7186</v>
      </c>
      <c r="I49" s="16" t="n">
        <v>0.78</v>
      </c>
      <c r="J49" s="16" t="n">
        <v>0.86</v>
      </c>
      <c r="K49" s="16" t="n">
        <v>0.94</v>
      </c>
      <c r="L49" s="16" t="n">
        <v>0.86</v>
      </c>
    </row>
    <row r="50" customFormat="false" ht="15.75" hidden="false" customHeight="false" outlineLevel="0" collapsed="false">
      <c r="B50" s="13" t="s">
        <v>134</v>
      </c>
      <c r="C50" s="14" t="str">
        <f aca="false">IF(B50="","",IFERROR(INDEX('CLM &amp; IM Mapping'!$B$2:$B$270,MATCH(TRIM(B50),'CLM &amp; IM Mapping'!$A$2:$A$270,0)),"Not Mapped"))</f>
        <v>Keshav G</v>
      </c>
      <c r="D50" s="14" t="str">
        <f aca="false">IF(B50="","",IFERROR(INDEX('CLM &amp; IM Mapping'!$C$2:$C$270,MATCH(TRIM(B50),'CLM &amp; IM Mapping'!$A$2:$A$270,0)),"Not Mapped"))</f>
        <v>Un Mapped</v>
      </c>
      <c r="E50" s="13" t="s">
        <v>18</v>
      </c>
      <c r="F50" s="13" t="s">
        <v>298</v>
      </c>
      <c r="G50" s="13" t="s">
        <v>16</v>
      </c>
      <c r="H50" s="15" t="n">
        <v>5873</v>
      </c>
      <c r="I50" s="16" t="n">
        <v>0.25</v>
      </c>
      <c r="J50" s="16" t="n">
        <v>0.73</v>
      </c>
      <c r="K50" s="16" t="n">
        <v>0.95</v>
      </c>
      <c r="L50" s="16" t="n">
        <v>0.73</v>
      </c>
    </row>
    <row r="51" customFormat="false" ht="15.75" hidden="false" customHeight="false" outlineLevel="0" collapsed="false">
      <c r="B51" s="13" t="s">
        <v>137</v>
      </c>
      <c r="C51" s="14" t="str">
        <f aca="false">IF(B51="","",IFERROR(INDEX('CLM &amp; IM Mapping'!$B$2:$B$270,MATCH(TRIM(B51),'CLM &amp; IM Mapping'!$A$2:$A$270,0)),"Not Mapped"))</f>
        <v>Raghavendra Vernekar</v>
      </c>
      <c r="D51" s="14" t="str">
        <f aca="false">IF(B51="","",IFERROR(INDEX('CLM &amp; IM Mapping'!$C$2:$C$270,MATCH(TRIM(B51),'CLM &amp; IM Mapping'!$A$2:$A$270,0)),"Not Mapped"))</f>
        <v>Prakash BS</v>
      </c>
      <c r="E51" s="13" t="s">
        <v>18</v>
      </c>
      <c r="F51" s="13" t="s">
        <v>297</v>
      </c>
      <c r="G51" s="13" t="s">
        <v>16</v>
      </c>
      <c r="H51" s="15" t="n">
        <v>6976</v>
      </c>
      <c r="I51" s="16" t="n">
        <v>0.77</v>
      </c>
      <c r="J51" s="16" t="n">
        <v>0.85</v>
      </c>
      <c r="K51" s="16" t="n">
        <v>0.96</v>
      </c>
      <c r="L51" s="16" t="n">
        <v>0.85</v>
      </c>
    </row>
    <row r="52" customFormat="false" ht="15.75" hidden="false" customHeight="false" outlineLevel="0" collapsed="false">
      <c r="B52" s="13" t="s">
        <v>140</v>
      </c>
      <c r="C52" s="14" t="str">
        <f aca="false">IF(B52="","",IFERROR(INDEX('CLM &amp; IM Mapping'!$B$2:$B$270,MATCH(TRIM(B52),'CLM &amp; IM Mapping'!$A$2:$A$270,0)),"Not Mapped"))</f>
        <v>Mohaideen DH</v>
      </c>
      <c r="D52" s="14" t="str">
        <f aca="false">IF(B52="","",IFERROR(INDEX('CLM &amp; IM Mapping'!$C$2:$C$270,MATCH(TRIM(B52),'CLM &amp; IM Mapping'!$A$2:$A$270,0)),"Not Mapped"))</f>
        <v>Mohammed Akbar</v>
      </c>
      <c r="E52" s="13" t="s">
        <v>18</v>
      </c>
      <c r="F52" s="13" t="s">
        <v>298</v>
      </c>
      <c r="G52" s="13" t="s">
        <v>16</v>
      </c>
      <c r="H52" s="15" t="n">
        <v>4964</v>
      </c>
      <c r="I52" s="16" t="n">
        <v>0.74</v>
      </c>
      <c r="J52" s="16" t="n">
        <v>0.83</v>
      </c>
      <c r="K52" s="16" t="n">
        <v>0.96</v>
      </c>
      <c r="L52" s="16" t="n">
        <v>0.83</v>
      </c>
    </row>
    <row r="53" customFormat="false" ht="15.75" hidden="false" customHeight="false" outlineLevel="0" collapsed="false">
      <c r="B53" s="13" t="s">
        <v>142</v>
      </c>
      <c r="C53" s="14" t="str">
        <f aca="false">IF(B53="","",IFERROR(INDEX('CLM &amp; IM Mapping'!$B$2:$B$270,MATCH(TRIM(B53),'CLM &amp; IM Mapping'!$A$2:$A$270,0)),"Not Mapped"))</f>
        <v>Girish N</v>
      </c>
      <c r="D53" s="14" t="str">
        <f aca="false">IF(B53="","",IFERROR(INDEX('CLM &amp; IM Mapping'!$C$2:$C$270,MATCH(TRIM(B53),'CLM &amp; IM Mapping'!$A$2:$A$270,0)),"Not Mapped"))</f>
        <v>Un Mapped</v>
      </c>
      <c r="E53" s="13" t="s">
        <v>18</v>
      </c>
      <c r="F53" s="13" t="s">
        <v>298</v>
      </c>
      <c r="G53" s="13" t="s">
        <v>16</v>
      </c>
      <c r="H53" s="15" t="n">
        <v>5859</v>
      </c>
      <c r="I53" s="16" t="n">
        <v>0.64</v>
      </c>
      <c r="J53" s="16" t="n">
        <v>0.84</v>
      </c>
      <c r="K53" s="16" t="n">
        <v>0.94</v>
      </c>
      <c r="L53" s="16" t="n">
        <v>0.84</v>
      </c>
    </row>
    <row r="54" customFormat="false" ht="15.75" hidden="false" customHeight="false" outlineLevel="0" collapsed="false">
      <c r="B54" s="13" t="s">
        <v>145</v>
      </c>
      <c r="C54" s="14" t="str">
        <f aca="false">IF(B54="","",IFERROR(INDEX('CLM &amp; IM Mapping'!$B$2:$B$270,MATCH(TRIM(B54),'CLM &amp; IM Mapping'!$A$2:$A$270,0)),"Not Mapped"))</f>
        <v>Saddam Hussain</v>
      </c>
      <c r="D54" s="14" t="str">
        <f aca="false">IF(B54="","",IFERROR(INDEX('CLM &amp; IM Mapping'!$C$2:$C$270,MATCH(TRIM(B54),'CLM &amp; IM Mapping'!$A$2:$A$270,0)),"Not Mapped"))</f>
        <v>Un Mapped</v>
      </c>
      <c r="E54" s="13" t="s">
        <v>18</v>
      </c>
      <c r="F54" s="13" t="s">
        <v>298</v>
      </c>
      <c r="G54" s="13" t="s">
        <v>16</v>
      </c>
      <c r="H54" s="15" t="n">
        <v>6537</v>
      </c>
      <c r="I54" s="16" t="n">
        <v>0.65</v>
      </c>
      <c r="J54" s="16" t="n">
        <v>0.91</v>
      </c>
      <c r="K54" s="16" t="n">
        <v>0.97</v>
      </c>
      <c r="L54" s="16" t="n">
        <v>0.91</v>
      </c>
    </row>
    <row r="55" customFormat="false" ht="15.75" hidden="false" customHeight="false" outlineLevel="0" collapsed="false">
      <c r="B55" s="13" t="s">
        <v>143</v>
      </c>
      <c r="C55" s="14" t="str">
        <f aca="false">IF(B55="","",IFERROR(INDEX('CLM &amp; IM Mapping'!$B$2:$B$270,MATCH(TRIM(B55),'CLM &amp; IM Mapping'!$A$2:$A$270,0)),"Not Mapped"))</f>
        <v>Ashwath S</v>
      </c>
      <c r="D55" s="14" t="str">
        <f aca="false">IF(B55="","",IFERROR(INDEX('CLM &amp; IM Mapping'!$C$2:$C$270,MATCH(TRIM(B55),'CLM &amp; IM Mapping'!$A$2:$A$270,0)),"Not Mapped"))</f>
        <v>Kantha Kumar</v>
      </c>
      <c r="E55" s="13" t="s">
        <v>18</v>
      </c>
      <c r="F55" s="13" t="s">
        <v>298</v>
      </c>
      <c r="G55" s="13" t="s">
        <v>16</v>
      </c>
      <c r="H55" s="15" t="n">
        <v>5883</v>
      </c>
      <c r="I55" s="16" t="n">
        <v>0.48</v>
      </c>
      <c r="J55" s="16" t="n">
        <v>0.88</v>
      </c>
      <c r="K55" s="16" t="n">
        <v>0.94</v>
      </c>
      <c r="L55" s="16" t="n">
        <v>0.88</v>
      </c>
    </row>
    <row r="56" customFormat="false" ht="15.75" hidden="false" customHeight="false" outlineLevel="0" collapsed="false">
      <c r="B56" s="13" t="s">
        <v>154</v>
      </c>
      <c r="C56" s="14" t="str">
        <f aca="false">IF(B56="","",IFERROR(INDEX('CLM &amp; IM Mapping'!$B$2:$B$270,MATCH(TRIM(B56),'CLM &amp; IM Mapping'!$A$2:$A$270,0)),"Not Mapped"))</f>
        <v>Manoj Kj</v>
      </c>
      <c r="D56" s="14" t="str">
        <f aca="false">IF(B56="","",IFERROR(INDEX('CLM &amp; IM Mapping'!$C$2:$C$270,MATCH(TRIM(B56),'CLM &amp; IM Mapping'!$A$2:$A$270,0)),"Not Mapped"))</f>
        <v>Srittam Dhal</v>
      </c>
      <c r="E56" s="13" t="s">
        <v>18</v>
      </c>
      <c r="F56" s="13" t="s">
        <v>298</v>
      </c>
      <c r="G56" s="13" t="s">
        <v>16</v>
      </c>
      <c r="H56" s="15" t="n">
        <v>4048</v>
      </c>
      <c r="I56" s="16" t="n">
        <v>0.95</v>
      </c>
      <c r="J56" s="16" t="n">
        <v>0.87</v>
      </c>
      <c r="K56" s="16" t="n">
        <v>0.96</v>
      </c>
      <c r="L56" s="16" t="n">
        <v>0.87</v>
      </c>
    </row>
    <row r="57" customFormat="false" ht="15.75" hidden="false" customHeight="false" outlineLevel="0" collapsed="false">
      <c r="B57" s="13" t="s">
        <v>157</v>
      </c>
      <c r="C57" s="14" t="str">
        <f aca="false">IF(B57="","",IFERROR(INDEX('CLM &amp; IM Mapping'!$B$2:$B$270,MATCH(TRIM(B57),'CLM &amp; IM Mapping'!$A$2:$A$270,0)),"Not Mapped"))</f>
        <v>Arun Raj</v>
      </c>
      <c r="D57" s="14" t="str">
        <f aca="false">IF(B57="","",IFERROR(INDEX('CLM &amp; IM Mapping'!$C$2:$C$270,MATCH(TRIM(B57),'CLM &amp; IM Mapping'!$A$2:$A$270,0)),"Not Mapped"))</f>
        <v>Simon Manoharan</v>
      </c>
      <c r="E57" s="13" t="s">
        <v>22</v>
      </c>
      <c r="F57" s="13" t="s">
        <v>297</v>
      </c>
      <c r="G57" s="13" t="s">
        <v>16</v>
      </c>
      <c r="H57" s="15" t="n">
        <v>14855</v>
      </c>
      <c r="I57" s="16" t="n">
        <v>0.66</v>
      </c>
      <c r="J57" s="16" t="n">
        <v>0.95</v>
      </c>
      <c r="K57" s="16" t="n">
        <v>0.98</v>
      </c>
      <c r="L57" s="16" t="n">
        <v>0.95</v>
      </c>
    </row>
    <row r="58" customFormat="false" ht="15.75" hidden="false" customHeight="false" outlineLevel="0" collapsed="false">
      <c r="B58" s="13" t="s">
        <v>161</v>
      </c>
      <c r="C58" s="14" t="str">
        <f aca="false">IF(B58="","",IFERROR(INDEX('CLM &amp; IM Mapping'!$B$2:$B$270,MATCH(TRIM(B58),'CLM &amp; IM Mapping'!$A$2:$A$270,0)),"Not Mapped"))</f>
        <v>Raghavendra Vernekar</v>
      </c>
      <c r="D58" s="14" t="str">
        <f aca="false">IF(B58="","",IFERROR(INDEX('CLM &amp; IM Mapping'!$C$2:$C$270,MATCH(TRIM(B58),'CLM &amp; IM Mapping'!$A$2:$A$270,0)),"Not Mapped"))</f>
        <v>Prakash BS</v>
      </c>
      <c r="E58" s="13" t="s">
        <v>18</v>
      </c>
      <c r="F58" s="13" t="s">
        <v>298</v>
      </c>
      <c r="G58" s="13" t="s">
        <v>16</v>
      </c>
      <c r="H58" s="15" t="n">
        <v>5732</v>
      </c>
      <c r="I58" s="16" t="n">
        <v>0.55</v>
      </c>
      <c r="J58" s="16" t="n">
        <v>0.94</v>
      </c>
      <c r="K58" s="16" t="n">
        <v>0.98</v>
      </c>
      <c r="L58" s="16" t="n">
        <v>0.94</v>
      </c>
    </row>
    <row r="59" customFormat="false" ht="15.75" hidden="false" customHeight="false" outlineLevel="0" collapsed="false">
      <c r="B59" s="13" t="s">
        <v>160</v>
      </c>
      <c r="C59" s="14" t="str">
        <f aca="false">IF(B59="","",IFERROR(INDEX('CLM &amp; IM Mapping'!$B$2:$B$270,MATCH(TRIM(B59),'CLM &amp; IM Mapping'!$A$2:$A$270,0)),"Not Mapped"))</f>
        <v>Richard Harris</v>
      </c>
      <c r="D59" s="14" t="str">
        <f aca="false">IF(B59="","",IFERROR(INDEX('CLM &amp; IM Mapping'!$C$2:$C$270,MATCH(TRIM(B59),'CLM &amp; IM Mapping'!$A$2:$A$270,0)),"Not Mapped"))</f>
        <v>Kantha Kumar</v>
      </c>
      <c r="E59" s="13" t="s">
        <v>18</v>
      </c>
      <c r="F59" s="13" t="s">
        <v>298</v>
      </c>
      <c r="G59" s="13" t="s">
        <v>16</v>
      </c>
      <c r="H59" s="15" t="n">
        <v>4538</v>
      </c>
      <c r="I59" s="16" t="n">
        <v>0.22</v>
      </c>
      <c r="J59" s="16" t="n">
        <v>0.41</v>
      </c>
      <c r="K59" s="16" t="n">
        <v>0.83</v>
      </c>
      <c r="L59" s="16" t="n">
        <v>0.39</v>
      </c>
    </row>
    <row r="60" customFormat="false" ht="15.75" hidden="false" customHeight="false" outlineLevel="0" collapsed="false">
      <c r="B60" s="13" t="s">
        <v>165</v>
      </c>
      <c r="C60" s="14" t="str">
        <f aca="false">IF(B60="","",IFERROR(INDEX('CLM &amp; IM Mapping'!$B$2:$B$270,MATCH(TRIM(B60),'CLM &amp; IM Mapping'!$A$2:$A$270,0)),"Not Mapped"))</f>
        <v>Akshay P</v>
      </c>
      <c r="D60" s="14" t="str">
        <f aca="false">IF(B60="","",IFERROR(INDEX('CLM &amp; IM Mapping'!$C$2:$C$270,MATCH(TRIM(B60),'CLM &amp; IM Mapping'!$A$2:$A$270,0)),"Not Mapped"))</f>
        <v>Srittam Dhal</v>
      </c>
      <c r="E60" s="13" t="s">
        <v>18</v>
      </c>
      <c r="F60" s="13" t="s">
        <v>298</v>
      </c>
      <c r="G60" s="13" t="s">
        <v>16</v>
      </c>
      <c r="H60" s="15" t="n">
        <v>5173</v>
      </c>
      <c r="I60" s="16" t="n">
        <v>0.57</v>
      </c>
      <c r="J60" s="16" t="n">
        <v>0.88</v>
      </c>
      <c r="K60" s="16" t="n">
        <v>0.96</v>
      </c>
      <c r="L60" s="16" t="n">
        <v>0.88</v>
      </c>
    </row>
    <row r="61" customFormat="false" ht="15.75" hidden="false" customHeight="false" outlineLevel="0" collapsed="false">
      <c r="B61" s="13" t="s">
        <v>159</v>
      </c>
      <c r="C61" s="14" t="str">
        <f aca="false">IF(B61="","",IFERROR(INDEX('CLM &amp; IM Mapping'!$B$2:$B$270,MATCH(TRIM(B61),'CLM &amp; IM Mapping'!$A$2:$A$270,0)),"Not Mapped"))</f>
        <v>Saddam Hussain</v>
      </c>
      <c r="D61" s="14" t="str">
        <f aca="false">IF(B61="","",IFERROR(INDEX('CLM &amp; IM Mapping'!$C$2:$C$270,MATCH(TRIM(B61),'CLM &amp; IM Mapping'!$A$2:$A$270,0)),"Not Mapped"))</f>
        <v>Un Mapped</v>
      </c>
      <c r="E61" s="13" t="s">
        <v>18</v>
      </c>
      <c r="F61" s="13" t="s">
        <v>298</v>
      </c>
      <c r="G61" s="13" t="s">
        <v>16</v>
      </c>
      <c r="H61" s="15" t="n">
        <v>5194</v>
      </c>
      <c r="I61" s="16" t="n">
        <v>0.96</v>
      </c>
      <c r="J61" s="16" t="n">
        <v>0.95</v>
      </c>
      <c r="K61" s="16" t="n">
        <v>0.99</v>
      </c>
      <c r="L61" s="16" t="n">
        <v>0.95</v>
      </c>
    </row>
    <row r="62" customFormat="false" ht="15.75" hidden="false" customHeight="false" outlineLevel="0" collapsed="false">
      <c r="B62" s="13" t="s">
        <v>167</v>
      </c>
      <c r="C62" s="14" t="str">
        <f aca="false">IF(B62="","",IFERROR(INDEX('CLM &amp; IM Mapping'!$B$2:$B$270,MATCH(TRIM(B62),'CLM &amp; IM Mapping'!$A$2:$A$270,0)),"Not Mapped"))</f>
        <v>Rizwan Ahmed</v>
      </c>
      <c r="D62" s="14" t="str">
        <f aca="false">IF(B62="","",IFERROR(INDEX('CLM &amp; IM Mapping'!$C$2:$C$270,MATCH(TRIM(B62),'CLM &amp; IM Mapping'!$A$2:$A$270,0)),"Not Mapped"))</f>
        <v>Un Mapped</v>
      </c>
      <c r="E62" s="13" t="s">
        <v>18</v>
      </c>
      <c r="F62" s="13" t="s">
        <v>298</v>
      </c>
      <c r="G62" s="13" t="s">
        <v>16</v>
      </c>
      <c r="H62" s="15" t="n">
        <v>5704</v>
      </c>
      <c r="I62" s="16" t="n">
        <v>0.54</v>
      </c>
      <c r="J62" s="16" t="n">
        <v>0.75</v>
      </c>
      <c r="K62" s="16" t="n">
        <v>0.94</v>
      </c>
      <c r="L62" s="16" t="n">
        <v>0.75</v>
      </c>
    </row>
    <row r="63" customFormat="false" ht="15.75" hidden="false" customHeight="false" outlineLevel="0" collapsed="false">
      <c r="B63" s="13" t="s">
        <v>169</v>
      </c>
      <c r="C63" s="14" t="str">
        <f aca="false">IF(B63="","",IFERROR(INDEX('CLM &amp; IM Mapping'!$B$2:$B$270,MATCH(TRIM(B63),'CLM &amp; IM Mapping'!$A$2:$A$270,0)),"Not Mapped"))</f>
        <v>Narasimhamurthy R</v>
      </c>
      <c r="D63" s="14" t="str">
        <f aca="false">IF(B63="","",IFERROR(INDEX('CLM &amp; IM Mapping'!$C$2:$C$270,MATCH(TRIM(B63),'CLM &amp; IM Mapping'!$A$2:$A$270,0)),"Not Mapped"))</f>
        <v>Kishor K</v>
      </c>
      <c r="E63" s="13" t="s">
        <v>18</v>
      </c>
      <c r="F63" s="13" t="s">
        <v>298</v>
      </c>
      <c r="G63" s="13" t="s">
        <v>16</v>
      </c>
      <c r="H63" s="15" t="n">
        <v>6286</v>
      </c>
      <c r="I63" s="16" t="n">
        <v>0.69</v>
      </c>
      <c r="J63" s="16" t="n">
        <v>0.85</v>
      </c>
      <c r="K63" s="16" t="n">
        <v>0.94</v>
      </c>
      <c r="L63" s="16" t="n">
        <v>0.85</v>
      </c>
    </row>
    <row r="64" customFormat="false" ht="15.75" hidden="false" customHeight="false" outlineLevel="0" collapsed="false">
      <c r="B64" s="13" t="s">
        <v>173</v>
      </c>
      <c r="C64" s="14" t="str">
        <f aca="false">IF(B64="","",IFERROR(INDEX('CLM &amp; IM Mapping'!$B$2:$B$270,MATCH(TRIM(B64),'CLM &amp; IM Mapping'!$A$2:$A$270,0)),"Not Mapped"))</f>
        <v>Saddam Hussain</v>
      </c>
      <c r="D64" s="14" t="str">
        <f aca="false">IF(B64="","",IFERROR(INDEX('CLM &amp; IM Mapping'!$C$2:$C$270,MATCH(TRIM(B64),'CLM &amp; IM Mapping'!$A$2:$A$270,0)),"Not Mapped"))</f>
        <v>Un Mapped</v>
      </c>
      <c r="E64" s="13" t="s">
        <v>18</v>
      </c>
      <c r="F64" s="13" t="s">
        <v>298</v>
      </c>
      <c r="G64" s="13" t="s">
        <v>16</v>
      </c>
      <c r="H64" s="15" t="n">
        <v>6002</v>
      </c>
      <c r="I64" s="16" t="n">
        <v>0.64</v>
      </c>
      <c r="J64" s="16" t="n">
        <v>0.74</v>
      </c>
      <c r="K64" s="16" t="n">
        <v>0.92</v>
      </c>
      <c r="L64" s="16" t="n">
        <v>0.74</v>
      </c>
    </row>
    <row r="65" customFormat="false" ht="15.75" hidden="false" customHeight="false" outlineLevel="0" collapsed="false">
      <c r="B65" s="13" t="s">
        <v>176</v>
      </c>
      <c r="C65" s="14" t="str">
        <f aca="false">IF(B65="","",IFERROR(INDEX('CLM &amp; IM Mapping'!$B$2:$B$270,MATCH(TRIM(B65),'CLM &amp; IM Mapping'!$A$2:$A$270,0)),"Not Mapped"))</f>
        <v>Raghavendra Vernekar</v>
      </c>
      <c r="D65" s="14" t="str">
        <f aca="false">IF(B65="","",IFERROR(INDEX('CLM &amp; IM Mapping'!$C$2:$C$270,MATCH(TRIM(B65),'CLM &amp; IM Mapping'!$A$2:$A$270,0)),"Not Mapped"))</f>
        <v>Prakash BS</v>
      </c>
      <c r="E65" s="13" t="s">
        <v>18</v>
      </c>
      <c r="F65" s="13" t="s">
        <v>298</v>
      </c>
      <c r="G65" s="13" t="s">
        <v>16</v>
      </c>
      <c r="H65" s="15" t="n">
        <v>7036</v>
      </c>
      <c r="I65" s="16" t="n">
        <v>0.72</v>
      </c>
      <c r="J65" s="16" t="n">
        <v>0.86</v>
      </c>
      <c r="K65" s="16" t="n">
        <v>0.94</v>
      </c>
      <c r="L65" s="16" t="n">
        <v>0.86</v>
      </c>
    </row>
    <row r="66" customFormat="false" ht="15.75" hidden="false" customHeight="false" outlineLevel="0" collapsed="false">
      <c r="B66" s="13" t="s">
        <v>175</v>
      </c>
      <c r="C66" s="14" t="str">
        <f aca="false">IF(B66="","",IFERROR(INDEX('CLM &amp; IM Mapping'!$B$2:$B$270,MATCH(TRIM(B66),'CLM &amp; IM Mapping'!$A$2:$A$270,0)),"Not Mapped"))</f>
        <v>Manjunatha V</v>
      </c>
      <c r="D66" s="14" t="str">
        <f aca="false">IF(B66="","",IFERROR(INDEX('CLM &amp; IM Mapping'!$C$2:$C$270,MATCH(TRIM(B66),'CLM &amp; IM Mapping'!$A$2:$A$270,0)),"Not Mapped"))</f>
        <v>Un Mapped</v>
      </c>
      <c r="E66" s="13" t="s">
        <v>18</v>
      </c>
      <c r="F66" s="13" t="s">
        <v>298</v>
      </c>
      <c r="G66" s="13" t="s">
        <v>16</v>
      </c>
      <c r="H66" s="15" t="n">
        <v>5714</v>
      </c>
      <c r="I66" s="16" t="n">
        <v>0.43</v>
      </c>
      <c r="J66" s="16" t="n">
        <v>0.84</v>
      </c>
      <c r="K66" s="16" t="n">
        <v>0.97</v>
      </c>
      <c r="L66" s="16" t="n">
        <v>0.84</v>
      </c>
    </row>
    <row r="67" customFormat="false" ht="15.75" hidden="false" customHeight="false" outlineLevel="0" collapsed="false">
      <c r="B67" s="13" t="s">
        <v>178</v>
      </c>
      <c r="C67" s="14" t="str">
        <f aca="false">IF(B67="","",IFERROR(INDEX('CLM &amp; IM Mapping'!$B$2:$B$270,MATCH(TRIM(B67),'CLM &amp; IM Mapping'!$A$2:$A$270,0)),"Not Mapped"))</f>
        <v>Balaji G</v>
      </c>
      <c r="D67" s="14" t="str">
        <f aca="false">IF(B67="","",IFERROR(INDEX('CLM &amp; IM Mapping'!$C$2:$C$270,MATCH(TRIM(B67),'CLM &amp; IM Mapping'!$A$2:$A$270,0)),"Not Mapped"))</f>
        <v>Mohammed Akbar</v>
      </c>
      <c r="E67" s="13" t="s">
        <v>18</v>
      </c>
      <c r="F67" s="13" t="s">
        <v>298</v>
      </c>
      <c r="G67" s="13" t="s">
        <v>16</v>
      </c>
      <c r="H67" s="15" t="n">
        <v>6975</v>
      </c>
      <c r="I67" s="16" t="n">
        <v>0.82</v>
      </c>
      <c r="J67" s="16" t="n">
        <v>0.87</v>
      </c>
      <c r="K67" s="16" t="n">
        <v>0.97</v>
      </c>
      <c r="L67" s="16" t="n">
        <v>0.87</v>
      </c>
    </row>
    <row r="68" customFormat="false" ht="15.75" hidden="false" customHeight="false" outlineLevel="0" collapsed="false">
      <c r="B68" s="13" t="s">
        <v>183</v>
      </c>
      <c r="C68" s="14" t="str">
        <f aca="false">IF(B68="","",IFERROR(INDEX('CLM &amp; IM Mapping'!$B$2:$B$270,MATCH(TRIM(B68),'CLM &amp; IM Mapping'!$A$2:$A$270,0)),"Not Mapped"))</f>
        <v>Ashwath S</v>
      </c>
      <c r="D68" s="14" t="str">
        <f aca="false">IF(B68="","",IFERROR(INDEX('CLM &amp; IM Mapping'!$C$2:$C$270,MATCH(TRIM(B68),'CLM &amp; IM Mapping'!$A$2:$A$270,0)),"Not Mapped"))</f>
        <v>Kantha Kumar</v>
      </c>
      <c r="E68" s="13" t="s">
        <v>18</v>
      </c>
      <c r="F68" s="13" t="s">
        <v>298</v>
      </c>
      <c r="G68" s="13" t="s">
        <v>16</v>
      </c>
      <c r="H68" s="15" t="n">
        <v>5334</v>
      </c>
      <c r="I68" s="16" t="n">
        <v>0.51</v>
      </c>
      <c r="J68" s="16" t="n">
        <v>0.86</v>
      </c>
      <c r="K68" s="16" t="n">
        <v>0.96</v>
      </c>
      <c r="L68" s="16" t="n">
        <v>0.86</v>
      </c>
    </row>
    <row r="69" customFormat="false" ht="15.75" hidden="false" customHeight="false" outlineLevel="0" collapsed="false">
      <c r="B69" s="13" t="s">
        <v>182</v>
      </c>
      <c r="C69" s="14" t="str">
        <f aca="false">IF(B69="","",IFERROR(INDEX('CLM &amp; IM Mapping'!$B$2:$B$270,MATCH(TRIM(B69),'CLM &amp; IM Mapping'!$A$2:$A$270,0)),"Not Mapped"))</f>
        <v>Balaji G</v>
      </c>
      <c r="D69" s="14" t="str">
        <f aca="false">IF(B69="","",IFERROR(INDEX('CLM &amp; IM Mapping'!$C$2:$C$270,MATCH(TRIM(B69),'CLM &amp; IM Mapping'!$A$2:$A$270,0)),"Not Mapped"))</f>
        <v>Mohammed Akbar</v>
      </c>
      <c r="E69" s="13" t="s">
        <v>18</v>
      </c>
      <c r="F69" s="13" t="s">
        <v>298</v>
      </c>
      <c r="G69" s="13" t="s">
        <v>16</v>
      </c>
      <c r="H69" s="15" t="n">
        <v>6010</v>
      </c>
      <c r="I69" s="16" t="n">
        <v>0.75</v>
      </c>
      <c r="J69" s="16" t="n">
        <v>0.97</v>
      </c>
      <c r="K69" s="16" t="n">
        <v>0.99</v>
      </c>
      <c r="L69" s="16" t="n">
        <v>0.97</v>
      </c>
    </row>
    <row r="70" customFormat="false" ht="15.75" hidden="false" customHeight="false" outlineLevel="0" collapsed="false">
      <c r="B70" s="13" t="s">
        <v>184</v>
      </c>
      <c r="C70" s="14" t="str">
        <f aca="false">IF(B70="","",IFERROR(INDEX('CLM &amp; IM Mapping'!$B$2:$B$270,MATCH(TRIM(B70),'CLM &amp; IM Mapping'!$A$2:$A$270,0)),"Not Mapped"))</f>
        <v>Arun Raj</v>
      </c>
      <c r="D70" s="14" t="str">
        <f aca="false">IF(B70="","",IFERROR(INDEX('CLM &amp; IM Mapping'!$C$2:$C$270,MATCH(TRIM(B70),'CLM &amp; IM Mapping'!$A$2:$A$270,0)),"Not Mapped"))</f>
        <v>Simon Manoharan</v>
      </c>
      <c r="E70" s="13" t="s">
        <v>22</v>
      </c>
      <c r="F70" s="13" t="s">
        <v>297</v>
      </c>
      <c r="G70" s="13" t="s">
        <v>16</v>
      </c>
      <c r="H70" s="15" t="n">
        <v>10881</v>
      </c>
      <c r="I70" s="16" t="n">
        <v>0.33</v>
      </c>
      <c r="J70" s="16" t="n">
        <v>0.88</v>
      </c>
      <c r="K70" s="16" t="n">
        <v>0.97</v>
      </c>
      <c r="L70" s="16" t="n">
        <v>0.88</v>
      </c>
    </row>
    <row r="71" customFormat="false" ht="15.75" hidden="false" customHeight="false" outlineLevel="0" collapsed="false">
      <c r="B71" s="13" t="s">
        <v>187</v>
      </c>
      <c r="C71" s="14" t="str">
        <f aca="false">IF(B71="","",IFERROR(INDEX('CLM &amp; IM Mapping'!$B$2:$B$270,MATCH(TRIM(B71),'CLM &amp; IM Mapping'!$A$2:$A$270,0)),"Not Mapped"))</f>
        <v>Akshay P</v>
      </c>
      <c r="D71" s="14" t="str">
        <f aca="false">IF(B71="","",IFERROR(INDEX('CLM &amp; IM Mapping'!$C$2:$C$270,MATCH(TRIM(B71),'CLM &amp; IM Mapping'!$A$2:$A$270,0)),"Not Mapped"))</f>
        <v>Srittam Dhal</v>
      </c>
      <c r="E71" s="13" t="s">
        <v>18</v>
      </c>
      <c r="F71" s="13" t="s">
        <v>298</v>
      </c>
      <c r="G71" s="13" t="s">
        <v>16</v>
      </c>
      <c r="H71" s="15" t="n">
        <v>6948</v>
      </c>
      <c r="I71" s="16" t="n">
        <v>0.49</v>
      </c>
      <c r="J71" s="16" t="n">
        <v>0.89</v>
      </c>
      <c r="K71" s="16" t="n">
        <v>0.96</v>
      </c>
      <c r="L71" s="16" t="n">
        <v>0.89</v>
      </c>
    </row>
    <row r="72" customFormat="false" ht="15.75" hidden="false" customHeight="false" outlineLevel="0" collapsed="false">
      <c r="B72" s="13" t="s">
        <v>191</v>
      </c>
      <c r="C72" s="14" t="str">
        <f aca="false">IF(B72="","",IFERROR(INDEX('CLM &amp; IM Mapping'!$B$2:$B$270,MATCH(TRIM(B72),'CLM &amp; IM Mapping'!$A$2:$A$270,0)),"Not Mapped"))</f>
        <v>Raghavendra Vernekar</v>
      </c>
      <c r="D72" s="14" t="str">
        <f aca="false">IF(B72="","",IFERROR(INDEX('CLM &amp; IM Mapping'!$C$2:$C$270,MATCH(TRIM(B72),'CLM &amp; IM Mapping'!$A$2:$A$270,0)),"Not Mapped"))</f>
        <v>Prakash BS</v>
      </c>
      <c r="E72" s="13" t="s">
        <v>18</v>
      </c>
      <c r="F72" s="13" t="s">
        <v>298</v>
      </c>
      <c r="G72" s="13" t="s">
        <v>16</v>
      </c>
      <c r="H72" s="15" t="n">
        <v>6895</v>
      </c>
      <c r="I72" s="16" t="n">
        <v>0.69</v>
      </c>
      <c r="J72" s="16" t="n">
        <v>0.81</v>
      </c>
      <c r="K72" s="16" t="n">
        <v>0.95</v>
      </c>
      <c r="L72" s="16" t="n">
        <v>0.81</v>
      </c>
    </row>
    <row r="73" customFormat="false" ht="15.75" hidden="false" customHeight="false" outlineLevel="0" collapsed="false">
      <c r="B73" s="13" t="s">
        <v>196</v>
      </c>
      <c r="C73" s="14" t="str">
        <f aca="false">IF(B73="","",IFERROR(INDEX('CLM &amp; IM Mapping'!$B$2:$B$270,MATCH(TRIM(B73),'CLM &amp; IM Mapping'!$A$2:$A$270,0)),"Not Mapped"))</f>
        <v>Arun Raj</v>
      </c>
      <c r="D73" s="14" t="str">
        <f aca="false">IF(B73="","",IFERROR(INDEX('CLM &amp; IM Mapping'!$C$2:$C$270,MATCH(TRIM(B73),'CLM &amp; IM Mapping'!$A$2:$A$270,0)),"Not Mapped"))</f>
        <v>Simon Manoharan</v>
      </c>
      <c r="E73" s="13" t="s">
        <v>22</v>
      </c>
      <c r="F73" s="13" t="s">
        <v>297</v>
      </c>
      <c r="G73" s="13" t="s">
        <v>16</v>
      </c>
      <c r="H73" s="15" t="n">
        <v>10619</v>
      </c>
      <c r="I73" s="16" t="n">
        <v>0.02</v>
      </c>
      <c r="J73" s="16" t="n">
        <v>0</v>
      </c>
      <c r="K73" s="16" t="n">
        <v>-22.56</v>
      </c>
      <c r="L73" s="16" t="n">
        <v>0</v>
      </c>
    </row>
    <row r="74" customFormat="false" ht="15.75" hidden="false" customHeight="false" outlineLevel="0" collapsed="false">
      <c r="B74" s="13" t="s">
        <v>195</v>
      </c>
      <c r="C74" s="14" t="str">
        <f aca="false">IF(B74="","",IFERROR(INDEX('CLM &amp; IM Mapping'!$B$2:$B$270,MATCH(TRIM(B74),'CLM &amp; IM Mapping'!$A$2:$A$270,0)),"Not Mapped"))</f>
        <v>Ravishankar gowda</v>
      </c>
      <c r="D74" s="14" t="str">
        <f aca="false">IF(B74="","",IFERROR(INDEX('CLM &amp; IM Mapping'!$C$2:$C$270,MATCH(TRIM(B74),'CLM &amp; IM Mapping'!$A$2:$A$270,0)),"Not Mapped"))</f>
        <v>Kishor K</v>
      </c>
      <c r="E74" s="13" t="s">
        <v>18</v>
      </c>
      <c r="F74" s="13" t="s">
        <v>298</v>
      </c>
      <c r="G74" s="13" t="s">
        <v>16</v>
      </c>
      <c r="H74" s="15" t="n">
        <v>6734</v>
      </c>
      <c r="I74" s="16" t="n">
        <v>0.83</v>
      </c>
      <c r="J74" s="16" t="n">
        <v>0.97</v>
      </c>
      <c r="K74" s="16" t="n">
        <v>0.99</v>
      </c>
      <c r="L74" s="16" t="n">
        <v>0.97</v>
      </c>
    </row>
    <row r="75" customFormat="false" ht="15.75" hidden="false" customHeight="false" outlineLevel="0" collapsed="false">
      <c r="B75" s="13" t="s">
        <v>198</v>
      </c>
      <c r="C75" s="14" t="str">
        <f aca="false">IF(B75="","",IFERROR(INDEX('CLM &amp; IM Mapping'!$B$2:$B$270,MATCH(TRIM(B75),'CLM &amp; IM Mapping'!$A$2:$A$270,0)),"Not Mapped"))</f>
        <v>Girish N</v>
      </c>
      <c r="D75" s="14" t="str">
        <f aca="false">IF(B75="","",IFERROR(INDEX('CLM &amp; IM Mapping'!$C$2:$C$270,MATCH(TRIM(B75),'CLM &amp; IM Mapping'!$A$2:$A$270,0)),"Not Mapped"))</f>
        <v>Un Mapped</v>
      </c>
      <c r="E75" s="13" t="s">
        <v>18</v>
      </c>
      <c r="F75" s="13" t="s">
        <v>298</v>
      </c>
      <c r="G75" s="13" t="s">
        <v>16</v>
      </c>
      <c r="H75" s="15" t="n">
        <v>5124</v>
      </c>
      <c r="I75" s="16" t="n">
        <v>0.43</v>
      </c>
      <c r="J75" s="16" t="n">
        <v>0.84</v>
      </c>
      <c r="K75" s="16" t="n">
        <v>0.9</v>
      </c>
      <c r="L75" s="16" t="n">
        <v>0.84</v>
      </c>
    </row>
    <row r="76" customFormat="false" ht="15.75" hidden="false" customHeight="false" outlineLevel="0" collapsed="false">
      <c r="B76" s="13" t="s">
        <v>200</v>
      </c>
      <c r="C76" s="14" t="str">
        <f aca="false">IF(B76="","",IFERROR(INDEX('CLM &amp; IM Mapping'!$B$2:$B$270,MATCH(TRIM(B76),'CLM &amp; IM Mapping'!$A$2:$A$270,0)),"Not Mapped"))</f>
        <v>Sundaresh S</v>
      </c>
      <c r="D76" s="14" t="str">
        <f aca="false">IF(B76="","",IFERROR(INDEX('CLM &amp; IM Mapping'!$C$2:$C$270,MATCH(TRIM(B76),'CLM &amp; IM Mapping'!$A$2:$A$270,0)),"Not Mapped"))</f>
        <v>Un Mapped</v>
      </c>
      <c r="E76" s="13" t="s">
        <v>18</v>
      </c>
      <c r="F76" s="13" t="s">
        <v>298</v>
      </c>
      <c r="G76" s="13" t="s">
        <v>16</v>
      </c>
      <c r="H76" s="15" t="n">
        <v>5757</v>
      </c>
      <c r="I76" s="16" t="n">
        <v>0.6</v>
      </c>
      <c r="J76" s="16" t="n">
        <v>0.88</v>
      </c>
      <c r="K76" s="16" t="n">
        <v>0.95</v>
      </c>
      <c r="L76" s="16" t="n">
        <v>0.88</v>
      </c>
    </row>
    <row r="77" customFormat="false" ht="15.75" hidden="false" customHeight="false" outlineLevel="0" collapsed="false">
      <c r="B77" s="13" t="s">
        <v>203</v>
      </c>
      <c r="C77" s="14" t="str">
        <f aca="false">IF(B77="","",IFERROR(INDEX('CLM &amp; IM Mapping'!$B$2:$B$270,MATCH(TRIM(B77),'CLM &amp; IM Mapping'!$A$2:$A$270,0)),"Not Mapped"))</f>
        <v>Suhas N</v>
      </c>
      <c r="D77" s="14" t="str">
        <f aca="false">IF(B77="","",IFERROR(INDEX('CLM &amp; IM Mapping'!$C$2:$C$270,MATCH(TRIM(B77),'CLM &amp; IM Mapping'!$A$2:$A$270,0)),"Not Mapped"))</f>
        <v>Aravind S</v>
      </c>
      <c r="E77" s="13" t="s">
        <v>18</v>
      </c>
      <c r="F77" s="13" t="s">
        <v>298</v>
      </c>
      <c r="G77" s="13" t="s">
        <v>16</v>
      </c>
      <c r="H77" s="15" t="n">
        <v>5627</v>
      </c>
      <c r="I77" s="16" t="n">
        <v>0.37</v>
      </c>
      <c r="J77" s="16" t="n">
        <v>0.79</v>
      </c>
      <c r="K77" s="16" t="n">
        <v>0.94</v>
      </c>
      <c r="L77" s="16" t="n">
        <v>0.79</v>
      </c>
    </row>
    <row r="78" customFormat="false" ht="15.75" hidden="false" customHeight="false" outlineLevel="0" collapsed="false">
      <c r="B78" s="13" t="s">
        <v>204</v>
      </c>
      <c r="C78" s="14" t="str">
        <f aca="false">IF(B78="","",IFERROR(INDEX('CLM &amp; IM Mapping'!$B$2:$B$270,MATCH(TRIM(B78),'CLM &amp; IM Mapping'!$A$2:$A$270,0)),"Not Mapped"))</f>
        <v>Manoj Kj</v>
      </c>
      <c r="D78" s="14" t="str">
        <f aca="false">IF(B78="","",IFERROR(INDEX('CLM &amp; IM Mapping'!$C$2:$C$270,MATCH(TRIM(B78),'CLM &amp; IM Mapping'!$A$2:$A$270,0)),"Not Mapped"))</f>
        <v>Srittam Dhal</v>
      </c>
      <c r="E78" s="13" t="s">
        <v>18</v>
      </c>
      <c r="F78" s="13" t="s">
        <v>297</v>
      </c>
      <c r="G78" s="13" t="s">
        <v>16</v>
      </c>
      <c r="H78" s="15" t="n">
        <v>8560</v>
      </c>
      <c r="I78" s="16" t="n">
        <v>0.93</v>
      </c>
      <c r="J78" s="16" t="n">
        <v>0.94</v>
      </c>
      <c r="K78" s="16" t="n">
        <v>0.98</v>
      </c>
      <c r="L78" s="13"/>
    </row>
    <row r="79" customFormat="false" ht="15.75" hidden="false" customHeight="false" outlineLevel="0" collapsed="false">
      <c r="B79" s="13" t="s">
        <v>205</v>
      </c>
      <c r="C79" s="14" t="str">
        <f aca="false">IF(B79="","",IFERROR(INDEX('CLM &amp; IM Mapping'!$B$2:$B$270,MATCH(TRIM(B79),'CLM &amp; IM Mapping'!$A$2:$A$270,0)),"Not Mapped"))</f>
        <v>Saddam Hussain</v>
      </c>
      <c r="D79" s="14" t="str">
        <f aca="false">IF(B79="","",IFERROR(INDEX('CLM &amp; IM Mapping'!$C$2:$C$270,MATCH(TRIM(B79),'CLM &amp; IM Mapping'!$A$2:$A$270,0)),"Not Mapped"))</f>
        <v>Un Mapped</v>
      </c>
      <c r="E79" s="13" t="s">
        <v>18</v>
      </c>
      <c r="F79" s="13" t="s">
        <v>298</v>
      </c>
      <c r="G79" s="13" t="s">
        <v>16</v>
      </c>
      <c r="H79" s="15" t="n">
        <v>6238</v>
      </c>
      <c r="I79" s="16" t="n">
        <v>0.39</v>
      </c>
      <c r="J79" s="16" t="n">
        <v>0.83</v>
      </c>
      <c r="K79" s="16" t="n">
        <v>0.94</v>
      </c>
      <c r="L79" s="16" t="n">
        <v>0.83</v>
      </c>
    </row>
    <row r="80" customFormat="false" ht="15.75" hidden="false" customHeight="false" outlineLevel="0" collapsed="false">
      <c r="B80" s="13" t="s">
        <v>210</v>
      </c>
      <c r="C80" s="14" t="str">
        <f aca="false">IF(B80="","",IFERROR(INDEX('CLM &amp; IM Mapping'!$B$2:$B$270,MATCH(TRIM(B80),'CLM &amp; IM Mapping'!$A$2:$A$270,0)),"Not Mapped"))</f>
        <v>Mohaideen DH</v>
      </c>
      <c r="D80" s="14" t="str">
        <f aca="false">IF(B80="","",IFERROR(INDEX('CLM &amp; IM Mapping'!$C$2:$C$270,MATCH(TRIM(B80),'CLM &amp; IM Mapping'!$A$2:$A$270,0)),"Not Mapped"))</f>
        <v>Mohammed Akbar</v>
      </c>
      <c r="E80" s="13" t="s">
        <v>18</v>
      </c>
      <c r="F80" s="13" t="s">
        <v>298</v>
      </c>
      <c r="G80" s="13" t="s">
        <v>16</v>
      </c>
      <c r="H80" s="15" t="n">
        <v>6324</v>
      </c>
      <c r="I80" s="16" t="n">
        <v>0.7</v>
      </c>
      <c r="J80" s="16" t="n">
        <v>0.8</v>
      </c>
      <c r="K80" s="16" t="n">
        <v>0.82</v>
      </c>
      <c r="L80" s="16" t="n">
        <v>0.8</v>
      </c>
    </row>
    <row r="81" customFormat="false" ht="15.75" hidden="false" customHeight="false" outlineLevel="0" collapsed="false">
      <c r="B81" s="13" t="s">
        <v>213</v>
      </c>
      <c r="C81" s="14" t="str">
        <f aca="false">IF(B81="","",IFERROR(INDEX('CLM &amp; IM Mapping'!$B$2:$B$270,MATCH(TRIM(B81),'CLM &amp; IM Mapping'!$A$2:$A$270,0)),"Not Mapped"))</f>
        <v>Arun Raj</v>
      </c>
      <c r="D81" s="14" t="str">
        <f aca="false">IF(B81="","",IFERROR(INDEX('CLM &amp; IM Mapping'!$C$2:$C$270,MATCH(TRIM(B81),'CLM &amp; IM Mapping'!$A$2:$A$270,0)),"Not Mapped"))</f>
        <v>Simon Manoharan</v>
      </c>
      <c r="E81" s="13" t="s">
        <v>22</v>
      </c>
      <c r="F81" s="13" t="s">
        <v>297</v>
      </c>
      <c r="G81" s="13" t="s">
        <v>16</v>
      </c>
      <c r="H81" s="15" t="n">
        <v>11819</v>
      </c>
      <c r="I81" s="16" t="n">
        <v>0.39</v>
      </c>
      <c r="J81" s="16" t="n">
        <v>0.93</v>
      </c>
      <c r="K81" s="16" t="n">
        <v>0.99</v>
      </c>
      <c r="L81" s="16" t="n">
        <v>0.93</v>
      </c>
    </row>
    <row r="82" customFormat="false" ht="15.75" hidden="false" customHeight="false" outlineLevel="0" collapsed="false">
      <c r="B82" s="13" t="s">
        <v>218</v>
      </c>
      <c r="C82" s="14" t="str">
        <f aca="false">IF(B82="","",IFERROR(INDEX('CLM &amp; IM Mapping'!$B$2:$B$270,MATCH(TRIM(B82),'CLM &amp; IM Mapping'!$A$2:$A$270,0)),"Not Mapped"))</f>
        <v>Akshay P</v>
      </c>
      <c r="D82" s="14" t="str">
        <f aca="false">IF(B82="","",IFERROR(INDEX('CLM &amp; IM Mapping'!$C$2:$C$270,MATCH(TRIM(B82),'CLM &amp; IM Mapping'!$A$2:$A$270,0)),"Not Mapped"))</f>
        <v>Srittam Dhal</v>
      </c>
      <c r="E82" s="13" t="s">
        <v>18</v>
      </c>
      <c r="F82" s="13" t="s">
        <v>297</v>
      </c>
      <c r="G82" s="13" t="s">
        <v>16</v>
      </c>
      <c r="H82" s="15" t="n">
        <v>6949</v>
      </c>
      <c r="I82" s="16" t="n">
        <v>0.35</v>
      </c>
      <c r="J82" s="16" t="n">
        <v>0.95</v>
      </c>
      <c r="K82" s="16" t="n">
        <v>0.98</v>
      </c>
      <c r="L82" s="13"/>
    </row>
    <row r="83" customFormat="false" ht="15.75" hidden="false" customHeight="false" outlineLevel="0" collapsed="false">
      <c r="B83" s="13" t="s">
        <v>225</v>
      </c>
      <c r="C83" s="14" t="str">
        <f aca="false">IF(B83="","",IFERROR(INDEX('CLM &amp; IM Mapping'!$B$2:$B$270,MATCH(TRIM(B83),'CLM &amp; IM Mapping'!$A$2:$A$270,0)),"Not Mapped"))</f>
        <v>Raghavendra Vernekar</v>
      </c>
      <c r="D83" s="14" t="str">
        <f aca="false">IF(B83="","",IFERROR(INDEX('CLM &amp; IM Mapping'!$C$2:$C$270,MATCH(TRIM(B83),'CLM &amp; IM Mapping'!$A$2:$A$270,0)),"Not Mapped"))</f>
        <v>Prakash BS</v>
      </c>
      <c r="E83" s="13" t="s">
        <v>18</v>
      </c>
      <c r="F83" s="13" t="s">
        <v>298</v>
      </c>
      <c r="G83" s="13" t="s">
        <v>16</v>
      </c>
      <c r="H83" s="15" t="n">
        <v>5574</v>
      </c>
      <c r="I83" s="16" t="n">
        <v>0.25</v>
      </c>
      <c r="J83" s="16" t="n">
        <v>0.78</v>
      </c>
      <c r="K83" s="16" t="n">
        <v>0.94</v>
      </c>
      <c r="L83" s="16" t="n">
        <v>0.78</v>
      </c>
    </row>
    <row r="84" customFormat="false" ht="15.75" hidden="false" customHeight="false" outlineLevel="0" collapsed="false">
      <c r="B84" s="13" t="s">
        <v>223</v>
      </c>
      <c r="C84" s="14" t="str">
        <f aca="false">IF(B84="","",IFERROR(INDEX('CLM &amp; IM Mapping'!$B$2:$B$270,MATCH(TRIM(B84),'CLM &amp; IM Mapping'!$A$2:$A$270,0)),"Not Mapped"))</f>
        <v>Suhas N</v>
      </c>
      <c r="D84" s="14" t="str">
        <f aca="false">IF(B84="","",IFERROR(INDEX('CLM &amp; IM Mapping'!$C$2:$C$270,MATCH(TRIM(B84),'CLM &amp; IM Mapping'!$A$2:$A$270,0)),"Not Mapped"))</f>
        <v>Aravind S</v>
      </c>
      <c r="E84" s="13" t="s">
        <v>18</v>
      </c>
      <c r="F84" s="13" t="s">
        <v>298</v>
      </c>
      <c r="G84" s="13" t="s">
        <v>16</v>
      </c>
      <c r="H84" s="15" t="n">
        <v>7332</v>
      </c>
      <c r="I84" s="16" t="n">
        <v>0.6</v>
      </c>
      <c r="J84" s="16" t="n">
        <v>0.97</v>
      </c>
      <c r="K84" s="16" t="n">
        <v>0.99</v>
      </c>
      <c r="L84" s="16" t="n">
        <v>0.97</v>
      </c>
    </row>
    <row r="85" customFormat="false" ht="15.75" hidden="false" customHeight="false" outlineLevel="0" collapsed="false">
      <c r="B85" s="13" t="s">
        <v>227</v>
      </c>
      <c r="C85" s="14" t="str">
        <f aca="false">IF(B85="","",IFERROR(INDEX('CLM &amp; IM Mapping'!$B$2:$B$270,MATCH(TRIM(B85),'CLM &amp; IM Mapping'!$A$2:$A$270,0)),"Not Mapped"))</f>
        <v>Mohaideen DH</v>
      </c>
      <c r="D85" s="14" t="str">
        <f aca="false">IF(B85="","",IFERROR(INDEX('CLM &amp; IM Mapping'!$C$2:$C$270,MATCH(TRIM(B85),'CLM &amp; IM Mapping'!$A$2:$A$270,0)),"Not Mapped"))</f>
        <v>Mohammed Akbar</v>
      </c>
      <c r="E85" s="13" t="s">
        <v>18</v>
      </c>
      <c r="F85" s="13" t="s">
        <v>298</v>
      </c>
      <c r="G85" s="13" t="s">
        <v>16</v>
      </c>
      <c r="H85" s="15" t="n">
        <v>5619</v>
      </c>
      <c r="I85" s="16" t="n">
        <v>0.42</v>
      </c>
      <c r="J85" s="16" t="n">
        <v>0.84</v>
      </c>
      <c r="K85" s="16" t="n">
        <v>0.94</v>
      </c>
      <c r="L85" s="13"/>
    </row>
    <row r="86" customFormat="false" ht="15.75" hidden="false" customHeight="false" outlineLevel="0" collapsed="false">
      <c r="B86" s="13" t="s">
        <v>226</v>
      </c>
      <c r="C86" s="14" t="str">
        <f aca="false">IF(B86="","",IFERROR(INDEX('CLM &amp; IM Mapping'!$B$2:$B$270,MATCH(TRIM(B86),'CLM &amp; IM Mapping'!$A$2:$A$270,0)),"Not Mapped"))</f>
        <v>Arun Raj</v>
      </c>
      <c r="D86" s="14" t="str">
        <f aca="false">IF(B86="","",IFERROR(INDEX('CLM &amp; IM Mapping'!$C$2:$C$270,MATCH(TRIM(B86),'CLM &amp; IM Mapping'!$A$2:$A$270,0)),"Not Mapped"))</f>
        <v>Simon Manoharan</v>
      </c>
      <c r="E86" s="13" t="s">
        <v>22</v>
      </c>
      <c r="F86" s="13" t="s">
        <v>297</v>
      </c>
      <c r="G86" s="13" t="s">
        <v>16</v>
      </c>
      <c r="H86" s="15" t="n">
        <v>11768</v>
      </c>
      <c r="I86" s="16" t="n">
        <v>0.33</v>
      </c>
      <c r="J86" s="16" t="n">
        <v>0.96</v>
      </c>
      <c r="K86" s="16" t="n">
        <v>0.99</v>
      </c>
      <c r="L86" s="16" t="n">
        <v>0.96</v>
      </c>
    </row>
    <row r="87" customFormat="false" ht="15.75" hidden="false" customHeight="false" outlineLevel="0" collapsed="false">
      <c r="B87" s="13" t="s">
        <v>233</v>
      </c>
      <c r="C87" s="14" t="str">
        <f aca="false">IF(B87="","",IFERROR(INDEX('CLM &amp; IM Mapping'!$B$2:$B$270,MATCH(TRIM(B87),'CLM &amp; IM Mapping'!$A$2:$A$270,0)),"Not Mapped"))</f>
        <v>Arun Raj</v>
      </c>
      <c r="D87" s="14" t="str">
        <f aca="false">IF(B87="","",IFERROR(INDEX('CLM &amp; IM Mapping'!$C$2:$C$270,MATCH(TRIM(B87),'CLM &amp; IM Mapping'!$A$2:$A$270,0)),"Not Mapped"))</f>
        <v>Simon Manoharan</v>
      </c>
      <c r="E87" s="13" t="s">
        <v>22</v>
      </c>
      <c r="F87" s="13" t="s">
        <v>297</v>
      </c>
      <c r="G87" s="13" t="s">
        <v>16</v>
      </c>
      <c r="H87" s="15" t="n">
        <v>12201</v>
      </c>
      <c r="I87" s="16" t="n">
        <v>0.21</v>
      </c>
      <c r="J87" s="16" t="n">
        <v>0.92</v>
      </c>
      <c r="K87" s="16" t="n">
        <v>0.96</v>
      </c>
      <c r="L87" s="16" t="n">
        <v>0.86</v>
      </c>
    </row>
    <row r="88" customFormat="false" ht="15.75" hidden="false" customHeight="false" outlineLevel="0" collapsed="false">
      <c r="B88" s="13" t="s">
        <v>231</v>
      </c>
      <c r="C88" s="14" t="str">
        <f aca="false">IF(B88="","",IFERROR(INDEX('CLM &amp; IM Mapping'!$B$2:$B$270,MATCH(TRIM(B88),'CLM &amp; IM Mapping'!$A$2:$A$270,0)),"Not Mapped"))</f>
        <v>Narasimhamurthy R</v>
      </c>
      <c r="D88" s="14" t="str">
        <f aca="false">IF(B88="","",IFERROR(INDEX('CLM &amp; IM Mapping'!$C$2:$C$270,MATCH(TRIM(B88),'CLM &amp; IM Mapping'!$A$2:$A$270,0)),"Not Mapped"))</f>
        <v>Kishor K</v>
      </c>
      <c r="E88" s="13" t="s">
        <v>18</v>
      </c>
      <c r="F88" s="13" t="s">
        <v>298</v>
      </c>
      <c r="G88" s="13" t="s">
        <v>16</v>
      </c>
      <c r="H88" s="15" t="n">
        <v>5305</v>
      </c>
      <c r="I88" s="16" t="n">
        <v>0.4</v>
      </c>
      <c r="J88" s="16" t="n">
        <v>0.99</v>
      </c>
      <c r="K88" s="16" t="n">
        <v>0.98</v>
      </c>
      <c r="L88" s="16" t="n">
        <v>0.99</v>
      </c>
    </row>
    <row r="89" customFormat="false" ht="15.75" hidden="false" customHeight="false" outlineLevel="0" collapsed="false">
      <c r="B89" s="13" t="s">
        <v>235</v>
      </c>
      <c r="C89" s="14" t="str">
        <f aca="false">IF(B89="","",IFERROR(INDEX('CLM &amp; IM Mapping'!$B$2:$B$270,MATCH(TRIM(B89),'CLM &amp; IM Mapping'!$A$2:$A$270,0)),"Not Mapped"))</f>
        <v>Ravishankar gowda</v>
      </c>
      <c r="D89" s="14" t="str">
        <f aca="false">IF(B89="","",IFERROR(INDEX('CLM &amp; IM Mapping'!$C$2:$C$270,MATCH(TRIM(B89),'CLM &amp; IM Mapping'!$A$2:$A$270,0)),"Not Mapped"))</f>
        <v>Kishor K</v>
      </c>
      <c r="E89" s="13" t="s">
        <v>18</v>
      </c>
      <c r="F89" s="13" t="s">
        <v>297</v>
      </c>
      <c r="G89" s="13" t="s">
        <v>16</v>
      </c>
      <c r="H89" s="15" t="n">
        <v>6145</v>
      </c>
      <c r="I89" s="16" t="n">
        <v>0.79</v>
      </c>
      <c r="J89" s="16" t="n">
        <v>0.97</v>
      </c>
      <c r="K89" s="16" t="n">
        <v>0.98</v>
      </c>
      <c r="L89" s="16" t="n">
        <v>0.97</v>
      </c>
    </row>
    <row r="90" customFormat="false" ht="15.75" hidden="false" customHeight="false" outlineLevel="0" collapsed="false">
      <c r="B90" s="13" t="s">
        <v>232</v>
      </c>
      <c r="C90" s="14" t="str">
        <f aca="false">IF(B90="","",IFERROR(INDEX('CLM &amp; IM Mapping'!$B$2:$B$270,MATCH(TRIM(B90),'CLM &amp; IM Mapping'!$A$2:$A$270,0)),"Not Mapped"))</f>
        <v>Sundaresh S</v>
      </c>
      <c r="D90" s="14" t="str">
        <f aca="false">IF(B90="","",IFERROR(INDEX('CLM &amp; IM Mapping'!$C$2:$C$270,MATCH(TRIM(B90),'CLM &amp; IM Mapping'!$A$2:$A$270,0)),"Not Mapped"))</f>
        <v>Un Mapped</v>
      </c>
      <c r="E90" s="13" t="s">
        <v>18</v>
      </c>
      <c r="F90" s="13" t="s">
        <v>298</v>
      </c>
      <c r="G90" s="13" t="s">
        <v>16</v>
      </c>
      <c r="H90" s="15" t="n">
        <v>5167</v>
      </c>
      <c r="I90" s="16" t="n">
        <v>0.93</v>
      </c>
      <c r="J90" s="16" t="n">
        <v>0.87</v>
      </c>
      <c r="K90" s="16" t="n">
        <v>0.97</v>
      </c>
      <c r="L90" s="16" t="n">
        <v>0.87</v>
      </c>
    </row>
    <row r="91" customFormat="false" ht="15.75" hidden="false" customHeight="false" outlineLevel="0" collapsed="false">
      <c r="B91" s="13" t="s">
        <v>237</v>
      </c>
      <c r="C91" s="14" t="str">
        <f aca="false">IF(B91="","",IFERROR(INDEX('CLM &amp; IM Mapping'!$B$2:$B$270,MATCH(TRIM(B91),'CLM &amp; IM Mapping'!$A$2:$A$270,0)),"Not Mapped"))</f>
        <v>Ravishankar gowda</v>
      </c>
      <c r="D91" s="14" t="str">
        <f aca="false">IF(B91="","",IFERROR(INDEX('CLM &amp; IM Mapping'!$C$2:$C$270,MATCH(TRIM(B91),'CLM &amp; IM Mapping'!$A$2:$A$270,0)),"Not Mapped"))</f>
        <v>Kishor K</v>
      </c>
      <c r="E91" s="13" t="s">
        <v>18</v>
      </c>
      <c r="F91" s="13" t="s">
        <v>298</v>
      </c>
      <c r="G91" s="13" t="s">
        <v>16</v>
      </c>
      <c r="H91" s="15" t="n">
        <v>6071</v>
      </c>
      <c r="I91" s="16" t="n">
        <v>0.34</v>
      </c>
      <c r="J91" s="16" t="n">
        <v>0.94</v>
      </c>
      <c r="K91" s="16" t="n">
        <v>0.96</v>
      </c>
      <c r="L91" s="16" t="n">
        <v>0.94</v>
      </c>
    </row>
    <row r="92" customFormat="false" ht="15.75" hidden="false" customHeight="false" outlineLevel="0" collapsed="false">
      <c r="B92" s="13" t="s">
        <v>239</v>
      </c>
      <c r="C92" s="14" t="str">
        <f aca="false">IF(B92="","",IFERROR(INDEX('CLM &amp; IM Mapping'!$B$2:$B$270,MATCH(TRIM(B92),'CLM &amp; IM Mapping'!$A$2:$A$270,0)),"Not Mapped"))</f>
        <v>Silambarasan E</v>
      </c>
      <c r="D92" s="14" t="str">
        <f aca="false">IF(B92="","",IFERROR(INDEX('CLM &amp; IM Mapping'!$C$2:$C$270,MATCH(TRIM(B92),'CLM &amp; IM Mapping'!$A$2:$A$270,0)),"Not Mapped"))</f>
        <v>Arivind S</v>
      </c>
      <c r="E92" s="13" t="s">
        <v>18</v>
      </c>
      <c r="F92" s="13" t="s">
        <v>298</v>
      </c>
      <c r="G92" s="13" t="s">
        <v>16</v>
      </c>
      <c r="H92" s="15" t="n">
        <v>6034</v>
      </c>
      <c r="I92" s="16" t="n">
        <v>0.48</v>
      </c>
      <c r="J92" s="16" t="n">
        <v>0.86</v>
      </c>
      <c r="K92" s="16" t="n">
        <v>0.95</v>
      </c>
      <c r="L92" s="16" t="n">
        <v>0.86</v>
      </c>
    </row>
    <row r="93" customFormat="false" ht="15.75" hidden="false" customHeight="false" outlineLevel="0" collapsed="false">
      <c r="B93" s="13" t="s">
        <v>241</v>
      </c>
      <c r="C93" s="14" t="str">
        <f aca="false">IF(B93="","",IFERROR(INDEX('CLM &amp; IM Mapping'!$B$2:$B$270,MATCH(TRIM(B93),'CLM &amp; IM Mapping'!$A$2:$A$270,0)),"Not Mapped"))</f>
        <v>Arun Raj</v>
      </c>
      <c r="D93" s="14" t="str">
        <f aca="false">IF(B93="","",IFERROR(INDEX('CLM &amp; IM Mapping'!$C$2:$C$270,MATCH(TRIM(B93),'CLM &amp; IM Mapping'!$A$2:$A$270,0)),"Not Mapped"))</f>
        <v>Simon Manoharan</v>
      </c>
      <c r="E93" s="13" t="s">
        <v>22</v>
      </c>
      <c r="F93" s="13" t="s">
        <v>297</v>
      </c>
      <c r="G93" s="13" t="s">
        <v>16</v>
      </c>
      <c r="H93" s="15" t="n">
        <v>12736</v>
      </c>
      <c r="I93" s="16" t="n">
        <v>0.4</v>
      </c>
      <c r="J93" s="16" t="n">
        <v>0.99</v>
      </c>
      <c r="K93" s="16" t="n">
        <v>1</v>
      </c>
      <c r="L93" s="16" t="n">
        <v>0.99</v>
      </c>
    </row>
    <row r="94" customFormat="false" ht="15.75" hidden="false" customHeight="false" outlineLevel="0" collapsed="false">
      <c r="B94" s="13" t="s">
        <v>249</v>
      </c>
      <c r="C94" s="14" t="str">
        <f aca="false">IF(B94="","",IFERROR(INDEX('CLM &amp; IM Mapping'!$B$2:$B$270,MATCH(TRIM(B94),'CLM &amp; IM Mapping'!$A$2:$A$270,0)),"Not Mapped"))</f>
        <v>Manoj Kj</v>
      </c>
      <c r="D94" s="14" t="str">
        <f aca="false">IF(B94="","",IFERROR(INDEX('CLM &amp; IM Mapping'!$C$2:$C$270,MATCH(TRIM(B94),'CLM &amp; IM Mapping'!$A$2:$A$270,0)),"Not Mapped"))</f>
        <v>Srittam Dhal</v>
      </c>
      <c r="E94" s="13" t="s">
        <v>18</v>
      </c>
      <c r="F94" s="13" t="s">
        <v>297</v>
      </c>
      <c r="G94" s="13" t="s">
        <v>16</v>
      </c>
      <c r="H94" s="15" t="n">
        <v>4531</v>
      </c>
      <c r="I94" s="16" t="n">
        <v>0.95</v>
      </c>
      <c r="J94" s="16" t="n">
        <v>0.87</v>
      </c>
      <c r="K94" s="16" t="n">
        <v>0.98</v>
      </c>
      <c r="L94" s="16" t="n">
        <v>0.87</v>
      </c>
    </row>
    <row r="95" customFormat="false" ht="15.75" hidden="false" customHeight="false" outlineLevel="0" collapsed="false">
      <c r="B95" s="13" t="s">
        <v>246</v>
      </c>
      <c r="C95" s="14" t="str">
        <f aca="false">IF(B95="","",IFERROR(INDEX('CLM &amp; IM Mapping'!$B$2:$B$270,MATCH(TRIM(B95),'CLM &amp; IM Mapping'!$A$2:$A$270,0)),"Not Mapped"))</f>
        <v>Adhavan Subramani</v>
      </c>
      <c r="D95" s="14" t="str">
        <f aca="false">IF(B95="","",IFERROR(INDEX('CLM &amp; IM Mapping'!$C$2:$C$270,MATCH(TRIM(B95),'CLM &amp; IM Mapping'!$A$2:$A$270,0)),"Not Mapped"))</f>
        <v>Mohammed Akbar</v>
      </c>
      <c r="E95" s="13" t="s">
        <v>18</v>
      </c>
      <c r="F95" s="13" t="s">
        <v>298</v>
      </c>
      <c r="G95" s="13" t="s">
        <v>16</v>
      </c>
      <c r="H95" s="15" t="n">
        <v>6065</v>
      </c>
      <c r="I95" s="16" t="n">
        <v>0.33</v>
      </c>
      <c r="J95" s="16" t="n">
        <v>0.78</v>
      </c>
      <c r="K95" s="16" t="n">
        <v>0.92</v>
      </c>
      <c r="L95" s="16" t="n">
        <v>0.78</v>
      </c>
    </row>
    <row r="96" customFormat="false" ht="15.75" hidden="false" customHeight="false" outlineLevel="0" collapsed="false">
      <c r="B96" s="13" t="s">
        <v>245</v>
      </c>
      <c r="C96" s="14" t="str">
        <f aca="false">IF(B96="","",IFERROR(INDEX('CLM &amp; IM Mapping'!$B$2:$B$270,MATCH(TRIM(B96),'CLM &amp; IM Mapping'!$A$2:$A$270,0)),"Not Mapped"))</f>
        <v>Rizwan Ahmed</v>
      </c>
      <c r="D96" s="14" t="str">
        <f aca="false">IF(B96="","",IFERROR(INDEX('CLM &amp; IM Mapping'!$C$2:$C$270,MATCH(TRIM(B96),'CLM &amp; IM Mapping'!$A$2:$A$270,0)),"Not Mapped"))</f>
        <v>Prakash BS</v>
      </c>
      <c r="E96" s="13" t="s">
        <v>18</v>
      </c>
      <c r="F96" s="13" t="s">
        <v>298</v>
      </c>
      <c r="G96" s="13" t="s">
        <v>16</v>
      </c>
      <c r="H96" s="15" t="n">
        <v>7382</v>
      </c>
      <c r="I96" s="16" t="n">
        <v>0.61</v>
      </c>
      <c r="J96" s="16" t="n">
        <v>0.88</v>
      </c>
      <c r="K96" s="16" t="n">
        <v>0.97</v>
      </c>
      <c r="L96" s="16" t="n">
        <v>0.88</v>
      </c>
    </row>
    <row r="97" customFormat="false" ht="15.75" hidden="false" customHeight="false" outlineLevel="0" collapsed="false">
      <c r="B97" s="13" t="s">
        <v>252</v>
      </c>
      <c r="C97" s="14" t="str">
        <f aca="false">IF(B97="","",IFERROR(INDEX('CLM &amp; IM Mapping'!$B$2:$B$270,MATCH(TRIM(B97),'CLM &amp; IM Mapping'!$A$2:$A$270,0)),"Not Mapped"))</f>
        <v>Akshay P</v>
      </c>
      <c r="D97" s="14" t="str">
        <f aca="false">IF(B97="","",IFERROR(INDEX('CLM &amp; IM Mapping'!$C$2:$C$270,MATCH(TRIM(B97),'CLM &amp; IM Mapping'!$A$2:$A$270,0)),"Not Mapped"))</f>
        <v>Srittam Dhal</v>
      </c>
      <c r="E97" s="13" t="s">
        <v>18</v>
      </c>
      <c r="F97" s="13" t="s">
        <v>297</v>
      </c>
      <c r="G97" s="13" t="s">
        <v>16</v>
      </c>
      <c r="H97" s="15" t="n">
        <v>5754</v>
      </c>
      <c r="I97" s="16" t="n">
        <v>0.83</v>
      </c>
      <c r="J97" s="16" t="n">
        <v>0.94</v>
      </c>
      <c r="K97" s="16" t="n">
        <v>0.99</v>
      </c>
      <c r="L97" s="16" t="n">
        <v>0.94</v>
      </c>
    </row>
    <row r="98" customFormat="false" ht="15.75" hidden="false" customHeight="false" outlineLevel="0" collapsed="false">
      <c r="B98" s="13" t="s">
        <v>251</v>
      </c>
      <c r="C98" s="14" t="str">
        <f aca="false">IF(B98="","",IFERROR(INDEX('CLM &amp; IM Mapping'!$B$2:$B$270,MATCH(TRIM(B98),'CLM &amp; IM Mapping'!$A$2:$A$270,0)),"Not Mapped"))</f>
        <v>Manjunatha V</v>
      </c>
      <c r="D98" s="14" t="str">
        <f aca="false">IF(B98="","",IFERROR(INDEX('CLM &amp; IM Mapping'!$C$2:$C$270,MATCH(TRIM(B98),'CLM &amp; IM Mapping'!$A$2:$A$270,0)),"Not Mapped"))</f>
        <v>Un Mapped</v>
      </c>
      <c r="E98" s="13" t="s">
        <v>18</v>
      </c>
      <c r="F98" s="13" t="s">
        <v>298</v>
      </c>
      <c r="G98" s="13" t="s">
        <v>16</v>
      </c>
      <c r="H98" s="15" t="n">
        <v>6055</v>
      </c>
      <c r="I98" s="16" t="n">
        <v>0.78</v>
      </c>
      <c r="J98" s="16" t="n">
        <v>0.81</v>
      </c>
      <c r="K98" s="16" t="n">
        <v>0.94</v>
      </c>
      <c r="L98" s="16" t="n">
        <v>0.81</v>
      </c>
    </row>
    <row r="99" customFormat="false" ht="15.75" hidden="false" customHeight="false" outlineLevel="0" collapsed="false">
      <c r="B99" s="13" t="s">
        <v>254</v>
      </c>
      <c r="C99" s="14" t="str">
        <f aca="false">IF(B99="","",IFERROR(INDEX('CLM &amp; IM Mapping'!$B$2:$B$270,MATCH(TRIM(B99),'CLM &amp; IM Mapping'!$A$2:$A$270,0)),"Not Mapped"))</f>
        <v>Suhas N</v>
      </c>
      <c r="D99" s="14" t="str">
        <f aca="false">IF(B99="","",IFERROR(INDEX('CLM &amp; IM Mapping'!$C$2:$C$270,MATCH(TRIM(B99),'CLM &amp; IM Mapping'!$A$2:$A$270,0)),"Not Mapped"))</f>
        <v>Aravind S</v>
      </c>
      <c r="E99" s="13" t="s">
        <v>18</v>
      </c>
      <c r="F99" s="13" t="s">
        <v>297</v>
      </c>
      <c r="G99" s="13" t="s">
        <v>16</v>
      </c>
      <c r="H99" s="15" t="n">
        <v>6999</v>
      </c>
      <c r="I99" s="16" t="n">
        <v>0.88</v>
      </c>
      <c r="J99" s="16" t="n">
        <v>0.87</v>
      </c>
      <c r="K99" s="16" t="n">
        <v>0.95</v>
      </c>
      <c r="L99" s="16" t="n">
        <v>0.87</v>
      </c>
    </row>
    <row r="100" customFormat="false" ht="15.75" hidden="false" customHeight="false" outlineLevel="0" collapsed="false">
      <c r="B100" s="13" t="s">
        <v>257</v>
      </c>
      <c r="C100" s="14" t="str">
        <f aca="false">IF(B100="","",IFERROR(INDEX('CLM &amp; IM Mapping'!$B$2:$B$270,MATCH(TRIM(B100),'CLM &amp; IM Mapping'!$A$2:$A$270,0)),"Not Mapped"))</f>
        <v>Balaji G</v>
      </c>
      <c r="D100" s="14" t="str">
        <f aca="false">IF(B100="","",IFERROR(INDEX('CLM &amp; IM Mapping'!$C$2:$C$270,MATCH(TRIM(B100),'CLM &amp; IM Mapping'!$A$2:$A$270,0)),"Not Mapped"))</f>
        <v>Mohammed Akbar</v>
      </c>
      <c r="E100" s="13" t="s">
        <v>18</v>
      </c>
      <c r="F100" s="13" t="s">
        <v>298</v>
      </c>
      <c r="G100" s="13" t="s">
        <v>16</v>
      </c>
      <c r="H100" s="15" t="n">
        <v>6409</v>
      </c>
      <c r="I100" s="16" t="n">
        <v>0.83</v>
      </c>
      <c r="J100" s="16" t="n">
        <v>0.93</v>
      </c>
      <c r="K100" s="16" t="n">
        <v>0.97</v>
      </c>
      <c r="L100" s="16" t="n">
        <v>0.93</v>
      </c>
    </row>
    <row r="101" customFormat="false" ht="15.75" hidden="false" customHeight="false" outlineLevel="0" collapsed="false">
      <c r="B101" s="13" t="s">
        <v>258</v>
      </c>
      <c r="C101" s="14" t="str">
        <f aca="false">IF(B101="","",IFERROR(INDEX('CLM &amp; IM Mapping'!$B$2:$B$270,MATCH(TRIM(B101),'CLM &amp; IM Mapping'!$A$2:$A$270,0)),"Not Mapped"))</f>
        <v>Sundaresh S</v>
      </c>
      <c r="D101" s="14" t="str">
        <f aca="false">IF(B101="","",IFERROR(INDEX('CLM &amp; IM Mapping'!$C$2:$C$270,MATCH(TRIM(B101),'CLM &amp; IM Mapping'!$A$2:$A$270,0)),"Not Mapped"))</f>
        <v>Un Mapped</v>
      </c>
      <c r="E101" s="13" t="s">
        <v>18</v>
      </c>
      <c r="F101" s="13" t="s">
        <v>298</v>
      </c>
      <c r="G101" s="13" t="s">
        <v>16</v>
      </c>
      <c r="H101" s="15" t="n">
        <v>4836</v>
      </c>
      <c r="I101" s="16" t="n">
        <v>0.34</v>
      </c>
      <c r="J101" s="16" t="n">
        <v>0.84</v>
      </c>
      <c r="K101" s="16" t="n">
        <v>0.97</v>
      </c>
      <c r="L101" s="16" t="n">
        <v>0.84</v>
      </c>
    </row>
    <row r="102" customFormat="false" ht="15.75" hidden="false" customHeight="false" outlineLevel="0" collapsed="false">
      <c r="B102" s="13" t="s">
        <v>264</v>
      </c>
      <c r="C102" s="14" t="str">
        <f aca="false">IF(B102="","",IFERROR(INDEX('CLM &amp; IM Mapping'!$B$2:$B$270,MATCH(TRIM(B102),'CLM &amp; IM Mapping'!$A$2:$A$270,0)),"Not Mapped"))</f>
        <v>Basil Scariya</v>
      </c>
      <c r="D102" s="14" t="str">
        <f aca="false">IF(B102="","",IFERROR(INDEX('CLM &amp; IM Mapping'!$C$2:$C$270,MATCH(TRIM(B102),'CLM &amp; IM Mapping'!$A$2:$A$270,0)),"Not Mapped"))</f>
        <v>Prakash BS</v>
      </c>
      <c r="E102" s="13" t="s">
        <v>18</v>
      </c>
      <c r="F102" s="13" t="s">
        <v>298</v>
      </c>
      <c r="G102" s="13" t="s">
        <v>16</v>
      </c>
      <c r="H102" s="15" t="n">
        <v>5290</v>
      </c>
      <c r="I102" s="16" t="n">
        <v>0.86</v>
      </c>
      <c r="J102" s="16" t="n">
        <v>0.9</v>
      </c>
      <c r="K102" s="16" t="n">
        <v>0.97</v>
      </c>
      <c r="L102" s="16" t="n">
        <v>0.9</v>
      </c>
    </row>
    <row r="103" customFormat="false" ht="15.75" hidden="false" customHeight="false" outlineLevel="0" collapsed="false">
      <c r="B103" s="13" t="s">
        <v>267</v>
      </c>
      <c r="C103" s="14" t="str">
        <f aca="false">IF(B103="","",IFERROR(INDEX('CLM &amp; IM Mapping'!$B$2:$B$270,MATCH(TRIM(B103),'CLM &amp; IM Mapping'!$A$2:$A$270,0)),"Not Mapped"))</f>
        <v>Suhas N</v>
      </c>
      <c r="D103" s="14" t="str">
        <f aca="false">IF(B103="","",IFERROR(INDEX('CLM &amp; IM Mapping'!$C$2:$C$270,MATCH(TRIM(B103),'CLM &amp; IM Mapping'!$A$2:$A$270,0)),"Not Mapped"))</f>
        <v>Aravind S</v>
      </c>
      <c r="E103" s="13" t="s">
        <v>18</v>
      </c>
      <c r="F103" s="13" t="s">
        <v>298</v>
      </c>
      <c r="G103" s="13" t="s">
        <v>16</v>
      </c>
      <c r="H103" s="15" t="n">
        <v>6272</v>
      </c>
      <c r="I103" s="16" t="n">
        <v>0.7</v>
      </c>
      <c r="J103" s="16" t="n">
        <v>0.89</v>
      </c>
      <c r="K103" s="16" t="n">
        <v>0.97</v>
      </c>
      <c r="L103" s="16" t="n">
        <v>0.89</v>
      </c>
    </row>
    <row r="104" customFormat="false" ht="15.75" hidden="false" customHeight="false" outlineLevel="0" collapsed="false">
      <c r="B104" s="13" t="s">
        <v>274</v>
      </c>
      <c r="C104" s="14" t="str">
        <f aca="false">IF(B104="","",IFERROR(INDEX('CLM &amp; IM Mapping'!$B$2:$B$270,MATCH(TRIM(B104),'CLM &amp; IM Mapping'!$A$2:$A$270,0)),"Not Mapped"))</f>
        <v>Narasimhamurthy R</v>
      </c>
      <c r="D104" s="14" t="str">
        <f aca="false">IF(B104="","",IFERROR(INDEX('CLM &amp; IM Mapping'!$C$2:$C$270,MATCH(TRIM(B104),'CLM &amp; IM Mapping'!$A$2:$A$270,0)),"Not Mapped"))</f>
        <v>Kishor K</v>
      </c>
      <c r="E104" s="13" t="s">
        <v>18</v>
      </c>
      <c r="F104" s="13" t="s">
        <v>297</v>
      </c>
      <c r="G104" s="13" t="s">
        <v>16</v>
      </c>
      <c r="H104" s="15" t="n">
        <v>5482</v>
      </c>
      <c r="I104" s="16" t="n">
        <v>0.19</v>
      </c>
      <c r="J104" s="16" t="n">
        <v>0.6</v>
      </c>
      <c r="K104" s="16" t="n">
        <v>0.88</v>
      </c>
      <c r="L104" s="16" t="n">
        <v>0.5</v>
      </c>
    </row>
    <row r="105" customFormat="false" ht="15.75" hidden="false" customHeight="false" outlineLevel="0" collapsed="false">
      <c r="B105" s="13" t="s">
        <v>270</v>
      </c>
      <c r="C105" s="14" t="str">
        <f aca="false">IF(B105="","",IFERROR(INDEX('CLM &amp; IM Mapping'!$B$2:$B$270,MATCH(TRIM(B105),'CLM &amp; IM Mapping'!$A$2:$A$270,0)),"Not Mapped"))</f>
        <v>Adhavan Subramani</v>
      </c>
      <c r="D105" s="14" t="str">
        <f aca="false">IF(B105="","",IFERROR(INDEX('CLM &amp; IM Mapping'!$C$2:$C$270,MATCH(TRIM(B105),'CLM &amp; IM Mapping'!$A$2:$A$270,0)),"Not Mapped"))</f>
        <v>Mohammed Akbar</v>
      </c>
      <c r="E105" s="13" t="s">
        <v>18</v>
      </c>
      <c r="F105" s="13" t="s">
        <v>298</v>
      </c>
      <c r="G105" s="13" t="s">
        <v>16</v>
      </c>
      <c r="H105" s="15" t="n">
        <v>5516</v>
      </c>
      <c r="I105" s="16" t="n">
        <v>0.72</v>
      </c>
      <c r="J105" s="16" t="n">
        <v>0.8</v>
      </c>
      <c r="K105" s="16" t="n">
        <v>0.96</v>
      </c>
      <c r="L105" s="16" t="n">
        <v>0.8</v>
      </c>
    </row>
    <row r="106" customFormat="false" ht="15.75" hidden="false" customHeight="false" outlineLevel="0" collapsed="false">
      <c r="B106" s="13" t="s">
        <v>273</v>
      </c>
      <c r="C106" s="14" t="str">
        <f aca="false">IF(B106="","",IFERROR(INDEX('CLM &amp; IM Mapping'!$B$2:$B$270,MATCH(TRIM(B106),'CLM &amp; IM Mapping'!$A$2:$A$270,0)),"Not Mapped"))</f>
        <v>Vijay M</v>
      </c>
      <c r="D106" s="14" t="str">
        <f aca="false">IF(B106="","",IFERROR(INDEX('CLM &amp; IM Mapping'!$C$2:$C$270,MATCH(TRIM(B106),'CLM &amp; IM Mapping'!$A$2:$A$270,0)),"Not Mapped"))</f>
        <v>Kantha Kumar</v>
      </c>
      <c r="E106" s="13" t="s">
        <v>18</v>
      </c>
      <c r="F106" s="13" t="s">
        <v>298</v>
      </c>
      <c r="G106" s="13" t="s">
        <v>16</v>
      </c>
      <c r="H106" s="15" t="n">
        <v>5085</v>
      </c>
      <c r="I106" s="16" t="n">
        <v>0.76</v>
      </c>
      <c r="J106" s="16" t="n">
        <v>0.85</v>
      </c>
      <c r="K106" s="16" t="n">
        <v>0.92</v>
      </c>
      <c r="L106" s="16" t="n">
        <v>0.85</v>
      </c>
    </row>
    <row r="107" customFormat="false" ht="15.75" hidden="false" customHeight="false" outlineLevel="0" collapsed="false">
      <c r="B107" s="13" t="s">
        <v>279</v>
      </c>
      <c r="C107" s="14" t="str">
        <f aca="false">IF(B107="","",IFERROR(INDEX('CLM &amp; IM Mapping'!$B$2:$B$270,MATCH(TRIM(B107),'CLM &amp; IM Mapping'!$A$2:$A$270,0)),"Not Mapped"))</f>
        <v>Balaji G</v>
      </c>
      <c r="D107" s="14" t="str">
        <f aca="false">IF(B107="","",IFERROR(INDEX('CLM &amp; IM Mapping'!$C$2:$C$270,MATCH(TRIM(B107),'CLM &amp; IM Mapping'!$A$2:$A$270,0)),"Not Mapped"))</f>
        <v>Mohammed Akbar</v>
      </c>
      <c r="E107" s="13" t="s">
        <v>18</v>
      </c>
      <c r="F107" s="13" t="s">
        <v>298</v>
      </c>
      <c r="G107" s="13" t="s">
        <v>16</v>
      </c>
      <c r="H107" s="15" t="n">
        <v>4674</v>
      </c>
      <c r="I107" s="16" t="n">
        <v>0.56</v>
      </c>
      <c r="J107" s="16" t="n">
        <v>0.87</v>
      </c>
      <c r="K107" s="16" t="n">
        <v>0.97</v>
      </c>
      <c r="L107" s="16" t="n">
        <v>0.87</v>
      </c>
    </row>
    <row r="108" customFormat="false" ht="15.75" hidden="false" customHeight="false" outlineLevel="0" collapsed="false">
      <c r="B108" s="13" t="s">
        <v>17</v>
      </c>
      <c r="C108" s="14" t="str">
        <f aca="false">IF(B108="","",IFERROR(INDEX('CLM &amp; IM Mapping'!$B$2:$B$270,MATCH(TRIM(B108),'CLM &amp; IM Mapping'!$A$2:$A$270,0)),"Not Mapped"))</f>
        <v>Saddam Hussain</v>
      </c>
      <c r="D108" s="14" t="str">
        <f aca="false">IF(B108="","",IFERROR(INDEX('CLM &amp; IM Mapping'!$C$2:$C$270,MATCH(TRIM(B108),'CLM &amp; IM Mapping'!$A$2:$A$270,0)),"Not Mapped"))</f>
        <v>Un Mapped</v>
      </c>
      <c r="E108" s="13" t="s">
        <v>18</v>
      </c>
      <c r="F108" s="13" t="s">
        <v>297</v>
      </c>
      <c r="G108" s="13" t="s">
        <v>16</v>
      </c>
      <c r="H108" s="15" t="n">
        <v>4408</v>
      </c>
      <c r="I108" s="16" t="n">
        <v>0.71</v>
      </c>
      <c r="J108" s="16" t="n">
        <v>0.81</v>
      </c>
      <c r="K108" s="16" t="n">
        <v>0.98</v>
      </c>
      <c r="L108" s="16" t="n">
        <v>0.81</v>
      </c>
    </row>
    <row r="109" customFormat="false" ht="15.75" hidden="false" customHeight="false" outlineLevel="0" collapsed="false">
      <c r="B109" s="13" t="s">
        <v>26</v>
      </c>
      <c r="C109" s="14" t="str">
        <f aca="false">IF(B109="","",IFERROR(INDEX('CLM &amp; IM Mapping'!$B$2:$B$270,MATCH(TRIM(B109),'CLM &amp; IM Mapping'!$A$2:$A$270,0)),"Not Mapped"))</f>
        <v>Suhas N</v>
      </c>
      <c r="D109" s="14" t="str">
        <f aca="false">IF(B109="","",IFERROR(INDEX('CLM &amp; IM Mapping'!$C$2:$C$270,MATCH(TRIM(B109),'CLM &amp; IM Mapping'!$A$2:$A$270,0)),"Not Mapped"))</f>
        <v>Aravind S</v>
      </c>
      <c r="E109" s="13" t="s">
        <v>18</v>
      </c>
      <c r="F109" s="13" t="s">
        <v>298</v>
      </c>
      <c r="G109" s="13" t="s">
        <v>16</v>
      </c>
      <c r="H109" s="15" t="n">
        <v>4895</v>
      </c>
      <c r="I109" s="16" t="n">
        <v>0.62</v>
      </c>
      <c r="J109" s="16" t="n">
        <v>0.93</v>
      </c>
      <c r="K109" s="16" t="n">
        <v>0.98</v>
      </c>
      <c r="L109" s="16" t="n">
        <v>0.93</v>
      </c>
    </row>
    <row r="110" customFormat="false" ht="15.75" hidden="false" customHeight="false" outlineLevel="0" collapsed="false">
      <c r="B110" s="13" t="s">
        <v>25</v>
      </c>
      <c r="C110" s="14" t="str">
        <f aca="false">IF(B110="","",IFERROR(INDEX('CLM &amp; IM Mapping'!$B$2:$B$270,MATCH(TRIM(B110),'CLM &amp; IM Mapping'!$A$2:$A$270,0)),"Not Mapped"))</f>
        <v>Sundaresh S</v>
      </c>
      <c r="D110" s="14" t="str">
        <f aca="false">IF(B110="","",IFERROR(INDEX('CLM &amp; IM Mapping'!$C$2:$C$270,MATCH(TRIM(B110),'CLM &amp; IM Mapping'!$A$2:$A$270,0)),"Not Mapped"))</f>
        <v>Un Mapped</v>
      </c>
      <c r="E110" s="13" t="s">
        <v>18</v>
      </c>
      <c r="F110" s="13" t="s">
        <v>298</v>
      </c>
      <c r="G110" s="13" t="s">
        <v>16</v>
      </c>
      <c r="H110" s="15" t="n">
        <v>4445</v>
      </c>
      <c r="I110" s="16" t="n">
        <v>0.66</v>
      </c>
      <c r="J110" s="16" t="n">
        <v>0.82</v>
      </c>
      <c r="K110" s="16" t="n">
        <v>0.96</v>
      </c>
      <c r="L110" s="16" t="n">
        <v>0.82</v>
      </c>
    </row>
    <row r="111" customFormat="false" ht="15.75" hidden="false" customHeight="false" outlineLevel="0" collapsed="false">
      <c r="B111" s="13" t="s">
        <v>30</v>
      </c>
      <c r="C111" s="14" t="str">
        <f aca="false">IF(B111="","",IFERROR(INDEX('CLM &amp; IM Mapping'!$B$2:$B$270,MATCH(TRIM(B111),'CLM &amp; IM Mapping'!$A$2:$A$270,0)),"Not Mapped"))</f>
        <v>Ravishankar gowda</v>
      </c>
      <c r="D111" s="14" t="str">
        <f aca="false">IF(B111="","",IFERROR(INDEX('CLM &amp; IM Mapping'!$C$2:$C$270,MATCH(TRIM(B111),'CLM &amp; IM Mapping'!$A$2:$A$270,0)),"Not Mapped"))</f>
        <v>Kishor K</v>
      </c>
      <c r="E111" s="13" t="s">
        <v>18</v>
      </c>
      <c r="F111" s="13" t="s">
        <v>297</v>
      </c>
      <c r="G111" s="13" t="s">
        <v>16</v>
      </c>
      <c r="H111" s="15" t="n">
        <v>5717</v>
      </c>
      <c r="I111" s="16" t="n">
        <v>0.39</v>
      </c>
      <c r="J111" s="16" t="n">
        <v>0.93</v>
      </c>
      <c r="K111" s="16" t="n">
        <v>0.96</v>
      </c>
      <c r="L111" s="16" t="n">
        <v>0.93</v>
      </c>
    </row>
    <row r="112" customFormat="false" ht="15.75" hidden="false" customHeight="false" outlineLevel="0" collapsed="false">
      <c r="B112" s="13" t="s">
        <v>37</v>
      </c>
      <c r="C112" s="14" t="str">
        <f aca="false">IF(B112="","",IFERROR(INDEX('CLM &amp; IM Mapping'!$B$2:$B$270,MATCH(TRIM(B112),'CLM &amp; IM Mapping'!$A$2:$A$270,0)),"Not Mapped"))</f>
        <v>Balaji G</v>
      </c>
      <c r="D112" s="14" t="str">
        <f aca="false">IF(B112="","",IFERROR(INDEX('CLM &amp; IM Mapping'!$C$2:$C$270,MATCH(TRIM(B112),'CLM &amp; IM Mapping'!$A$2:$A$270,0)),"Not Mapped"))</f>
        <v>Mohammed Akbar</v>
      </c>
      <c r="E112" s="13" t="s">
        <v>18</v>
      </c>
      <c r="F112" s="13" t="s">
        <v>298</v>
      </c>
      <c r="G112" s="13" t="s">
        <v>16</v>
      </c>
      <c r="H112" s="15" t="n">
        <v>6333</v>
      </c>
      <c r="I112" s="16" t="n">
        <v>0.58</v>
      </c>
      <c r="J112" s="16" t="n">
        <v>0.89</v>
      </c>
      <c r="K112" s="16" t="n">
        <v>0.97</v>
      </c>
      <c r="L112" s="16" t="n">
        <v>0.89</v>
      </c>
    </row>
    <row r="113" customFormat="false" ht="15.75" hidden="false" customHeight="false" outlineLevel="0" collapsed="false">
      <c r="B113" s="13" t="s">
        <v>39</v>
      </c>
      <c r="C113" s="14" t="str">
        <f aca="false">IF(B113="","",IFERROR(INDEX('CLM &amp; IM Mapping'!$B$2:$B$270,MATCH(TRIM(B113),'CLM &amp; IM Mapping'!$A$2:$A$270,0)),"Not Mapped"))</f>
        <v>Arun Raj</v>
      </c>
      <c r="D113" s="14" t="str">
        <f aca="false">IF(B113="","",IFERROR(INDEX('CLM &amp; IM Mapping'!$C$2:$C$270,MATCH(TRIM(B113),'CLM &amp; IM Mapping'!$A$2:$A$270,0)),"Not Mapped"))</f>
        <v>Simon Manoharan</v>
      </c>
      <c r="E113" s="13" t="s">
        <v>22</v>
      </c>
      <c r="F113" s="13" t="s">
        <v>297</v>
      </c>
      <c r="G113" s="13" t="s">
        <v>16</v>
      </c>
      <c r="H113" s="15" t="n">
        <v>13185</v>
      </c>
      <c r="I113" s="16" t="n">
        <v>0.43</v>
      </c>
      <c r="J113" s="16" t="n">
        <v>1</v>
      </c>
      <c r="K113" s="16" t="n">
        <v>1</v>
      </c>
      <c r="L113" s="16" t="n">
        <v>1</v>
      </c>
    </row>
    <row r="114" customFormat="false" ht="15.75" hidden="false" customHeight="false" outlineLevel="0" collapsed="false">
      <c r="B114" s="13" t="s">
        <v>79</v>
      </c>
      <c r="C114" s="14" t="str">
        <f aca="false">IF(B114="","",IFERROR(INDEX('CLM &amp; IM Mapping'!$B$2:$B$270,MATCH(TRIM(B114),'CLM &amp; IM Mapping'!$A$2:$A$270,0)),"Not Mapped"))</f>
        <v>Akshay P</v>
      </c>
      <c r="D114" s="14" t="str">
        <f aca="false">IF(B114="","",IFERROR(INDEX('CLM &amp; IM Mapping'!$C$2:$C$270,MATCH(TRIM(B114),'CLM &amp; IM Mapping'!$A$2:$A$270,0)),"Not Mapped"))</f>
        <v>Srittam Dhal</v>
      </c>
      <c r="E114" s="13" t="s">
        <v>18</v>
      </c>
      <c r="F114" s="13" t="s">
        <v>298</v>
      </c>
      <c r="G114" s="13" t="s">
        <v>16</v>
      </c>
      <c r="H114" s="15" t="n">
        <v>5212</v>
      </c>
      <c r="I114" s="16" t="n">
        <v>0</v>
      </c>
      <c r="J114" s="17"/>
      <c r="K114" s="13"/>
      <c r="L114" s="13"/>
    </row>
    <row r="115" customFormat="false" ht="15.75" hidden="false" customHeight="false" outlineLevel="0" collapsed="false">
      <c r="B115" s="13" t="s">
        <v>50</v>
      </c>
      <c r="C115" s="14" t="str">
        <f aca="false">IF(B115="","",IFERROR(INDEX('CLM &amp; IM Mapping'!$B$2:$B$270,MATCH(TRIM(B115),'CLM &amp; IM Mapping'!$A$2:$A$270,0)),"Not Mapped"))</f>
        <v>Akshay P</v>
      </c>
      <c r="D115" s="14" t="str">
        <f aca="false">IF(B115="","",IFERROR(INDEX('CLM &amp; IM Mapping'!$C$2:$C$270,MATCH(TRIM(B115),'CLM &amp; IM Mapping'!$A$2:$A$270,0)),"Not Mapped"))</f>
        <v>Srittam Dhal</v>
      </c>
      <c r="E115" s="13" t="s">
        <v>18</v>
      </c>
      <c r="F115" s="13" t="s">
        <v>298</v>
      </c>
      <c r="G115" s="13" t="s">
        <v>16</v>
      </c>
      <c r="H115" s="15" t="n">
        <v>6102</v>
      </c>
      <c r="I115" s="16" t="n">
        <v>0.93</v>
      </c>
      <c r="J115" s="16" t="n">
        <v>0.95</v>
      </c>
      <c r="K115" s="16" t="n">
        <v>0.99</v>
      </c>
      <c r="L115" s="16" t="n">
        <v>0.95</v>
      </c>
    </row>
    <row r="116" customFormat="false" ht="15.75" hidden="false" customHeight="false" outlineLevel="0" collapsed="false">
      <c r="B116" s="13" t="s">
        <v>57</v>
      </c>
      <c r="C116" s="14" t="str">
        <f aca="false">IF(B116="","",IFERROR(INDEX('CLM &amp; IM Mapping'!$B$2:$B$270,MATCH(TRIM(B116),'CLM &amp; IM Mapping'!$A$2:$A$270,0)),"Not Mapped"))</f>
        <v>Suhas N</v>
      </c>
      <c r="D116" s="14" t="str">
        <f aca="false">IF(B116="","",IFERROR(INDEX('CLM &amp; IM Mapping'!$C$2:$C$270,MATCH(TRIM(B116),'CLM &amp; IM Mapping'!$A$2:$A$270,0)),"Not Mapped"))</f>
        <v>Aravind S</v>
      </c>
      <c r="E116" s="13" t="s">
        <v>18</v>
      </c>
      <c r="F116" s="13" t="s">
        <v>298</v>
      </c>
      <c r="G116" s="13" t="s">
        <v>16</v>
      </c>
      <c r="H116" s="15" t="n">
        <v>6444</v>
      </c>
      <c r="I116" s="16" t="n">
        <v>0.45</v>
      </c>
      <c r="J116" s="16" t="n">
        <v>0.82</v>
      </c>
      <c r="K116" s="16" t="n">
        <v>0.96</v>
      </c>
      <c r="L116" s="16" t="n">
        <v>0.82</v>
      </c>
    </row>
    <row r="117" customFormat="false" ht="15.75" hidden="false" customHeight="false" outlineLevel="0" collapsed="false">
      <c r="B117" s="13" t="s">
        <v>60</v>
      </c>
      <c r="C117" s="14" t="str">
        <f aca="false">IF(B117="","",IFERROR(INDEX('CLM &amp; IM Mapping'!$B$2:$B$270,MATCH(TRIM(B117),'CLM &amp; IM Mapping'!$A$2:$A$270,0)),"Not Mapped"))</f>
        <v>Basil Scariya</v>
      </c>
      <c r="D117" s="14" t="str">
        <f aca="false">IF(B117="","",IFERROR(INDEX('CLM &amp; IM Mapping'!$C$2:$C$270,MATCH(TRIM(B117),'CLM &amp; IM Mapping'!$A$2:$A$270,0)),"Not Mapped"))</f>
        <v>Prakash BS</v>
      </c>
      <c r="E117" s="13" t="s">
        <v>18</v>
      </c>
      <c r="F117" s="13" t="s">
        <v>298</v>
      </c>
      <c r="G117" s="13" t="s">
        <v>16</v>
      </c>
      <c r="H117" s="15" t="n">
        <v>4912</v>
      </c>
      <c r="I117" s="16" t="n">
        <v>0.52</v>
      </c>
      <c r="J117" s="16" t="n">
        <v>0.66</v>
      </c>
      <c r="K117" s="16" t="n">
        <v>0.89</v>
      </c>
      <c r="L117" s="16" t="n">
        <v>0.66</v>
      </c>
    </row>
    <row r="118" customFormat="false" ht="15.75" hidden="false" customHeight="false" outlineLevel="0" collapsed="false">
      <c r="B118" s="13" t="s">
        <v>299</v>
      </c>
      <c r="C118" s="14" t="str">
        <f aca="false">IF(B118="","",IFERROR(INDEX('CLM &amp; IM Mapping'!$B$2:$B$270,MATCH(TRIM(B118),'CLM &amp; IM Mapping'!$A$2:$A$270,0)),"Not Mapped"))</f>
        <v>Basil Scariya</v>
      </c>
      <c r="D118" s="14" t="str">
        <f aca="false">IF(B118="","",IFERROR(INDEX('CLM &amp; IM Mapping'!$C$2:$C$270,MATCH(TRIM(B118),'CLM &amp; IM Mapping'!$A$2:$A$270,0)),"Not Mapped"))</f>
        <v>Prakash BS</v>
      </c>
      <c r="E118" s="13" t="s">
        <v>18</v>
      </c>
      <c r="F118" s="13" t="s">
        <v>298</v>
      </c>
      <c r="G118" s="13" t="s">
        <v>16</v>
      </c>
      <c r="H118" s="15" t="n">
        <v>7849</v>
      </c>
      <c r="I118" s="16" t="n">
        <v>0</v>
      </c>
      <c r="J118" s="17"/>
      <c r="K118" s="13"/>
      <c r="L118" s="13"/>
    </row>
    <row r="119" customFormat="false" ht="15.75" hidden="false" customHeight="false" outlineLevel="0" collapsed="false">
      <c r="B119" s="13" t="s">
        <v>63</v>
      </c>
      <c r="C119" s="14" t="str">
        <f aca="false">IF(B119="","",IFERROR(INDEX('CLM &amp; IM Mapping'!$B$2:$B$270,MATCH(TRIM(B119),'CLM &amp; IM Mapping'!$A$2:$A$270,0)),"Not Mapped"))</f>
        <v>Ravishankar gowda</v>
      </c>
      <c r="D119" s="14" t="str">
        <f aca="false">IF(B119="","",IFERROR(INDEX('CLM &amp; IM Mapping'!$C$2:$C$270,MATCH(TRIM(B119),'CLM &amp; IM Mapping'!$A$2:$A$270,0)),"Not Mapped"))</f>
        <v>Kishor K</v>
      </c>
      <c r="E119" s="13" t="s">
        <v>18</v>
      </c>
      <c r="F119" s="13" t="s">
        <v>298</v>
      </c>
      <c r="G119" s="13" t="s">
        <v>16</v>
      </c>
      <c r="H119" s="15" t="n">
        <v>5765</v>
      </c>
      <c r="I119" s="16" t="n">
        <v>0.26</v>
      </c>
      <c r="J119" s="16" t="n">
        <v>0.82</v>
      </c>
      <c r="K119" s="16" t="n">
        <v>0.96</v>
      </c>
      <c r="L119" s="16" t="n">
        <v>0.82</v>
      </c>
    </row>
    <row r="120" customFormat="false" ht="15.75" hidden="false" customHeight="false" outlineLevel="0" collapsed="false">
      <c r="B120" s="13" t="s">
        <v>66</v>
      </c>
      <c r="C120" s="14" t="str">
        <f aca="false">IF(B120="","",IFERROR(INDEX('CLM &amp; IM Mapping'!$B$2:$B$270,MATCH(TRIM(B120),'CLM &amp; IM Mapping'!$A$2:$A$270,0)),"Not Mapped"))</f>
        <v>Narasimhamurthy R</v>
      </c>
      <c r="D120" s="14" t="str">
        <f aca="false">IF(B120="","",IFERROR(INDEX('CLM &amp; IM Mapping'!$C$2:$C$270,MATCH(TRIM(B120),'CLM &amp; IM Mapping'!$A$2:$A$270,0)),"Not Mapped"))</f>
        <v>Kishor K</v>
      </c>
      <c r="E120" s="13" t="s">
        <v>18</v>
      </c>
      <c r="F120" s="13" t="s">
        <v>298</v>
      </c>
      <c r="G120" s="13" t="s">
        <v>16</v>
      </c>
      <c r="H120" s="15" t="n">
        <v>6939</v>
      </c>
      <c r="I120" s="16" t="n">
        <v>0.53</v>
      </c>
      <c r="J120" s="16" t="n">
        <v>0.8</v>
      </c>
      <c r="K120" s="16" t="n">
        <v>0.94</v>
      </c>
      <c r="L120" s="16" t="n">
        <v>0.8</v>
      </c>
    </row>
    <row r="121" customFormat="false" ht="15.75" hidden="false" customHeight="false" outlineLevel="0" collapsed="false">
      <c r="B121" s="13" t="s">
        <v>64</v>
      </c>
      <c r="C121" s="14" t="str">
        <f aca="false">IF(B121="","",IFERROR(INDEX('CLM &amp; IM Mapping'!$B$2:$B$270,MATCH(TRIM(B121),'CLM &amp; IM Mapping'!$A$2:$A$270,0)),"Not Mapped"))</f>
        <v>Akshay P</v>
      </c>
      <c r="D121" s="14" t="str">
        <f aca="false">IF(B121="","",IFERROR(INDEX('CLM &amp; IM Mapping'!$C$2:$C$270,MATCH(TRIM(B121),'CLM &amp; IM Mapping'!$A$2:$A$270,0)),"Not Mapped"))</f>
        <v>Srittam Dhal</v>
      </c>
      <c r="E121" s="13" t="s">
        <v>18</v>
      </c>
      <c r="F121" s="13" t="s">
        <v>298</v>
      </c>
      <c r="G121" s="13" t="s">
        <v>16</v>
      </c>
      <c r="H121" s="15" t="n">
        <v>5212</v>
      </c>
      <c r="I121" s="16" t="n">
        <v>0.64</v>
      </c>
      <c r="J121" s="16" t="n">
        <v>0.89</v>
      </c>
      <c r="K121" s="16" t="n">
        <v>0.97</v>
      </c>
      <c r="L121" s="16" t="n">
        <v>0.89</v>
      </c>
    </row>
    <row r="122" customFormat="false" ht="15.75" hidden="false" customHeight="false" outlineLevel="0" collapsed="false">
      <c r="B122" s="13" t="s">
        <v>67</v>
      </c>
      <c r="C122" s="14" t="str">
        <f aca="false">IF(B122="","",IFERROR(INDEX('CLM &amp; IM Mapping'!$B$2:$B$270,MATCH(TRIM(B122),'CLM &amp; IM Mapping'!$A$2:$A$270,0)),"Not Mapped"))</f>
        <v>Raghavendra Vernekar</v>
      </c>
      <c r="D122" s="14" t="str">
        <f aca="false">IF(B122="","",IFERROR(INDEX('CLM &amp; IM Mapping'!$C$2:$C$270,MATCH(TRIM(B122),'CLM &amp; IM Mapping'!$A$2:$A$270,0)),"Not Mapped"))</f>
        <v>Prakash BS</v>
      </c>
      <c r="E122" s="13" t="s">
        <v>18</v>
      </c>
      <c r="F122" s="13" t="s">
        <v>297</v>
      </c>
      <c r="G122" s="13" t="s">
        <v>16</v>
      </c>
      <c r="H122" s="15" t="n">
        <v>10820</v>
      </c>
      <c r="I122" s="16" t="n">
        <v>0.35</v>
      </c>
      <c r="J122" s="16" t="n">
        <v>0.96</v>
      </c>
      <c r="K122" s="16" t="n">
        <v>0.96</v>
      </c>
      <c r="L122" s="13"/>
    </row>
    <row r="123" customFormat="false" ht="15.75" hidden="false" customHeight="false" outlineLevel="0" collapsed="false">
      <c r="B123" s="13" t="s">
        <v>69</v>
      </c>
      <c r="C123" s="14" t="str">
        <f aca="false">IF(B123="","",IFERROR(INDEX('CLM &amp; IM Mapping'!$B$2:$B$270,MATCH(TRIM(B123),'CLM &amp; IM Mapping'!$A$2:$A$270,0)),"Not Mapped"))</f>
        <v>Akshay P</v>
      </c>
      <c r="D123" s="14" t="str">
        <f aca="false">IF(B123="","",IFERROR(INDEX('CLM &amp; IM Mapping'!$C$2:$C$270,MATCH(TRIM(B123),'CLM &amp; IM Mapping'!$A$2:$A$270,0)),"Not Mapped"))</f>
        <v>Srittam Dhal</v>
      </c>
      <c r="E123" s="13" t="s">
        <v>18</v>
      </c>
      <c r="F123" s="13" t="s">
        <v>298</v>
      </c>
      <c r="G123" s="13" t="s">
        <v>16</v>
      </c>
      <c r="H123" s="15" t="n">
        <v>5293</v>
      </c>
      <c r="I123" s="16" t="n">
        <v>0.87</v>
      </c>
      <c r="J123" s="16" t="n">
        <v>0.88</v>
      </c>
      <c r="K123" s="16" t="n">
        <v>0.95</v>
      </c>
      <c r="L123" s="16" t="n">
        <v>0.88</v>
      </c>
    </row>
    <row r="124" customFormat="false" ht="15.75" hidden="false" customHeight="false" outlineLevel="0" collapsed="false">
      <c r="B124" s="13" t="s">
        <v>68</v>
      </c>
      <c r="C124" s="14" t="str">
        <f aca="false">IF(B124="","",IFERROR(INDEX('CLM &amp; IM Mapping'!$B$2:$B$270,MATCH(TRIM(B124),'CLM &amp; IM Mapping'!$A$2:$A$270,0)),"Not Mapped"))</f>
        <v>Silambarasan E</v>
      </c>
      <c r="D124" s="14" t="str">
        <f aca="false">IF(B124="","",IFERROR(INDEX('CLM &amp; IM Mapping'!$C$2:$C$270,MATCH(TRIM(B124),'CLM &amp; IM Mapping'!$A$2:$A$270,0)),"Not Mapped"))</f>
        <v>Arivind S</v>
      </c>
      <c r="E124" s="13" t="s">
        <v>18</v>
      </c>
      <c r="F124" s="13" t="s">
        <v>297</v>
      </c>
      <c r="G124" s="13" t="s">
        <v>16</v>
      </c>
      <c r="H124" s="15" t="n">
        <v>5395</v>
      </c>
      <c r="I124" s="16" t="n">
        <v>0.54</v>
      </c>
      <c r="J124" s="16" t="n">
        <v>0.84</v>
      </c>
      <c r="K124" s="16" t="n">
        <v>0.98</v>
      </c>
      <c r="L124" s="16" t="n">
        <v>0.84</v>
      </c>
    </row>
    <row r="125" customFormat="false" ht="15.75" hidden="false" customHeight="false" outlineLevel="0" collapsed="false">
      <c r="B125" s="13" t="s">
        <v>70</v>
      </c>
      <c r="C125" s="14" t="str">
        <f aca="false">IF(B125="","",IFERROR(INDEX('CLM &amp; IM Mapping'!$B$2:$B$270,MATCH(TRIM(B125),'CLM &amp; IM Mapping'!$A$2:$A$270,0)),"Not Mapped"))</f>
        <v>Arun Raj</v>
      </c>
      <c r="D125" s="14" t="str">
        <f aca="false">IF(B125="","",IFERROR(INDEX('CLM &amp; IM Mapping'!$C$2:$C$270,MATCH(TRIM(B125),'CLM &amp; IM Mapping'!$A$2:$A$270,0)),"Not Mapped"))</f>
        <v>Simon Manoharan</v>
      </c>
      <c r="E125" s="13" t="s">
        <v>22</v>
      </c>
      <c r="F125" s="13" t="s">
        <v>297</v>
      </c>
      <c r="G125" s="13" t="s">
        <v>16</v>
      </c>
      <c r="H125" s="15" t="n">
        <v>11048</v>
      </c>
      <c r="I125" s="16" t="n">
        <v>0.23</v>
      </c>
      <c r="J125" s="16" t="n">
        <v>0.97</v>
      </c>
      <c r="K125" s="16" t="n">
        <v>0.99</v>
      </c>
      <c r="L125" s="16" t="n">
        <v>0.97</v>
      </c>
    </row>
    <row r="126" customFormat="false" ht="15.75" hidden="false" customHeight="false" outlineLevel="0" collapsed="false">
      <c r="B126" s="13" t="s">
        <v>73</v>
      </c>
      <c r="C126" s="14" t="str">
        <f aca="false">IF(B126="","",IFERROR(INDEX('CLM &amp; IM Mapping'!$B$2:$B$270,MATCH(TRIM(B126),'CLM &amp; IM Mapping'!$A$2:$A$270,0)),"Not Mapped"))</f>
        <v>Rizwan Ahmed</v>
      </c>
      <c r="D126" s="14" t="str">
        <f aca="false">IF(B126="","",IFERROR(INDEX('CLM &amp; IM Mapping'!$C$2:$C$270,MATCH(TRIM(B126),'CLM &amp; IM Mapping'!$A$2:$A$270,0)),"Not Mapped"))</f>
        <v>Un Mapped</v>
      </c>
      <c r="E126" s="13" t="s">
        <v>18</v>
      </c>
      <c r="F126" s="13" t="s">
        <v>297</v>
      </c>
      <c r="G126" s="13" t="s">
        <v>16</v>
      </c>
      <c r="H126" s="15" t="n">
        <v>5449</v>
      </c>
      <c r="I126" s="16" t="n">
        <v>0.62</v>
      </c>
      <c r="J126" s="16" t="n">
        <v>0.93</v>
      </c>
      <c r="K126" s="16" t="n">
        <v>0.98</v>
      </c>
      <c r="L126" s="16" t="n">
        <v>0.93</v>
      </c>
    </row>
    <row r="127" customFormat="false" ht="15.75" hidden="false" customHeight="false" outlineLevel="0" collapsed="false">
      <c r="B127" s="13" t="s">
        <v>75</v>
      </c>
      <c r="C127" s="14" t="str">
        <f aca="false">IF(B127="","",IFERROR(INDEX('CLM &amp; IM Mapping'!$B$2:$B$270,MATCH(TRIM(B127),'CLM &amp; IM Mapping'!$A$2:$A$270,0)),"Not Mapped"))</f>
        <v>Akshay P</v>
      </c>
      <c r="D127" s="14" t="str">
        <f aca="false">IF(B127="","",IFERROR(INDEX('CLM &amp; IM Mapping'!$C$2:$C$270,MATCH(TRIM(B127),'CLM &amp; IM Mapping'!$A$2:$A$270,0)),"Not Mapped"))</f>
        <v>Srittam Dhal</v>
      </c>
      <c r="E127" s="13" t="s">
        <v>18</v>
      </c>
      <c r="F127" s="13" t="s">
        <v>297</v>
      </c>
      <c r="G127" s="13" t="s">
        <v>16</v>
      </c>
      <c r="H127" s="15" t="n">
        <v>4579</v>
      </c>
      <c r="I127" s="16" t="n">
        <v>0.83</v>
      </c>
      <c r="J127" s="16" t="n">
        <v>0.78</v>
      </c>
      <c r="K127" s="16" t="n">
        <v>0.94</v>
      </c>
      <c r="L127" s="16" t="n">
        <v>0.78</v>
      </c>
    </row>
    <row r="128" customFormat="false" ht="15.75" hidden="false" customHeight="false" outlineLevel="0" collapsed="false">
      <c r="B128" s="13" t="s">
        <v>76</v>
      </c>
      <c r="C128" s="14" t="str">
        <f aca="false">IF(B128="","",IFERROR(INDEX('CLM &amp; IM Mapping'!$B$2:$B$270,MATCH(TRIM(B128),'CLM &amp; IM Mapping'!$A$2:$A$270,0)),"Not Mapped"))</f>
        <v>Silambarasan E</v>
      </c>
      <c r="D128" s="14" t="str">
        <f aca="false">IF(B128="","",IFERROR(INDEX('CLM &amp; IM Mapping'!$C$2:$C$270,MATCH(TRIM(B128),'CLM &amp; IM Mapping'!$A$2:$A$270,0)),"Not Mapped"))</f>
        <v>Arivind S</v>
      </c>
      <c r="E128" s="13" t="s">
        <v>18</v>
      </c>
      <c r="F128" s="13" t="s">
        <v>297</v>
      </c>
      <c r="G128" s="13" t="s">
        <v>16</v>
      </c>
      <c r="H128" s="15" t="n">
        <v>6330</v>
      </c>
      <c r="I128" s="16" t="n">
        <v>0.7</v>
      </c>
      <c r="J128" s="16" t="n">
        <v>0.82</v>
      </c>
      <c r="K128" s="16" t="n">
        <v>0.92</v>
      </c>
      <c r="L128" s="16" t="n">
        <v>0.82</v>
      </c>
    </row>
    <row r="129" customFormat="false" ht="15.75" hidden="false" customHeight="false" outlineLevel="0" collapsed="false">
      <c r="B129" s="13" t="s">
        <v>82</v>
      </c>
      <c r="C129" s="14" t="str">
        <f aca="false">IF(B129="","",IFERROR(INDEX('CLM &amp; IM Mapping'!$B$2:$B$270,MATCH(TRIM(B129),'CLM &amp; IM Mapping'!$A$2:$A$270,0)),"Not Mapped"))</f>
        <v>Narasimhamurthy R</v>
      </c>
      <c r="D129" s="14" t="str">
        <f aca="false">IF(B129="","",IFERROR(INDEX('CLM &amp; IM Mapping'!$C$2:$C$270,MATCH(TRIM(B129),'CLM &amp; IM Mapping'!$A$2:$A$270,0)),"Not Mapped"))</f>
        <v>Kishor K</v>
      </c>
      <c r="E129" s="13" t="s">
        <v>18</v>
      </c>
      <c r="F129" s="13" t="s">
        <v>298</v>
      </c>
      <c r="G129" s="13" t="s">
        <v>16</v>
      </c>
      <c r="H129" s="15" t="n">
        <v>12313</v>
      </c>
      <c r="I129" s="16" t="n">
        <v>0.53</v>
      </c>
      <c r="J129" s="16" t="n">
        <v>0.92</v>
      </c>
      <c r="K129" s="16" t="n">
        <v>0.97</v>
      </c>
      <c r="L129" s="16" t="n">
        <v>0.92</v>
      </c>
    </row>
    <row r="130" customFormat="false" ht="15.75" hidden="false" customHeight="false" outlineLevel="0" collapsed="false">
      <c r="B130" s="13" t="s">
        <v>81</v>
      </c>
      <c r="C130" s="14" t="str">
        <f aca="false">IF(B130="","",IFERROR(INDEX('CLM &amp; IM Mapping'!$B$2:$B$270,MATCH(TRIM(B130),'CLM &amp; IM Mapping'!$A$2:$A$270,0)),"Not Mapped"))</f>
        <v>Sundaresh S</v>
      </c>
      <c r="D130" s="14" t="str">
        <f aca="false">IF(B130="","",IFERROR(INDEX('CLM &amp; IM Mapping'!$C$2:$C$270,MATCH(TRIM(B130),'CLM &amp; IM Mapping'!$A$2:$A$270,0)),"Not Mapped"))</f>
        <v>Un Mapped</v>
      </c>
      <c r="E130" s="13" t="s">
        <v>18</v>
      </c>
      <c r="F130" s="13" t="s">
        <v>298</v>
      </c>
      <c r="G130" s="13" t="s">
        <v>16</v>
      </c>
      <c r="H130" s="15" t="n">
        <v>5728</v>
      </c>
      <c r="I130" s="16" t="n">
        <v>0.94</v>
      </c>
      <c r="J130" s="16" t="n">
        <v>0.88</v>
      </c>
      <c r="K130" s="16" t="n">
        <v>0.95</v>
      </c>
      <c r="L130" s="13"/>
    </row>
    <row r="131" customFormat="false" ht="15.75" hidden="false" customHeight="false" outlineLevel="0" collapsed="false">
      <c r="B131" s="13" t="s">
        <v>84</v>
      </c>
      <c r="C131" s="14" t="str">
        <f aca="false">IF(B131="","",IFERROR(INDEX('CLM &amp; IM Mapping'!$B$2:$B$270,MATCH(TRIM(B131),'CLM &amp; IM Mapping'!$A$2:$A$270,0)),"Not Mapped"))</f>
        <v>Mohaideen DH</v>
      </c>
      <c r="D131" s="14" t="str">
        <f aca="false">IF(B131="","",IFERROR(INDEX('CLM &amp; IM Mapping'!$C$2:$C$270,MATCH(TRIM(B131),'CLM &amp; IM Mapping'!$A$2:$A$270,0)),"Not Mapped"))</f>
        <v>Mohammed Akbar</v>
      </c>
      <c r="E131" s="13" t="s">
        <v>18</v>
      </c>
      <c r="F131" s="13" t="s">
        <v>298</v>
      </c>
      <c r="G131" s="13" t="s">
        <v>16</v>
      </c>
      <c r="H131" s="15" t="n">
        <v>4463</v>
      </c>
      <c r="I131" s="16" t="n">
        <v>1</v>
      </c>
      <c r="J131" s="16" t="n">
        <v>0.93</v>
      </c>
      <c r="K131" s="16" t="n">
        <v>0.99</v>
      </c>
      <c r="L131" s="16" t="n">
        <v>0.93</v>
      </c>
    </row>
    <row r="132" customFormat="false" ht="15.75" hidden="false" customHeight="false" outlineLevel="0" collapsed="false">
      <c r="B132" s="13" t="s">
        <v>86</v>
      </c>
      <c r="C132" s="14" t="str">
        <f aca="false">IF(B132="","",IFERROR(INDEX('CLM &amp; IM Mapping'!$B$2:$B$270,MATCH(TRIM(B132),'CLM &amp; IM Mapping'!$A$2:$A$270,0)),"Not Mapped"))</f>
        <v>Adhavan Subramani</v>
      </c>
      <c r="D132" s="14" t="str">
        <f aca="false">IF(B132="","",IFERROR(INDEX('CLM &amp; IM Mapping'!$C$2:$C$270,MATCH(TRIM(B132),'CLM &amp; IM Mapping'!$A$2:$A$270,0)),"Not Mapped"))</f>
        <v>Mohammed Akbar</v>
      </c>
      <c r="E132" s="13" t="s">
        <v>18</v>
      </c>
      <c r="F132" s="13" t="s">
        <v>298</v>
      </c>
      <c r="G132" s="13" t="s">
        <v>16</v>
      </c>
      <c r="H132" s="15" t="n">
        <v>5572</v>
      </c>
      <c r="I132" s="16" t="n">
        <v>0.7</v>
      </c>
      <c r="J132" s="16" t="n">
        <v>0.86</v>
      </c>
      <c r="K132" s="16" t="n">
        <v>0.96</v>
      </c>
      <c r="L132" s="16" t="n">
        <v>0.86</v>
      </c>
    </row>
    <row r="133" customFormat="false" ht="15.75" hidden="false" customHeight="false" outlineLevel="0" collapsed="false">
      <c r="B133" s="13" t="s">
        <v>85</v>
      </c>
      <c r="C133" s="14" t="str">
        <f aca="false">IF(B133="","",IFERROR(INDEX('CLM &amp; IM Mapping'!$B$2:$B$270,MATCH(TRIM(B133),'CLM &amp; IM Mapping'!$A$2:$A$270,0)),"Not Mapped"))</f>
        <v>Narasimhamurthy R</v>
      </c>
      <c r="D133" s="14" t="str">
        <f aca="false">IF(B133="","",IFERROR(INDEX('CLM &amp; IM Mapping'!$C$2:$C$270,MATCH(TRIM(B133),'CLM &amp; IM Mapping'!$A$2:$A$270,0)),"Not Mapped"))</f>
        <v>Kishor K</v>
      </c>
      <c r="E133" s="13" t="s">
        <v>18</v>
      </c>
      <c r="F133" s="13" t="s">
        <v>298</v>
      </c>
      <c r="G133" s="13" t="s">
        <v>16</v>
      </c>
      <c r="H133" s="15" t="n">
        <v>5589</v>
      </c>
      <c r="I133" s="16" t="n">
        <v>0.88</v>
      </c>
      <c r="J133" s="16" t="n">
        <v>0.91</v>
      </c>
      <c r="K133" s="16" t="n">
        <v>0.97</v>
      </c>
      <c r="L133" s="16" t="n">
        <v>0.91</v>
      </c>
    </row>
    <row r="134" customFormat="false" ht="15.75" hidden="false" customHeight="false" outlineLevel="0" collapsed="false">
      <c r="B134" s="13" t="s">
        <v>87</v>
      </c>
      <c r="C134" s="14" t="str">
        <f aca="false">IF(B134="","",IFERROR(INDEX('CLM &amp; IM Mapping'!$B$2:$B$270,MATCH(TRIM(B134),'CLM &amp; IM Mapping'!$A$2:$A$270,0)),"Not Mapped"))</f>
        <v>Richard Harris</v>
      </c>
      <c r="D134" s="14" t="str">
        <f aca="false">IF(B134="","",IFERROR(INDEX('CLM &amp; IM Mapping'!$C$2:$C$270,MATCH(TRIM(B134),'CLM &amp; IM Mapping'!$A$2:$A$270,0)),"Not Mapped"))</f>
        <v>Kantha Kumar</v>
      </c>
      <c r="E134" s="13" t="s">
        <v>18</v>
      </c>
      <c r="F134" s="13" t="s">
        <v>298</v>
      </c>
      <c r="G134" s="13" t="s">
        <v>16</v>
      </c>
      <c r="H134" s="15" t="n">
        <v>6404</v>
      </c>
      <c r="I134" s="16" t="n">
        <v>0.32</v>
      </c>
      <c r="J134" s="16" t="n">
        <v>0.81</v>
      </c>
      <c r="K134" s="16" t="n">
        <v>0.93</v>
      </c>
      <c r="L134" s="16" t="n">
        <v>0.81</v>
      </c>
    </row>
    <row r="135" customFormat="false" ht="15.75" hidden="false" customHeight="false" outlineLevel="0" collapsed="false">
      <c r="B135" s="13" t="s">
        <v>91</v>
      </c>
      <c r="C135" s="14" t="str">
        <f aca="false">IF(B135="","",IFERROR(INDEX('CLM &amp; IM Mapping'!$B$2:$B$270,MATCH(TRIM(B135),'CLM &amp; IM Mapping'!$A$2:$A$270,0)),"Not Mapped"))</f>
        <v>Manoj Kj</v>
      </c>
      <c r="D135" s="14" t="str">
        <f aca="false">IF(B135="","",IFERROR(INDEX('CLM &amp; IM Mapping'!$C$2:$C$270,MATCH(TRIM(B135),'CLM &amp; IM Mapping'!$A$2:$A$270,0)),"Not Mapped"))</f>
        <v>Srittam Dhal</v>
      </c>
      <c r="E135" s="13" t="s">
        <v>18</v>
      </c>
      <c r="F135" s="13" t="s">
        <v>298</v>
      </c>
      <c r="G135" s="13" t="s">
        <v>16</v>
      </c>
      <c r="H135" s="15" t="n">
        <v>5421</v>
      </c>
      <c r="I135" s="16" t="n">
        <v>0.01</v>
      </c>
      <c r="J135" s="16" t="n">
        <v>0.97</v>
      </c>
      <c r="K135" s="16" t="n">
        <v>0.99</v>
      </c>
      <c r="L135" s="16" t="n">
        <v>0.06</v>
      </c>
    </row>
    <row r="136" customFormat="false" ht="15.75" hidden="false" customHeight="false" outlineLevel="0" collapsed="false">
      <c r="B136" s="13" t="s">
        <v>94</v>
      </c>
      <c r="C136" s="14" t="str">
        <f aca="false">IF(B136="","",IFERROR(INDEX('CLM &amp; IM Mapping'!$B$2:$B$270,MATCH(TRIM(B136),'CLM &amp; IM Mapping'!$A$2:$A$270,0)),"Not Mapped"))</f>
        <v>Raghavendra Vernekar</v>
      </c>
      <c r="D136" s="14" t="str">
        <f aca="false">IF(B136="","",IFERROR(INDEX('CLM &amp; IM Mapping'!$C$2:$C$270,MATCH(TRIM(B136),'CLM &amp; IM Mapping'!$A$2:$A$270,0)),"Not Mapped"))</f>
        <v>Prakash BS</v>
      </c>
      <c r="E136" s="13" t="s">
        <v>18</v>
      </c>
      <c r="F136" s="13" t="s">
        <v>298</v>
      </c>
      <c r="G136" s="13" t="s">
        <v>16</v>
      </c>
      <c r="H136" s="15" t="n">
        <v>5155</v>
      </c>
      <c r="I136" s="16" t="n">
        <v>0.6</v>
      </c>
      <c r="J136" s="16" t="n">
        <v>0.89</v>
      </c>
      <c r="K136" s="16" t="n">
        <v>0.97</v>
      </c>
      <c r="L136" s="16" t="n">
        <v>0.89</v>
      </c>
    </row>
    <row r="137" customFormat="false" ht="15.75" hidden="false" customHeight="false" outlineLevel="0" collapsed="false">
      <c r="B137" s="13" t="s">
        <v>98</v>
      </c>
      <c r="C137" s="14" t="str">
        <f aca="false">IF(B137="","",IFERROR(INDEX('CLM &amp; IM Mapping'!$B$2:$B$270,MATCH(TRIM(B137),'CLM &amp; IM Mapping'!$A$2:$A$270,0)),"Not Mapped"))</f>
        <v>Silambarasan E</v>
      </c>
      <c r="D137" s="14" t="str">
        <f aca="false">IF(B137="","",IFERROR(INDEX('CLM &amp; IM Mapping'!$C$2:$C$270,MATCH(TRIM(B137),'CLM &amp; IM Mapping'!$A$2:$A$270,0)),"Not Mapped"))</f>
        <v>Arivind S</v>
      </c>
      <c r="E137" s="13" t="s">
        <v>18</v>
      </c>
      <c r="F137" s="13" t="s">
        <v>298</v>
      </c>
      <c r="G137" s="13" t="s">
        <v>16</v>
      </c>
      <c r="H137" s="15" t="n">
        <v>8268</v>
      </c>
      <c r="I137" s="16" t="n">
        <v>0.53</v>
      </c>
      <c r="J137" s="16" t="n">
        <v>0.86</v>
      </c>
      <c r="K137" s="16" t="n">
        <v>0.91</v>
      </c>
      <c r="L137" s="16" t="n">
        <v>0.86</v>
      </c>
    </row>
    <row r="138" customFormat="false" ht="15.75" hidden="false" customHeight="false" outlineLevel="0" collapsed="false">
      <c r="B138" s="13" t="s">
        <v>101</v>
      </c>
      <c r="C138" s="14" t="str">
        <f aca="false">IF(B138="","",IFERROR(INDEX('CLM &amp; IM Mapping'!$B$2:$B$270,MATCH(TRIM(B138),'CLM &amp; IM Mapping'!$A$2:$A$270,0)),"Not Mapped"))</f>
        <v>Arun Raj</v>
      </c>
      <c r="D138" s="14" t="str">
        <f aca="false">IF(B138="","",IFERROR(INDEX('CLM &amp; IM Mapping'!$C$2:$C$270,MATCH(TRIM(B138),'CLM &amp; IM Mapping'!$A$2:$A$270,0)),"Not Mapped"))</f>
        <v>Simon Manoharan</v>
      </c>
      <c r="E138" s="13" t="s">
        <v>22</v>
      </c>
      <c r="F138" s="13" t="s">
        <v>297</v>
      </c>
      <c r="G138" s="13" t="s">
        <v>16</v>
      </c>
      <c r="H138" s="15" t="n">
        <v>13152</v>
      </c>
      <c r="I138" s="16" t="n">
        <v>0.3</v>
      </c>
      <c r="J138" s="16" t="n">
        <v>0.97</v>
      </c>
      <c r="K138" s="16" t="n">
        <v>0.98</v>
      </c>
      <c r="L138" s="16" t="n">
        <v>0.97</v>
      </c>
    </row>
    <row r="139" customFormat="false" ht="15.75" hidden="false" customHeight="false" outlineLevel="0" collapsed="false">
      <c r="B139" s="13" t="s">
        <v>99</v>
      </c>
      <c r="C139" s="14" t="str">
        <f aca="false">IF(B139="","",IFERROR(INDEX('CLM &amp; IM Mapping'!$B$2:$B$270,MATCH(TRIM(B139),'CLM &amp; IM Mapping'!$A$2:$A$270,0)),"Not Mapped"))</f>
        <v>Rizwan Ahmed</v>
      </c>
      <c r="D139" s="14" t="str">
        <f aca="false">IF(B139="","",IFERROR(INDEX('CLM &amp; IM Mapping'!$C$2:$C$270,MATCH(TRIM(B139),'CLM &amp; IM Mapping'!$A$2:$A$270,0)),"Not Mapped"))</f>
        <v>Un Mapped</v>
      </c>
      <c r="E139" s="13" t="s">
        <v>18</v>
      </c>
      <c r="F139" s="13" t="s">
        <v>298</v>
      </c>
      <c r="G139" s="13" t="s">
        <v>16</v>
      </c>
      <c r="H139" s="15" t="n">
        <v>5862</v>
      </c>
      <c r="I139" s="16" t="n">
        <v>0.88</v>
      </c>
      <c r="J139" s="16" t="n">
        <v>0.86</v>
      </c>
      <c r="K139" s="16" t="n">
        <v>0.95</v>
      </c>
      <c r="L139" s="16" t="n">
        <v>0.86</v>
      </c>
    </row>
    <row r="140" customFormat="false" ht="15.75" hidden="false" customHeight="false" outlineLevel="0" collapsed="false">
      <c r="B140" s="13" t="s">
        <v>103</v>
      </c>
      <c r="C140" s="14" t="str">
        <f aca="false">IF(B140="","",IFERROR(INDEX('CLM &amp; IM Mapping'!$B$2:$B$270,MATCH(TRIM(B140),'CLM &amp; IM Mapping'!$A$2:$A$270,0)),"Not Mapped"))</f>
        <v>Suhas N</v>
      </c>
      <c r="D140" s="14" t="str">
        <f aca="false">IF(B140="","",IFERROR(INDEX('CLM &amp; IM Mapping'!$C$2:$C$270,MATCH(TRIM(B140),'CLM &amp; IM Mapping'!$A$2:$A$270,0)),"Not Mapped"))</f>
        <v>Aravind S</v>
      </c>
      <c r="E140" s="13" t="s">
        <v>18</v>
      </c>
      <c r="F140" s="13" t="s">
        <v>298</v>
      </c>
      <c r="G140" s="13" t="s">
        <v>16</v>
      </c>
      <c r="H140" s="15" t="n">
        <v>5165</v>
      </c>
      <c r="I140" s="16" t="n">
        <v>0.56</v>
      </c>
      <c r="J140" s="16" t="n">
        <v>0.91</v>
      </c>
      <c r="K140" s="16" t="n">
        <v>0.97</v>
      </c>
      <c r="L140" s="16" t="n">
        <v>0.91</v>
      </c>
    </row>
    <row r="141" customFormat="false" ht="15.75" hidden="false" customHeight="false" outlineLevel="0" collapsed="false">
      <c r="B141" s="13" t="s">
        <v>105</v>
      </c>
      <c r="C141" s="14" t="str">
        <f aca="false">IF(B141="","",IFERROR(INDEX('CLM &amp; IM Mapping'!$B$2:$B$270,MATCH(TRIM(B141),'CLM &amp; IM Mapping'!$A$2:$A$270,0)),"Not Mapped"))</f>
        <v>Vijay M</v>
      </c>
      <c r="D141" s="14" t="str">
        <f aca="false">IF(B141="","",IFERROR(INDEX('CLM &amp; IM Mapping'!$C$2:$C$270,MATCH(TRIM(B141),'CLM &amp; IM Mapping'!$A$2:$A$270,0)),"Not Mapped"))</f>
        <v>Kantha Kumar</v>
      </c>
      <c r="E141" s="13" t="s">
        <v>18</v>
      </c>
      <c r="F141" s="13" t="s">
        <v>298</v>
      </c>
      <c r="G141" s="13" t="s">
        <v>16</v>
      </c>
      <c r="H141" s="15" t="n">
        <v>5355</v>
      </c>
      <c r="I141" s="16" t="n">
        <v>0.55</v>
      </c>
      <c r="J141" s="16" t="n">
        <v>0.7</v>
      </c>
      <c r="K141" s="16" t="n">
        <v>0.94</v>
      </c>
      <c r="L141" s="16" t="n">
        <v>0.7</v>
      </c>
    </row>
    <row r="142" customFormat="false" ht="15.75" hidden="false" customHeight="false" outlineLevel="0" collapsed="false">
      <c r="B142" s="13" t="s">
        <v>104</v>
      </c>
      <c r="C142" s="14" t="str">
        <f aca="false">IF(B142="","",IFERROR(INDEX('CLM &amp; IM Mapping'!$B$2:$B$270,MATCH(TRIM(B142),'CLM &amp; IM Mapping'!$A$2:$A$270,0)),"Not Mapped"))</f>
        <v>Vijay M</v>
      </c>
      <c r="D142" s="14" t="str">
        <f aca="false">IF(B142="","",IFERROR(INDEX('CLM &amp; IM Mapping'!$C$2:$C$270,MATCH(TRIM(B142),'CLM &amp; IM Mapping'!$A$2:$A$270,0)),"Not Mapped"))</f>
        <v>Kantha Kumar</v>
      </c>
      <c r="E142" s="13" t="s">
        <v>18</v>
      </c>
      <c r="F142" s="13" t="s">
        <v>298</v>
      </c>
      <c r="G142" s="13" t="s">
        <v>16</v>
      </c>
      <c r="H142" s="15" t="n">
        <v>5762</v>
      </c>
      <c r="I142" s="16" t="n">
        <v>0.95</v>
      </c>
      <c r="J142" s="16" t="n">
        <v>0.88</v>
      </c>
      <c r="K142" s="16" t="n">
        <v>0.95</v>
      </c>
      <c r="L142" s="16" t="n">
        <v>0.88</v>
      </c>
    </row>
    <row r="143" customFormat="false" ht="15.75" hidden="false" customHeight="false" outlineLevel="0" collapsed="false">
      <c r="B143" s="13" t="s">
        <v>107</v>
      </c>
      <c r="C143" s="14" t="str">
        <f aca="false">IF(B143="","",IFERROR(INDEX('CLM &amp; IM Mapping'!$B$2:$B$270,MATCH(TRIM(B143),'CLM &amp; IM Mapping'!$A$2:$A$270,0)),"Not Mapped"))</f>
        <v>Adhavan Subramani</v>
      </c>
      <c r="D143" s="14" t="str">
        <f aca="false">IF(B143="","",IFERROR(INDEX('CLM &amp; IM Mapping'!$C$2:$C$270,MATCH(TRIM(B143),'CLM &amp; IM Mapping'!$A$2:$A$270,0)),"Not Mapped"))</f>
        <v>Mohammed Akbar</v>
      </c>
      <c r="E143" s="13" t="s">
        <v>18</v>
      </c>
      <c r="F143" s="13" t="s">
        <v>298</v>
      </c>
      <c r="G143" s="13" t="s">
        <v>16</v>
      </c>
      <c r="H143" s="15" t="n">
        <v>5759</v>
      </c>
      <c r="I143" s="16" t="n">
        <v>0.07</v>
      </c>
      <c r="J143" s="16" t="n">
        <v>0.92</v>
      </c>
      <c r="K143" s="16" t="n">
        <v>0.92</v>
      </c>
      <c r="L143" s="13"/>
    </row>
    <row r="144" customFormat="false" ht="15.75" hidden="false" customHeight="false" outlineLevel="0" collapsed="false">
      <c r="B144" s="13" t="s">
        <v>112</v>
      </c>
      <c r="C144" s="14" t="str">
        <f aca="false">IF(B144="","",IFERROR(INDEX('CLM &amp; IM Mapping'!$B$2:$B$270,MATCH(TRIM(B144),'CLM &amp; IM Mapping'!$A$2:$A$270,0)),"Not Mapped"))</f>
        <v>Arun Raj</v>
      </c>
      <c r="D144" s="14" t="str">
        <f aca="false">IF(B144="","",IFERROR(INDEX('CLM &amp; IM Mapping'!$C$2:$C$270,MATCH(TRIM(B144),'CLM &amp; IM Mapping'!$A$2:$A$270,0)),"Not Mapped"))</f>
        <v>Simon Manoharan</v>
      </c>
      <c r="E144" s="13" t="s">
        <v>22</v>
      </c>
      <c r="F144" s="13" t="s">
        <v>297</v>
      </c>
      <c r="G144" s="13" t="s">
        <v>16</v>
      </c>
      <c r="H144" s="15" t="n">
        <v>10796</v>
      </c>
      <c r="I144" s="16" t="n">
        <v>0.23</v>
      </c>
      <c r="J144" s="16" t="n">
        <v>0.97</v>
      </c>
      <c r="K144" s="16" t="n">
        <v>0.99</v>
      </c>
      <c r="L144" s="16" t="n">
        <v>0.97</v>
      </c>
    </row>
    <row r="145" customFormat="false" ht="15.75" hidden="false" customHeight="false" outlineLevel="0" collapsed="false">
      <c r="B145" s="13" t="s">
        <v>110</v>
      </c>
      <c r="C145" s="14" t="str">
        <f aca="false">IF(B145="","",IFERROR(INDEX('CLM &amp; IM Mapping'!$B$2:$B$270,MATCH(TRIM(B145),'CLM &amp; IM Mapping'!$A$2:$A$270,0)),"Not Mapped"))</f>
        <v>Suhas N</v>
      </c>
      <c r="D145" s="14" t="str">
        <f aca="false">IF(B145="","",IFERROR(INDEX('CLM &amp; IM Mapping'!$C$2:$C$270,MATCH(TRIM(B145),'CLM &amp; IM Mapping'!$A$2:$A$270,0)),"Not Mapped"))</f>
        <v>Aravind S</v>
      </c>
      <c r="E145" s="13" t="s">
        <v>18</v>
      </c>
      <c r="F145" s="13" t="s">
        <v>298</v>
      </c>
      <c r="G145" s="13" t="s">
        <v>16</v>
      </c>
      <c r="H145" s="15" t="n">
        <v>6396</v>
      </c>
      <c r="I145" s="16" t="n">
        <v>0.25</v>
      </c>
      <c r="J145" s="16" t="n">
        <v>0.7</v>
      </c>
      <c r="K145" s="16" t="n">
        <v>0.83</v>
      </c>
      <c r="L145" s="16" t="n">
        <v>0.7</v>
      </c>
    </row>
    <row r="146" customFormat="false" ht="15.75" hidden="false" customHeight="false" outlineLevel="0" collapsed="false">
      <c r="B146" s="13" t="s">
        <v>111</v>
      </c>
      <c r="C146" s="14" t="str">
        <f aca="false">IF(B146="","",IFERROR(INDEX('CLM &amp; IM Mapping'!$B$2:$B$270,MATCH(TRIM(B146),'CLM &amp; IM Mapping'!$A$2:$A$270,0)),"Not Mapped"))</f>
        <v>Ashwath S</v>
      </c>
      <c r="D146" s="14" t="str">
        <f aca="false">IF(B146="","",IFERROR(INDEX('CLM &amp; IM Mapping'!$C$2:$C$270,MATCH(TRIM(B146),'CLM &amp; IM Mapping'!$A$2:$A$270,0)),"Not Mapped"))</f>
        <v>Kantha Kumar</v>
      </c>
      <c r="E146" s="13" t="s">
        <v>18</v>
      </c>
      <c r="F146" s="13" t="s">
        <v>298</v>
      </c>
      <c r="G146" s="13" t="s">
        <v>16</v>
      </c>
      <c r="H146" s="15" t="n">
        <v>5663</v>
      </c>
      <c r="I146" s="16" t="n">
        <v>0.88</v>
      </c>
      <c r="J146" s="16" t="n">
        <v>0.9</v>
      </c>
      <c r="K146" s="16" t="n">
        <v>0.97</v>
      </c>
      <c r="L146" s="16" t="n">
        <v>0.9</v>
      </c>
    </row>
    <row r="147" customFormat="false" ht="15.75" hidden="false" customHeight="false" outlineLevel="0" collapsed="false">
      <c r="B147" s="13" t="s">
        <v>116</v>
      </c>
      <c r="C147" s="14" t="str">
        <f aca="false">IF(B147="","",IFERROR(INDEX('CLM &amp; IM Mapping'!$B$2:$B$270,MATCH(TRIM(B147),'CLM &amp; IM Mapping'!$A$2:$A$270,0)),"Not Mapped"))</f>
        <v>Raghavendra Vernekar</v>
      </c>
      <c r="D147" s="14" t="str">
        <f aca="false">IF(B147="","",IFERROR(INDEX('CLM &amp; IM Mapping'!$C$2:$C$270,MATCH(TRIM(B147),'CLM &amp; IM Mapping'!$A$2:$A$270,0)),"Not Mapped"))</f>
        <v>Prakash BS</v>
      </c>
      <c r="E147" s="13" t="s">
        <v>18</v>
      </c>
      <c r="F147" s="13" t="s">
        <v>298</v>
      </c>
      <c r="G147" s="13" t="s">
        <v>16</v>
      </c>
      <c r="H147" s="15" t="n">
        <v>5768</v>
      </c>
      <c r="I147" s="16" t="n">
        <v>0.99</v>
      </c>
      <c r="J147" s="16" t="n">
        <v>0.95</v>
      </c>
      <c r="K147" s="16" t="n">
        <v>0.99</v>
      </c>
      <c r="L147" s="13"/>
    </row>
    <row r="148" customFormat="false" ht="15.75" hidden="false" customHeight="false" outlineLevel="0" collapsed="false">
      <c r="B148" s="13" t="s">
        <v>118</v>
      </c>
      <c r="C148" s="14" t="str">
        <f aca="false">IF(B148="","",IFERROR(INDEX('CLM &amp; IM Mapping'!$B$2:$B$270,MATCH(TRIM(B148),'CLM &amp; IM Mapping'!$A$2:$A$270,0)),"Not Mapped"))</f>
        <v>Balaji G</v>
      </c>
      <c r="D148" s="14" t="str">
        <f aca="false">IF(B148="","",IFERROR(INDEX('CLM &amp; IM Mapping'!$C$2:$C$270,MATCH(TRIM(B148),'CLM &amp; IM Mapping'!$A$2:$A$270,0)),"Not Mapped"))</f>
        <v>Mohammed Akbar</v>
      </c>
      <c r="E148" s="13" t="s">
        <v>18</v>
      </c>
      <c r="F148" s="13" t="s">
        <v>298</v>
      </c>
      <c r="G148" s="13" t="s">
        <v>16</v>
      </c>
      <c r="H148" s="15" t="n">
        <v>5077</v>
      </c>
      <c r="I148" s="16" t="n">
        <v>1</v>
      </c>
      <c r="J148" s="16" t="n">
        <v>0.94</v>
      </c>
      <c r="K148" s="16" t="n">
        <v>0.99</v>
      </c>
      <c r="L148" s="16" t="n">
        <v>0.94</v>
      </c>
    </row>
    <row r="149" customFormat="false" ht="15.75" hidden="false" customHeight="false" outlineLevel="0" collapsed="false">
      <c r="B149" s="13" t="s">
        <v>120</v>
      </c>
      <c r="C149" s="14" t="str">
        <f aca="false">IF(B149="","",IFERROR(INDEX('CLM &amp; IM Mapping'!$B$2:$B$270,MATCH(TRIM(B149),'CLM &amp; IM Mapping'!$A$2:$A$270,0)),"Not Mapped"))</f>
        <v>Arun Raj</v>
      </c>
      <c r="D149" s="14" t="str">
        <f aca="false">IF(B149="","",IFERROR(INDEX('CLM &amp; IM Mapping'!$C$2:$C$270,MATCH(TRIM(B149),'CLM &amp; IM Mapping'!$A$2:$A$270,0)),"Not Mapped"))</f>
        <v>Simon Manoharan</v>
      </c>
      <c r="E149" s="13" t="s">
        <v>22</v>
      </c>
      <c r="F149" s="13" t="s">
        <v>297</v>
      </c>
      <c r="G149" s="13" t="s">
        <v>16</v>
      </c>
      <c r="H149" s="15" t="n">
        <v>10225</v>
      </c>
      <c r="I149" s="16" t="n">
        <v>0.35</v>
      </c>
      <c r="J149" s="16" t="n">
        <v>0.97</v>
      </c>
      <c r="K149" s="16" t="n">
        <v>0.99</v>
      </c>
      <c r="L149" s="16" t="n">
        <v>0.97</v>
      </c>
    </row>
    <row r="150" customFormat="false" ht="15.75" hidden="false" customHeight="false" outlineLevel="0" collapsed="false">
      <c r="B150" s="13" t="s">
        <v>122</v>
      </c>
      <c r="C150" s="14" t="str">
        <f aca="false">IF(B150="","",IFERROR(INDEX('CLM &amp; IM Mapping'!$B$2:$B$270,MATCH(TRIM(B150),'CLM &amp; IM Mapping'!$A$2:$A$270,0)),"Not Mapped"))</f>
        <v>Adhavan Subramani</v>
      </c>
      <c r="D150" s="14" t="str">
        <f aca="false">IF(B150="","",IFERROR(INDEX('CLM &amp; IM Mapping'!$C$2:$C$270,MATCH(TRIM(B150),'CLM &amp; IM Mapping'!$A$2:$A$270,0)),"Not Mapped"))</f>
        <v>Mohammed Akbar</v>
      </c>
      <c r="E150" s="13" t="s">
        <v>18</v>
      </c>
      <c r="F150" s="13" t="s">
        <v>298</v>
      </c>
      <c r="G150" s="13" t="s">
        <v>16</v>
      </c>
      <c r="H150" s="15" t="n">
        <v>5657</v>
      </c>
      <c r="I150" s="16" t="n">
        <v>0.49</v>
      </c>
      <c r="J150" s="16" t="n">
        <v>0.75</v>
      </c>
      <c r="K150" s="16" t="n">
        <v>0.91</v>
      </c>
      <c r="L150" s="16" t="n">
        <v>0.75</v>
      </c>
    </row>
    <row r="151" customFormat="false" ht="15.75" hidden="false" customHeight="false" outlineLevel="0" collapsed="false">
      <c r="B151" s="13" t="s">
        <v>121</v>
      </c>
      <c r="C151" s="14" t="str">
        <f aca="false">IF(B151="","",IFERROR(INDEX('CLM &amp; IM Mapping'!$B$2:$B$270,MATCH(TRIM(B151),'CLM &amp; IM Mapping'!$A$2:$A$270,0)),"Not Mapped"))</f>
        <v>Sundaresh S</v>
      </c>
      <c r="D151" s="14" t="str">
        <f aca="false">IF(B151="","",IFERROR(INDEX('CLM &amp; IM Mapping'!$C$2:$C$270,MATCH(TRIM(B151),'CLM &amp; IM Mapping'!$A$2:$A$270,0)),"Not Mapped"))</f>
        <v>Un Mapped</v>
      </c>
      <c r="E151" s="13" t="s">
        <v>18</v>
      </c>
      <c r="F151" s="13" t="s">
        <v>298</v>
      </c>
      <c r="G151" s="13" t="s">
        <v>16</v>
      </c>
      <c r="H151" s="15" t="n">
        <v>4675</v>
      </c>
      <c r="I151" s="16" t="n">
        <v>0.39</v>
      </c>
      <c r="J151" s="16" t="n">
        <v>0.74</v>
      </c>
      <c r="K151" s="16" t="n">
        <v>0.94</v>
      </c>
      <c r="L151" s="16" t="n">
        <v>0.74</v>
      </c>
    </row>
    <row r="152" customFormat="false" ht="15.75" hidden="false" customHeight="false" outlineLevel="0" collapsed="false">
      <c r="B152" s="13" t="s">
        <v>131</v>
      </c>
      <c r="C152" s="14" t="str">
        <f aca="false">IF(B152="","",IFERROR(INDEX('CLM &amp; IM Mapping'!$B$2:$B$270,MATCH(TRIM(B152),'CLM &amp; IM Mapping'!$A$2:$A$270,0)),"Not Mapped"))</f>
        <v>Arun Raj</v>
      </c>
      <c r="D152" s="14" t="str">
        <f aca="false">IF(B152="","",IFERROR(INDEX('CLM &amp; IM Mapping'!$C$2:$C$270,MATCH(TRIM(B152),'CLM &amp; IM Mapping'!$A$2:$A$270,0)),"Not Mapped"))</f>
        <v>Simon Manoharan</v>
      </c>
      <c r="E152" s="13" t="s">
        <v>22</v>
      </c>
      <c r="F152" s="13" t="s">
        <v>297</v>
      </c>
      <c r="G152" s="13" t="s">
        <v>16</v>
      </c>
      <c r="H152" s="15" t="n">
        <v>12051</v>
      </c>
      <c r="I152" s="16" t="n">
        <v>0</v>
      </c>
      <c r="J152" s="17"/>
      <c r="K152" s="13"/>
      <c r="L152" s="13"/>
    </row>
    <row r="153" customFormat="false" ht="15.75" hidden="false" customHeight="false" outlineLevel="0" collapsed="false">
      <c r="B153" s="13" t="s">
        <v>129</v>
      </c>
      <c r="C153" s="14" t="str">
        <f aca="false">IF(B153="","",IFERROR(INDEX('CLM &amp; IM Mapping'!$B$2:$B$270,MATCH(TRIM(B153),'CLM &amp; IM Mapping'!$A$2:$A$270,0)),"Not Mapped"))</f>
        <v>Ravishankar gowda</v>
      </c>
      <c r="D153" s="14" t="str">
        <f aca="false">IF(B153="","",IFERROR(INDEX('CLM &amp; IM Mapping'!$C$2:$C$270,MATCH(TRIM(B153),'CLM &amp; IM Mapping'!$A$2:$A$270,0)),"Not Mapped"))</f>
        <v>Kishor K</v>
      </c>
      <c r="E153" s="13" t="s">
        <v>18</v>
      </c>
      <c r="F153" s="13" t="s">
        <v>298</v>
      </c>
      <c r="G153" s="13" t="s">
        <v>16</v>
      </c>
      <c r="H153" s="15" t="n">
        <v>4147</v>
      </c>
      <c r="I153" s="16" t="n">
        <v>0.58</v>
      </c>
      <c r="J153" s="16" t="n">
        <v>0.93</v>
      </c>
      <c r="K153" s="16" t="n">
        <v>0.95</v>
      </c>
      <c r="L153" s="16" t="n">
        <v>0.93</v>
      </c>
    </row>
    <row r="154" customFormat="false" ht="15.75" hidden="false" customHeight="false" outlineLevel="0" collapsed="false">
      <c r="B154" s="13" t="s">
        <v>130</v>
      </c>
      <c r="C154" s="14" t="str">
        <f aca="false">IF(B154="","",IFERROR(INDEX('CLM &amp; IM Mapping'!$B$2:$B$270,MATCH(TRIM(B154),'CLM &amp; IM Mapping'!$A$2:$A$270,0)),"Not Mapped"))</f>
        <v>Arun Raj</v>
      </c>
      <c r="D154" s="14" t="str">
        <f aca="false">IF(B154="","",IFERROR(INDEX('CLM &amp; IM Mapping'!$C$2:$C$270,MATCH(TRIM(B154),'CLM &amp; IM Mapping'!$A$2:$A$270,0)),"Not Mapped"))</f>
        <v>Simon Manoharan</v>
      </c>
      <c r="E154" s="13" t="s">
        <v>22</v>
      </c>
      <c r="F154" s="13" t="s">
        <v>297</v>
      </c>
      <c r="G154" s="13" t="s">
        <v>16</v>
      </c>
      <c r="H154" s="15" t="n">
        <v>9572</v>
      </c>
      <c r="I154" s="16" t="n">
        <v>0.36</v>
      </c>
      <c r="J154" s="16" t="n">
        <v>0.96</v>
      </c>
      <c r="K154" s="16" t="n">
        <v>0.99</v>
      </c>
      <c r="L154" s="16" t="n">
        <v>0.96</v>
      </c>
    </row>
    <row r="155" customFormat="false" ht="15.75" hidden="false" customHeight="false" outlineLevel="0" collapsed="false">
      <c r="B155" s="13" t="s">
        <v>133</v>
      </c>
      <c r="C155" s="14" t="str">
        <f aca="false">IF(B155="","",IFERROR(INDEX('CLM &amp; IM Mapping'!$B$2:$B$270,MATCH(TRIM(B155),'CLM &amp; IM Mapping'!$A$2:$A$270,0)),"Not Mapped"))</f>
        <v>Ashwath S</v>
      </c>
      <c r="D155" s="14" t="str">
        <f aca="false">IF(B155="","",IFERROR(INDEX('CLM &amp; IM Mapping'!$C$2:$C$270,MATCH(TRIM(B155),'CLM &amp; IM Mapping'!$A$2:$A$270,0)),"Not Mapped"))</f>
        <v>Kantha Kumar</v>
      </c>
      <c r="E155" s="13" t="s">
        <v>18</v>
      </c>
      <c r="F155" s="13" t="s">
        <v>298</v>
      </c>
      <c r="G155" s="13" t="s">
        <v>16</v>
      </c>
      <c r="H155" s="15" t="n">
        <v>6917</v>
      </c>
      <c r="I155" s="16" t="n">
        <v>0.9</v>
      </c>
      <c r="J155" s="16" t="n">
        <v>0.94</v>
      </c>
      <c r="K155" s="16" t="n">
        <v>0.99</v>
      </c>
      <c r="L155" s="16" t="n">
        <v>0.94</v>
      </c>
    </row>
    <row r="156" customFormat="false" ht="15.75" hidden="false" customHeight="false" outlineLevel="0" collapsed="false">
      <c r="B156" s="13" t="s">
        <v>141</v>
      </c>
      <c r="C156" s="14" t="str">
        <f aca="false">IF(B156="","",IFERROR(INDEX('CLM &amp; IM Mapping'!$B$2:$B$270,MATCH(TRIM(B156),'CLM &amp; IM Mapping'!$A$2:$A$270,0)),"Not Mapped"))</f>
        <v>Rizwan Ahmed</v>
      </c>
      <c r="D156" s="14" t="str">
        <f aca="false">IF(B156="","",IFERROR(INDEX('CLM &amp; IM Mapping'!$C$2:$C$270,MATCH(TRIM(B156),'CLM &amp; IM Mapping'!$A$2:$A$270,0)),"Not Mapped"))</f>
        <v>Un Mapped</v>
      </c>
      <c r="E156" s="13" t="s">
        <v>18</v>
      </c>
      <c r="F156" s="13" t="s">
        <v>298</v>
      </c>
      <c r="G156" s="13" t="s">
        <v>16</v>
      </c>
      <c r="H156" s="15" t="n">
        <v>5959</v>
      </c>
      <c r="I156" s="16" t="n">
        <v>0.41</v>
      </c>
      <c r="J156" s="16" t="n">
        <v>0.82</v>
      </c>
      <c r="K156" s="16" t="n">
        <v>0.96</v>
      </c>
      <c r="L156" s="16" t="n">
        <v>0.82</v>
      </c>
    </row>
    <row r="157" customFormat="false" ht="15.75" hidden="false" customHeight="false" outlineLevel="0" collapsed="false">
      <c r="B157" s="13" t="s">
        <v>300</v>
      </c>
      <c r="C157" s="14" t="str">
        <f aca="false">IF(B157="","",IFERROR(INDEX('CLM &amp; IM Mapping'!$B$2:$B$270,MATCH(TRIM(B157),'CLM &amp; IM Mapping'!$A$2:$A$270,0)),"Not Mapped"))</f>
        <v>Arun Raj</v>
      </c>
      <c r="D157" s="14" t="str">
        <f aca="false">IF(B157="","",IFERROR(INDEX('CLM &amp; IM Mapping'!$C$2:$C$270,MATCH(TRIM(B157),'CLM &amp; IM Mapping'!$A$2:$A$270,0)),"Not Mapped"))</f>
        <v>Simon Manoharan</v>
      </c>
      <c r="E157" s="13" t="s">
        <v>22</v>
      </c>
      <c r="F157" s="13" t="s">
        <v>298</v>
      </c>
      <c r="G157" s="13" t="s">
        <v>16</v>
      </c>
      <c r="H157" s="15" t="n">
        <v>10893</v>
      </c>
      <c r="I157" s="16" t="n">
        <v>0.3</v>
      </c>
      <c r="J157" s="16" t="n">
        <v>0.97</v>
      </c>
      <c r="K157" s="16" t="n">
        <v>0.99</v>
      </c>
      <c r="L157" s="16" t="n">
        <v>0.97</v>
      </c>
    </row>
    <row r="158" customFormat="false" ht="15.75" hidden="false" customHeight="false" outlineLevel="0" collapsed="false">
      <c r="B158" s="13" t="s">
        <v>144</v>
      </c>
      <c r="C158" s="14" t="str">
        <f aca="false">IF(B158="","",IFERROR(INDEX('CLM &amp; IM Mapping'!$B$2:$B$270,MATCH(TRIM(B158),'CLM &amp; IM Mapping'!$A$2:$A$270,0)),"Not Mapped"))</f>
        <v>Akshay P</v>
      </c>
      <c r="D158" s="14" t="str">
        <f aca="false">IF(B158="","",IFERROR(INDEX('CLM &amp; IM Mapping'!$C$2:$C$270,MATCH(TRIM(B158),'CLM &amp; IM Mapping'!$A$2:$A$270,0)),"Not Mapped"))</f>
        <v>Srittam Dhal</v>
      </c>
      <c r="E158" s="13" t="s">
        <v>18</v>
      </c>
      <c r="F158" s="13" t="s">
        <v>298</v>
      </c>
      <c r="G158" s="13" t="s">
        <v>16</v>
      </c>
      <c r="H158" s="15" t="n">
        <v>5379</v>
      </c>
      <c r="I158" s="16" t="n">
        <v>0.75</v>
      </c>
      <c r="J158" s="16" t="n">
        <v>0.81</v>
      </c>
      <c r="K158" s="16" t="n">
        <v>0.95</v>
      </c>
      <c r="L158" s="16" t="n">
        <v>0.81</v>
      </c>
    </row>
    <row r="159" customFormat="false" ht="15.75" hidden="false" customHeight="false" outlineLevel="0" collapsed="false">
      <c r="B159" s="13" t="s">
        <v>146</v>
      </c>
      <c r="C159" s="14" t="str">
        <f aca="false">IF(B159="","",IFERROR(INDEX('CLM &amp; IM Mapping'!$B$2:$B$270,MATCH(TRIM(B159),'CLM &amp; IM Mapping'!$A$2:$A$270,0)),"Not Mapped"))</f>
        <v>Basil Scariya</v>
      </c>
      <c r="D159" s="14" t="str">
        <f aca="false">IF(B159="","",IFERROR(INDEX('CLM &amp; IM Mapping'!$C$2:$C$270,MATCH(TRIM(B159),'CLM &amp; IM Mapping'!$A$2:$A$270,0)),"Not Mapped"))</f>
        <v>Prakash BS</v>
      </c>
      <c r="E159" s="13" t="s">
        <v>18</v>
      </c>
      <c r="F159" s="13" t="s">
        <v>298</v>
      </c>
      <c r="G159" s="13" t="s">
        <v>16</v>
      </c>
      <c r="H159" s="15" t="n">
        <v>6170</v>
      </c>
      <c r="I159" s="16" t="n">
        <v>0.55</v>
      </c>
      <c r="J159" s="16" t="n">
        <v>0.86</v>
      </c>
      <c r="K159" s="16" t="n">
        <v>0.95</v>
      </c>
      <c r="L159" s="16" t="n">
        <v>0.86</v>
      </c>
    </row>
    <row r="160" customFormat="false" ht="15.75" hidden="false" customHeight="false" outlineLevel="0" collapsed="false">
      <c r="B160" s="13" t="s">
        <v>150</v>
      </c>
      <c r="C160" s="14" t="str">
        <f aca="false">IF(B160="","",IFERROR(INDEX('CLM &amp; IM Mapping'!$B$2:$B$270,MATCH(TRIM(B160),'CLM &amp; IM Mapping'!$A$2:$A$270,0)),"Not Mapped"))</f>
        <v>Manoj Kj</v>
      </c>
      <c r="D160" s="14" t="str">
        <f aca="false">IF(B160="","",IFERROR(INDEX('CLM &amp; IM Mapping'!$C$2:$C$270,MATCH(TRIM(B160),'CLM &amp; IM Mapping'!$A$2:$A$270,0)),"Not Mapped"))</f>
        <v>Srittam Dhal</v>
      </c>
      <c r="E160" s="13" t="s">
        <v>18</v>
      </c>
      <c r="F160" s="13" t="s">
        <v>298</v>
      </c>
      <c r="G160" s="13" t="s">
        <v>16</v>
      </c>
      <c r="H160" s="15" t="n">
        <v>4812</v>
      </c>
      <c r="I160" s="16" t="n">
        <v>0.9</v>
      </c>
      <c r="J160" s="16" t="n">
        <v>0.96</v>
      </c>
      <c r="K160" s="16" t="n">
        <v>0.99</v>
      </c>
      <c r="L160" s="16" t="n">
        <v>0.96</v>
      </c>
    </row>
    <row r="161" customFormat="false" ht="15.75" hidden="false" customHeight="false" outlineLevel="0" collapsed="false">
      <c r="B161" s="13" t="s">
        <v>149</v>
      </c>
      <c r="C161" s="14" t="str">
        <f aca="false">IF(B161="","",IFERROR(INDEX('CLM &amp; IM Mapping'!$B$2:$B$270,MATCH(TRIM(B161),'CLM &amp; IM Mapping'!$A$2:$A$270,0)),"Not Mapped"))</f>
        <v>Manjunatha V</v>
      </c>
      <c r="D161" s="14" t="str">
        <f aca="false">IF(B161="","",IFERROR(INDEX('CLM &amp; IM Mapping'!$C$2:$C$270,MATCH(TRIM(B161),'CLM &amp; IM Mapping'!$A$2:$A$270,0)),"Not Mapped"))</f>
        <v>Un Mapped</v>
      </c>
      <c r="E161" s="13" t="s">
        <v>18</v>
      </c>
      <c r="F161" s="13" t="s">
        <v>298</v>
      </c>
      <c r="G161" s="13" t="s">
        <v>16</v>
      </c>
      <c r="H161" s="15" t="n">
        <v>5330</v>
      </c>
      <c r="I161" s="16" t="n">
        <v>0.52</v>
      </c>
      <c r="J161" s="16" t="n">
        <v>0.87</v>
      </c>
      <c r="K161" s="16" t="n">
        <v>0.97</v>
      </c>
      <c r="L161" s="16" t="n">
        <v>0.87</v>
      </c>
    </row>
    <row r="162" customFormat="false" ht="15.75" hidden="false" customHeight="false" outlineLevel="0" collapsed="false">
      <c r="B162" s="13" t="s">
        <v>151</v>
      </c>
      <c r="C162" s="14" t="str">
        <f aca="false">IF(B162="","",IFERROR(INDEX('CLM &amp; IM Mapping'!$B$2:$B$270,MATCH(TRIM(B162),'CLM &amp; IM Mapping'!$A$2:$A$270,0)),"Not Mapped"))</f>
        <v>Manjunatha V</v>
      </c>
      <c r="D162" s="14" t="str">
        <f aca="false">IF(B162="","",IFERROR(INDEX('CLM &amp; IM Mapping'!$C$2:$C$270,MATCH(TRIM(B162),'CLM &amp; IM Mapping'!$A$2:$A$270,0)),"Not Mapped"))</f>
        <v>Un Mapped</v>
      </c>
      <c r="E162" s="13" t="s">
        <v>18</v>
      </c>
      <c r="F162" s="13" t="s">
        <v>297</v>
      </c>
      <c r="G162" s="13" t="s">
        <v>16</v>
      </c>
      <c r="H162" s="15" t="n">
        <v>5222</v>
      </c>
      <c r="I162" s="16" t="n">
        <v>0.59</v>
      </c>
      <c r="J162" s="16" t="n">
        <v>0.83</v>
      </c>
      <c r="K162" s="16" t="n">
        <v>0.96</v>
      </c>
      <c r="L162" s="16" t="n">
        <v>0.83</v>
      </c>
    </row>
    <row r="163" customFormat="false" ht="15.75" hidden="false" customHeight="false" outlineLevel="0" collapsed="false">
      <c r="B163" s="13" t="s">
        <v>153</v>
      </c>
      <c r="C163" s="14" t="str">
        <f aca="false">IF(B163="","",IFERROR(INDEX('CLM &amp; IM Mapping'!$B$2:$B$270,MATCH(TRIM(B163),'CLM &amp; IM Mapping'!$A$2:$A$270,0)),"Not Mapped"))</f>
        <v>MH</v>
      </c>
      <c r="D163" s="14" t="str">
        <f aca="false">IF(B163="","",IFERROR(INDEX('CLM &amp; IM Mapping'!$C$2:$C$270,MATCH(TRIM(B163),'CLM &amp; IM Mapping'!$A$2:$A$270,0)),"Not Mapped"))</f>
        <v>MH</v>
      </c>
      <c r="E163" s="13" t="s">
        <v>18</v>
      </c>
      <c r="F163" s="13" t="s">
        <v>297</v>
      </c>
      <c r="G163" s="13" t="s">
        <v>16</v>
      </c>
      <c r="H163" s="15" t="n">
        <v>13</v>
      </c>
      <c r="I163" s="16" t="n">
        <v>0</v>
      </c>
      <c r="J163" s="17"/>
      <c r="K163" s="13"/>
      <c r="L163" s="13"/>
    </row>
    <row r="164" customFormat="false" ht="15.75" hidden="false" customHeight="false" outlineLevel="0" collapsed="false">
      <c r="B164" s="13" t="s">
        <v>155</v>
      </c>
      <c r="C164" s="14" t="str">
        <f aca="false">IF(B164="","",IFERROR(INDEX('CLM &amp; IM Mapping'!$B$2:$B$270,MATCH(TRIM(B164),'CLM &amp; IM Mapping'!$A$2:$A$270,0)),"Not Mapped"))</f>
        <v>Akshay P</v>
      </c>
      <c r="D164" s="14" t="str">
        <f aca="false">IF(B164="","",IFERROR(INDEX('CLM &amp; IM Mapping'!$C$2:$C$270,MATCH(TRIM(B164),'CLM &amp; IM Mapping'!$A$2:$A$270,0)),"Not Mapped"))</f>
        <v>Srittam Dhal</v>
      </c>
      <c r="E164" s="13" t="s">
        <v>18</v>
      </c>
      <c r="F164" s="13" t="s">
        <v>298</v>
      </c>
      <c r="G164" s="13" t="s">
        <v>16</v>
      </c>
      <c r="H164" s="15" t="n">
        <v>6002</v>
      </c>
      <c r="I164" s="16" t="n">
        <v>0.59</v>
      </c>
      <c r="J164" s="16" t="n">
        <v>0.92</v>
      </c>
      <c r="K164" s="16" t="n">
        <v>0.97</v>
      </c>
      <c r="L164" s="16" t="n">
        <v>0.92</v>
      </c>
    </row>
    <row r="165" customFormat="false" ht="15.75" hidden="false" customHeight="false" outlineLevel="0" collapsed="false">
      <c r="B165" s="13" t="s">
        <v>164</v>
      </c>
      <c r="C165" s="14" t="str">
        <f aca="false">IF(B165="","",IFERROR(INDEX('CLM &amp; IM Mapping'!$B$2:$B$270,MATCH(TRIM(B165),'CLM &amp; IM Mapping'!$A$2:$A$270,0)),"Not Mapped"))</f>
        <v>Saddam Hussain</v>
      </c>
      <c r="D165" s="14" t="str">
        <f aca="false">IF(B165="","",IFERROR(INDEX('CLM &amp; IM Mapping'!$C$2:$C$270,MATCH(TRIM(B165),'CLM &amp; IM Mapping'!$A$2:$A$270,0)),"Not Mapped"))</f>
        <v>Un Mapped</v>
      </c>
      <c r="E165" s="13" t="s">
        <v>18</v>
      </c>
      <c r="F165" s="13" t="s">
        <v>298</v>
      </c>
      <c r="G165" s="13" t="s">
        <v>16</v>
      </c>
      <c r="H165" s="15" t="n">
        <v>6286</v>
      </c>
      <c r="I165" s="16" t="n">
        <v>0.95</v>
      </c>
      <c r="J165" s="16" t="n">
        <v>0.97</v>
      </c>
      <c r="K165" s="16" t="n">
        <v>0.99</v>
      </c>
      <c r="L165" s="16" t="n">
        <v>0.97</v>
      </c>
    </row>
    <row r="166" customFormat="false" ht="15.75" hidden="false" customHeight="false" outlineLevel="0" collapsed="false">
      <c r="B166" s="13" t="s">
        <v>163</v>
      </c>
      <c r="C166" s="14" t="str">
        <f aca="false">IF(B166="","",IFERROR(INDEX('CLM &amp; IM Mapping'!$B$2:$B$270,MATCH(TRIM(B166),'CLM &amp; IM Mapping'!$A$2:$A$270,0)),"Not Mapped"))</f>
        <v>Suhas N</v>
      </c>
      <c r="D166" s="14" t="str">
        <f aca="false">IF(B166="","",IFERROR(INDEX('CLM &amp; IM Mapping'!$C$2:$C$270,MATCH(TRIM(B166),'CLM &amp; IM Mapping'!$A$2:$A$270,0)),"Not Mapped"))</f>
        <v>Aravind S</v>
      </c>
      <c r="E166" s="13" t="s">
        <v>18</v>
      </c>
      <c r="F166" s="13" t="s">
        <v>297</v>
      </c>
      <c r="G166" s="13" t="s">
        <v>16</v>
      </c>
      <c r="H166" s="15" t="n">
        <v>4848</v>
      </c>
      <c r="I166" s="16" t="n">
        <v>0.54</v>
      </c>
      <c r="J166" s="16" t="n">
        <v>0.86</v>
      </c>
      <c r="K166" s="16" t="n">
        <v>0.95</v>
      </c>
      <c r="L166" s="16" t="n">
        <v>0.86</v>
      </c>
    </row>
    <row r="167" customFormat="false" ht="15.75" hidden="false" customHeight="false" outlineLevel="0" collapsed="false">
      <c r="B167" s="13" t="s">
        <v>168</v>
      </c>
      <c r="C167" s="14" t="str">
        <f aca="false">IF(B167="","",IFERROR(INDEX('CLM &amp; IM Mapping'!$B$2:$B$270,MATCH(TRIM(B167),'CLM &amp; IM Mapping'!$A$2:$A$270,0)),"Not Mapped"))</f>
        <v>Arun Raj</v>
      </c>
      <c r="D167" s="14" t="str">
        <f aca="false">IF(B167="","",IFERROR(INDEX('CLM &amp; IM Mapping'!$C$2:$C$270,MATCH(TRIM(B167),'CLM &amp; IM Mapping'!$A$2:$A$270,0)),"Not Mapped"))</f>
        <v>Simon Manoharan</v>
      </c>
      <c r="E167" s="13" t="s">
        <v>22</v>
      </c>
      <c r="F167" s="13" t="s">
        <v>297</v>
      </c>
      <c r="G167" s="13" t="s">
        <v>16</v>
      </c>
      <c r="H167" s="15" t="n">
        <v>11984</v>
      </c>
      <c r="I167" s="16" t="n">
        <v>0.14</v>
      </c>
      <c r="J167" s="16" t="n">
        <v>0.94</v>
      </c>
      <c r="K167" s="16" t="n">
        <v>0.99</v>
      </c>
      <c r="L167" s="16" t="n">
        <v>0.6</v>
      </c>
    </row>
    <row r="168" customFormat="false" ht="15.75" hidden="false" customHeight="false" outlineLevel="0" collapsed="false">
      <c r="B168" s="13" t="s">
        <v>166</v>
      </c>
      <c r="C168" s="14" t="str">
        <f aca="false">IF(B168="","",IFERROR(INDEX('CLM &amp; IM Mapping'!$B$2:$B$270,MATCH(TRIM(B168),'CLM &amp; IM Mapping'!$A$2:$A$270,0)),"Not Mapped"))</f>
        <v>Sundaresh S</v>
      </c>
      <c r="D168" s="14" t="str">
        <f aca="false">IF(B168="","",IFERROR(INDEX('CLM &amp; IM Mapping'!$C$2:$C$270,MATCH(TRIM(B168),'CLM &amp; IM Mapping'!$A$2:$A$270,0)),"Not Mapped"))</f>
        <v>Un Mapped</v>
      </c>
      <c r="E168" s="13" t="s">
        <v>18</v>
      </c>
      <c r="F168" s="13" t="s">
        <v>298</v>
      </c>
      <c r="G168" s="13" t="s">
        <v>16</v>
      </c>
      <c r="H168" s="15" t="n">
        <v>7106</v>
      </c>
      <c r="I168" s="16" t="n">
        <v>0.49</v>
      </c>
      <c r="J168" s="16" t="n">
        <v>0.97</v>
      </c>
      <c r="K168" s="16" t="n">
        <v>0.99</v>
      </c>
      <c r="L168" s="13"/>
    </row>
    <row r="169" customFormat="false" ht="15.75" hidden="false" customHeight="false" outlineLevel="0" collapsed="false">
      <c r="B169" s="13" t="s">
        <v>174</v>
      </c>
      <c r="C169" s="14" t="str">
        <f aca="false">IF(B169="","",IFERROR(INDEX('CLM &amp; IM Mapping'!$B$2:$B$270,MATCH(TRIM(B169),'CLM &amp; IM Mapping'!$A$2:$A$270,0)),"Not Mapped"))</f>
        <v>Richard Harris</v>
      </c>
      <c r="D169" s="14" t="str">
        <f aca="false">IF(B169="","",IFERROR(INDEX('CLM &amp; IM Mapping'!$C$2:$C$270,MATCH(TRIM(B169),'CLM &amp; IM Mapping'!$A$2:$A$270,0)),"Not Mapped"))</f>
        <v>Kantha Kumar</v>
      </c>
      <c r="E169" s="13" t="s">
        <v>18</v>
      </c>
      <c r="F169" s="13" t="s">
        <v>298</v>
      </c>
      <c r="G169" s="13" t="s">
        <v>16</v>
      </c>
      <c r="H169" s="15" t="n">
        <v>5302</v>
      </c>
      <c r="I169" s="16" t="n">
        <v>0.4</v>
      </c>
      <c r="J169" s="16" t="n">
        <v>0.81</v>
      </c>
      <c r="K169" s="16" t="n">
        <v>0.94</v>
      </c>
      <c r="L169" s="16" t="n">
        <v>0.81</v>
      </c>
    </row>
    <row r="170" customFormat="false" ht="15.75" hidden="false" customHeight="false" outlineLevel="0" collapsed="false">
      <c r="B170" s="13" t="s">
        <v>180</v>
      </c>
      <c r="C170" s="14" t="str">
        <f aca="false">IF(B170="","",IFERROR(INDEX('CLM &amp; IM Mapping'!$B$2:$B$270,MATCH(TRIM(B170),'CLM &amp; IM Mapping'!$A$2:$A$270,0)),"Not Mapped"))</f>
        <v>Richard Harris</v>
      </c>
      <c r="D170" s="14" t="str">
        <f aca="false">IF(B170="","",IFERROR(INDEX('CLM &amp; IM Mapping'!$C$2:$C$270,MATCH(TRIM(B170),'CLM &amp; IM Mapping'!$A$2:$A$270,0)),"Not Mapped"))</f>
        <v>Kantha Kumar</v>
      </c>
      <c r="E170" s="13" t="s">
        <v>18</v>
      </c>
      <c r="F170" s="13" t="s">
        <v>298</v>
      </c>
      <c r="G170" s="13" t="s">
        <v>16</v>
      </c>
      <c r="H170" s="15" t="n">
        <v>7642</v>
      </c>
      <c r="I170" s="16" t="n">
        <v>0.48</v>
      </c>
      <c r="J170" s="16" t="n">
        <v>0.85</v>
      </c>
      <c r="K170" s="16" t="n">
        <v>0.97</v>
      </c>
      <c r="L170" s="16" t="n">
        <v>0.85</v>
      </c>
    </row>
    <row r="171" customFormat="false" ht="15.75" hidden="false" customHeight="false" outlineLevel="0" collapsed="false">
      <c r="B171" s="13" t="s">
        <v>181</v>
      </c>
      <c r="C171" s="14" t="str">
        <f aca="false">IF(B171="","",IFERROR(INDEX('CLM &amp; IM Mapping'!$B$2:$B$270,MATCH(TRIM(B171),'CLM &amp; IM Mapping'!$A$2:$A$270,0)),"Not Mapped"))</f>
        <v>Sundaresh S</v>
      </c>
      <c r="D171" s="14" t="str">
        <f aca="false">IF(B171="","",IFERROR(INDEX('CLM &amp; IM Mapping'!$C$2:$C$270,MATCH(TRIM(B171),'CLM &amp; IM Mapping'!$A$2:$A$270,0)),"Not Mapped"))</f>
        <v>Un Mapped</v>
      </c>
      <c r="E171" s="13" t="s">
        <v>18</v>
      </c>
      <c r="F171" s="13" t="s">
        <v>298</v>
      </c>
      <c r="G171" s="13" t="s">
        <v>16</v>
      </c>
      <c r="H171" s="15" t="n">
        <v>6860</v>
      </c>
      <c r="I171" s="16" t="n">
        <v>0.36</v>
      </c>
      <c r="J171" s="16" t="n">
        <v>0.84</v>
      </c>
      <c r="K171" s="16" t="n">
        <v>0.93</v>
      </c>
      <c r="L171" s="16" t="n">
        <v>0.84</v>
      </c>
    </row>
    <row r="172" customFormat="false" ht="15.75" hidden="false" customHeight="false" outlineLevel="0" collapsed="false">
      <c r="B172" s="13" t="s">
        <v>188</v>
      </c>
      <c r="C172" s="14" t="str">
        <f aca="false">IF(B172="","",IFERROR(INDEX('CLM &amp; IM Mapping'!$B$2:$B$270,MATCH(TRIM(B172),'CLM &amp; IM Mapping'!$A$2:$A$270,0)),"Not Mapped"))</f>
        <v>Manjunatha V</v>
      </c>
      <c r="D172" s="14" t="str">
        <f aca="false">IF(B172="","",IFERROR(INDEX('CLM &amp; IM Mapping'!$C$2:$C$270,MATCH(TRIM(B172),'CLM &amp; IM Mapping'!$A$2:$A$270,0)),"Not Mapped"))</f>
        <v>Un Mapped</v>
      </c>
      <c r="E172" s="13" t="s">
        <v>18</v>
      </c>
      <c r="F172" s="13" t="s">
        <v>298</v>
      </c>
      <c r="G172" s="13" t="s">
        <v>16</v>
      </c>
      <c r="H172" s="15" t="n">
        <v>5639</v>
      </c>
      <c r="I172" s="16" t="n">
        <v>0.32</v>
      </c>
      <c r="J172" s="16" t="n">
        <v>0.86</v>
      </c>
      <c r="K172" s="16" t="n">
        <v>0.96</v>
      </c>
      <c r="L172" s="16" t="n">
        <v>0.86</v>
      </c>
    </row>
    <row r="173" customFormat="false" ht="15.75" hidden="false" customHeight="false" outlineLevel="0" collapsed="false">
      <c r="B173" s="13" t="s">
        <v>186</v>
      </c>
      <c r="C173" s="14" t="str">
        <f aca="false">IF(B173="","",IFERROR(INDEX('CLM &amp; IM Mapping'!$B$2:$B$270,MATCH(TRIM(B173),'CLM &amp; IM Mapping'!$A$2:$A$270,0)),"Not Mapped"))</f>
        <v>Balaji G</v>
      </c>
      <c r="D173" s="14" t="str">
        <f aca="false">IF(B173="","",IFERROR(INDEX('CLM &amp; IM Mapping'!$C$2:$C$270,MATCH(TRIM(B173),'CLM &amp; IM Mapping'!$A$2:$A$270,0)),"Not Mapped"))</f>
        <v>Mohammed Akbar</v>
      </c>
      <c r="E173" s="13" t="s">
        <v>18</v>
      </c>
      <c r="F173" s="13" t="s">
        <v>298</v>
      </c>
      <c r="G173" s="13" t="s">
        <v>16</v>
      </c>
      <c r="H173" s="15" t="n">
        <v>2473</v>
      </c>
      <c r="I173" s="16" t="n">
        <v>0.97</v>
      </c>
      <c r="J173" s="16" t="n">
        <v>0.83</v>
      </c>
      <c r="K173" s="16" t="n">
        <v>0.97</v>
      </c>
      <c r="L173" s="16" t="n">
        <v>0.83</v>
      </c>
    </row>
    <row r="174" customFormat="false" ht="15.75" hidden="false" customHeight="false" outlineLevel="0" collapsed="false">
      <c r="B174" s="13" t="s">
        <v>189</v>
      </c>
      <c r="C174" s="14" t="str">
        <f aca="false">IF(B174="","",IFERROR(INDEX('CLM &amp; IM Mapping'!$B$2:$B$270,MATCH(TRIM(B174),'CLM &amp; IM Mapping'!$A$2:$A$270,0)),"Not Mapped"))</f>
        <v>Ashwath S</v>
      </c>
      <c r="D174" s="14" t="str">
        <f aca="false">IF(B174="","",IFERROR(INDEX('CLM &amp; IM Mapping'!$C$2:$C$270,MATCH(TRIM(B174),'CLM &amp; IM Mapping'!$A$2:$A$270,0)),"Not Mapped"))</f>
        <v>Kantha Kumar</v>
      </c>
      <c r="E174" s="13" t="s">
        <v>18</v>
      </c>
      <c r="F174" s="13" t="s">
        <v>298</v>
      </c>
      <c r="G174" s="13" t="s">
        <v>16</v>
      </c>
      <c r="H174" s="15" t="n">
        <v>6248</v>
      </c>
      <c r="I174" s="16" t="n">
        <v>0.72</v>
      </c>
      <c r="J174" s="16" t="n">
        <v>0.95</v>
      </c>
      <c r="K174" s="16" t="n">
        <v>0.98</v>
      </c>
      <c r="L174" s="16" t="n">
        <v>0.95</v>
      </c>
    </row>
    <row r="175" customFormat="false" ht="15.75" hidden="false" customHeight="false" outlineLevel="0" collapsed="false">
      <c r="B175" s="13" t="s">
        <v>190</v>
      </c>
      <c r="C175" s="14" t="str">
        <f aca="false">IF(B175="","",IFERROR(INDEX('CLM &amp; IM Mapping'!$B$2:$B$270,MATCH(TRIM(B175),'CLM &amp; IM Mapping'!$A$2:$A$270,0)),"Not Mapped"))</f>
        <v>Girish N</v>
      </c>
      <c r="D175" s="14" t="str">
        <f aca="false">IF(B175="","",IFERROR(INDEX('CLM &amp; IM Mapping'!$C$2:$C$270,MATCH(TRIM(B175),'CLM &amp; IM Mapping'!$A$2:$A$270,0)),"Not Mapped"))</f>
        <v>Un Mapped</v>
      </c>
      <c r="E175" s="13" t="s">
        <v>18</v>
      </c>
      <c r="F175" s="13" t="s">
        <v>298</v>
      </c>
      <c r="G175" s="13" t="s">
        <v>16</v>
      </c>
      <c r="H175" s="15" t="n">
        <v>6292</v>
      </c>
      <c r="I175" s="16" t="n">
        <v>0.55</v>
      </c>
      <c r="J175" s="16" t="n">
        <v>0.85</v>
      </c>
      <c r="K175" s="16" t="n">
        <v>0.94</v>
      </c>
      <c r="L175" s="16" t="n">
        <v>0.85</v>
      </c>
    </row>
    <row r="176" customFormat="false" ht="15.75" hidden="false" customHeight="false" outlineLevel="0" collapsed="false">
      <c r="B176" s="13" t="s">
        <v>193</v>
      </c>
      <c r="C176" s="14" t="str">
        <f aca="false">IF(B176="","",IFERROR(INDEX('CLM &amp; IM Mapping'!$B$2:$B$270,MATCH(TRIM(B176),'CLM &amp; IM Mapping'!$A$2:$A$270,0)),"Not Mapped"))</f>
        <v>Basil Scariya</v>
      </c>
      <c r="D176" s="14" t="str">
        <f aca="false">IF(B176="","",IFERROR(INDEX('CLM &amp; IM Mapping'!$C$2:$C$270,MATCH(TRIM(B176),'CLM &amp; IM Mapping'!$A$2:$A$270,0)),"Not Mapped"))</f>
        <v>Prakash BS</v>
      </c>
      <c r="E176" s="13" t="s">
        <v>18</v>
      </c>
      <c r="F176" s="13" t="s">
        <v>298</v>
      </c>
      <c r="G176" s="13" t="s">
        <v>16</v>
      </c>
      <c r="H176" s="15" t="n">
        <v>6955</v>
      </c>
      <c r="I176" s="16" t="n">
        <v>0.58</v>
      </c>
      <c r="J176" s="16" t="n">
        <v>0.93</v>
      </c>
      <c r="K176" s="16" t="n">
        <v>0.98</v>
      </c>
      <c r="L176" s="16" t="n">
        <v>0.93</v>
      </c>
    </row>
    <row r="177" customFormat="false" ht="15.75" hidden="false" customHeight="false" outlineLevel="0" collapsed="false">
      <c r="B177" s="13" t="s">
        <v>192</v>
      </c>
      <c r="C177" s="14" t="str">
        <f aca="false">IF(B177="","",IFERROR(INDEX('CLM &amp; IM Mapping'!$B$2:$B$270,MATCH(TRIM(B177),'CLM &amp; IM Mapping'!$A$2:$A$270,0)),"Not Mapped"))</f>
        <v>Raghavendra Vernekar</v>
      </c>
      <c r="D177" s="14" t="str">
        <f aca="false">IF(B177="","",IFERROR(INDEX('CLM &amp; IM Mapping'!$C$2:$C$270,MATCH(TRIM(B177),'CLM &amp; IM Mapping'!$A$2:$A$270,0)),"Not Mapped"))</f>
        <v>Prakash BS</v>
      </c>
      <c r="E177" s="13" t="s">
        <v>18</v>
      </c>
      <c r="F177" s="13" t="s">
        <v>298</v>
      </c>
      <c r="G177" s="13" t="s">
        <v>16</v>
      </c>
      <c r="H177" s="15" t="n">
        <v>2978</v>
      </c>
      <c r="I177" s="16" t="n">
        <v>0.67</v>
      </c>
      <c r="J177" s="16" t="n">
        <v>0.87</v>
      </c>
      <c r="K177" s="16" t="n">
        <v>0.97</v>
      </c>
      <c r="L177" s="16" t="n">
        <v>0.87</v>
      </c>
    </row>
    <row r="178" customFormat="false" ht="15.75" hidden="false" customHeight="false" outlineLevel="0" collapsed="false">
      <c r="B178" s="13" t="s">
        <v>197</v>
      </c>
      <c r="C178" s="14" t="str">
        <f aca="false">IF(B178="","",IFERROR(INDEX('CLM &amp; IM Mapping'!$B$2:$B$270,MATCH(TRIM(B178),'CLM &amp; IM Mapping'!$A$2:$A$270,0)),"Not Mapped"))</f>
        <v>Balaji G</v>
      </c>
      <c r="D178" s="14" t="str">
        <f aca="false">IF(B178="","",IFERROR(INDEX('CLM &amp; IM Mapping'!$C$2:$C$270,MATCH(TRIM(B178),'CLM &amp; IM Mapping'!$A$2:$A$270,0)),"Not Mapped"))</f>
        <v>Mohammed Akbar</v>
      </c>
      <c r="E178" s="13" t="s">
        <v>18</v>
      </c>
      <c r="F178" s="13" t="s">
        <v>297</v>
      </c>
      <c r="G178" s="13" t="s">
        <v>16</v>
      </c>
      <c r="H178" s="15" t="n">
        <v>5262</v>
      </c>
      <c r="I178" s="16" t="n">
        <v>0.93</v>
      </c>
      <c r="J178" s="16" t="n">
        <v>0.96</v>
      </c>
      <c r="K178" s="16" t="n">
        <v>0.76</v>
      </c>
      <c r="L178" s="16" t="n">
        <v>0.96</v>
      </c>
    </row>
    <row r="179" customFormat="false" ht="15.75" hidden="false" customHeight="false" outlineLevel="0" collapsed="false">
      <c r="B179" s="13" t="s">
        <v>199</v>
      </c>
      <c r="C179" s="14" t="str">
        <f aca="false">IF(B179="","",IFERROR(INDEX('CLM &amp; IM Mapping'!$B$2:$B$270,MATCH(TRIM(B179),'CLM &amp; IM Mapping'!$A$2:$A$270,0)),"Not Mapped"))</f>
        <v>Manjunatha V</v>
      </c>
      <c r="D179" s="14" t="str">
        <f aca="false">IF(B179="","",IFERROR(INDEX('CLM &amp; IM Mapping'!$C$2:$C$270,MATCH(TRIM(B179),'CLM &amp; IM Mapping'!$A$2:$A$270,0)),"Not Mapped"))</f>
        <v>Un Mapped</v>
      </c>
      <c r="E179" s="13" t="s">
        <v>18</v>
      </c>
      <c r="F179" s="13" t="s">
        <v>297</v>
      </c>
      <c r="G179" s="13" t="s">
        <v>16</v>
      </c>
      <c r="H179" s="15" t="n">
        <v>5669</v>
      </c>
      <c r="I179" s="16" t="n">
        <v>0.85</v>
      </c>
      <c r="J179" s="16" t="n">
        <v>0.93</v>
      </c>
      <c r="K179" s="16" t="n">
        <v>0.99</v>
      </c>
      <c r="L179" s="16" t="n">
        <v>0.93</v>
      </c>
    </row>
    <row r="180" customFormat="false" ht="15.75" hidden="false" customHeight="false" outlineLevel="0" collapsed="false">
      <c r="B180" s="13" t="s">
        <v>202</v>
      </c>
      <c r="C180" s="14" t="str">
        <f aca="false">IF(B180="","",IFERROR(INDEX('CLM &amp; IM Mapping'!$B$2:$B$270,MATCH(TRIM(B180),'CLM &amp; IM Mapping'!$A$2:$A$270,0)),"Not Mapped"))</f>
        <v>Ashwath S</v>
      </c>
      <c r="D180" s="14" t="str">
        <f aca="false">IF(B180="","",IFERROR(INDEX('CLM &amp; IM Mapping'!$C$2:$C$270,MATCH(TRIM(B180),'CLM &amp; IM Mapping'!$A$2:$A$270,0)),"Not Mapped"))</f>
        <v>Kantha Kumar</v>
      </c>
      <c r="E180" s="13" t="s">
        <v>18</v>
      </c>
      <c r="F180" s="13" t="s">
        <v>298</v>
      </c>
      <c r="G180" s="13" t="s">
        <v>16</v>
      </c>
      <c r="H180" s="15" t="n">
        <v>6158</v>
      </c>
      <c r="I180" s="16" t="n">
        <v>0.73</v>
      </c>
      <c r="J180" s="16" t="n">
        <v>0.85</v>
      </c>
      <c r="K180" s="16" t="n">
        <v>0.96</v>
      </c>
      <c r="L180" s="16" t="n">
        <v>0.85</v>
      </c>
    </row>
    <row r="181" customFormat="false" ht="15.75" hidden="false" customHeight="false" outlineLevel="0" collapsed="false">
      <c r="B181" s="13" t="s">
        <v>206</v>
      </c>
      <c r="C181" s="14" t="str">
        <f aca="false">IF(B181="","",IFERROR(INDEX('CLM &amp; IM Mapping'!$B$2:$B$270,MATCH(TRIM(B181),'CLM &amp; IM Mapping'!$A$2:$A$270,0)),"Not Mapped"))</f>
        <v>Saddam Hussain</v>
      </c>
      <c r="D181" s="14" t="str">
        <f aca="false">IF(B181="","",IFERROR(INDEX('CLM &amp; IM Mapping'!$C$2:$C$270,MATCH(TRIM(B181),'CLM &amp; IM Mapping'!$A$2:$A$270,0)),"Not Mapped"))</f>
        <v>Un Mapped</v>
      </c>
      <c r="E181" s="13" t="s">
        <v>18</v>
      </c>
      <c r="F181" s="13" t="s">
        <v>298</v>
      </c>
      <c r="G181" s="13" t="s">
        <v>16</v>
      </c>
      <c r="H181" s="15" t="n">
        <v>8449</v>
      </c>
      <c r="I181" s="16" t="n">
        <v>0.68</v>
      </c>
      <c r="J181" s="16" t="n">
        <v>0.84</v>
      </c>
      <c r="K181" s="16" t="n">
        <v>0.95</v>
      </c>
      <c r="L181" s="16" t="n">
        <v>0.84</v>
      </c>
    </row>
    <row r="182" customFormat="false" ht="15.75" hidden="false" customHeight="false" outlineLevel="0" collapsed="false">
      <c r="B182" s="13" t="s">
        <v>207</v>
      </c>
      <c r="C182" s="14" t="str">
        <f aca="false">IF(B182="","",IFERROR(INDEX('CLM &amp; IM Mapping'!$B$2:$B$270,MATCH(TRIM(B182),'CLM &amp; IM Mapping'!$A$2:$A$270,0)),"Not Mapped"))</f>
        <v>Keshav G</v>
      </c>
      <c r="D182" s="14" t="str">
        <f aca="false">IF(B182="","",IFERROR(INDEX('CLM &amp; IM Mapping'!$C$2:$C$270,MATCH(TRIM(B182),'CLM &amp; IM Mapping'!$A$2:$A$270,0)),"Not Mapped"))</f>
        <v>Mohammed Akbar</v>
      </c>
      <c r="E182" s="13" t="s">
        <v>18</v>
      </c>
      <c r="F182" s="13" t="s">
        <v>297</v>
      </c>
      <c r="G182" s="13" t="s">
        <v>16</v>
      </c>
      <c r="H182" s="15" t="n">
        <v>12192</v>
      </c>
      <c r="I182" s="16" t="n">
        <v>0.77</v>
      </c>
      <c r="J182" s="16" t="n">
        <v>0.89</v>
      </c>
      <c r="K182" s="16" t="n">
        <v>0.96</v>
      </c>
      <c r="L182" s="16" t="n">
        <v>0.89</v>
      </c>
    </row>
    <row r="183" customFormat="false" ht="15.75" hidden="false" customHeight="false" outlineLevel="0" collapsed="false">
      <c r="B183" s="13" t="s">
        <v>215</v>
      </c>
      <c r="C183" s="14" t="str">
        <f aca="false">IF(B183="","",IFERROR(INDEX('CLM &amp; IM Mapping'!$B$2:$B$270,MATCH(TRIM(B183),'CLM &amp; IM Mapping'!$A$2:$A$270,0)),"Not Mapped"))</f>
        <v>Girish N</v>
      </c>
      <c r="D183" s="14" t="str">
        <f aca="false">IF(B183="","",IFERROR(INDEX('CLM &amp; IM Mapping'!$C$2:$C$270,MATCH(TRIM(B183),'CLM &amp; IM Mapping'!$A$2:$A$270,0)),"Not Mapped"))</f>
        <v>Un Mapped</v>
      </c>
      <c r="E183" s="13" t="s">
        <v>18</v>
      </c>
      <c r="F183" s="13" t="s">
        <v>298</v>
      </c>
      <c r="G183" s="13" t="s">
        <v>16</v>
      </c>
      <c r="H183" s="15" t="n">
        <v>5106</v>
      </c>
      <c r="I183" s="16" t="n">
        <v>0.16</v>
      </c>
      <c r="J183" s="16" t="n">
        <v>0.69</v>
      </c>
      <c r="K183" s="16" t="n">
        <v>0.98</v>
      </c>
      <c r="L183" s="16" t="n">
        <v>0.49</v>
      </c>
    </row>
    <row r="184" customFormat="false" ht="15.75" hidden="false" customHeight="false" outlineLevel="0" collapsed="false">
      <c r="B184" s="13" t="s">
        <v>216</v>
      </c>
      <c r="C184" s="14" t="str">
        <f aca="false">IF(B184="","",IFERROR(INDEX('CLM &amp; IM Mapping'!$B$2:$B$270,MATCH(TRIM(B184),'CLM &amp; IM Mapping'!$A$2:$A$270,0)),"Not Mapped"))</f>
        <v>Saddam Hussain</v>
      </c>
      <c r="D184" s="14" t="str">
        <f aca="false">IF(B184="","",IFERROR(INDEX('CLM &amp; IM Mapping'!$C$2:$C$270,MATCH(TRIM(B184),'CLM &amp; IM Mapping'!$A$2:$A$270,0)),"Not Mapped"))</f>
        <v>Un Mapped</v>
      </c>
      <c r="E184" s="13" t="s">
        <v>18</v>
      </c>
      <c r="F184" s="13" t="s">
        <v>298</v>
      </c>
      <c r="G184" s="13" t="s">
        <v>16</v>
      </c>
      <c r="H184" s="15" t="n">
        <v>4890</v>
      </c>
      <c r="I184" s="16" t="n">
        <v>0.38</v>
      </c>
      <c r="J184" s="16" t="n">
        <v>0.94</v>
      </c>
      <c r="K184" s="16" t="n">
        <v>0.98</v>
      </c>
      <c r="L184" s="16" t="n">
        <v>0.94</v>
      </c>
    </row>
    <row r="185" customFormat="false" ht="15.75" hidden="false" customHeight="false" outlineLevel="0" collapsed="false">
      <c r="B185" s="13" t="s">
        <v>214</v>
      </c>
      <c r="C185" s="14" t="str">
        <f aca="false">IF(B185="","",IFERROR(INDEX('CLM &amp; IM Mapping'!$B$2:$B$270,MATCH(TRIM(B185),'CLM &amp; IM Mapping'!$A$2:$A$270,0)),"Not Mapped"))</f>
        <v>Balaji G</v>
      </c>
      <c r="D185" s="14" t="str">
        <f aca="false">IF(B185="","",IFERROR(INDEX('CLM &amp; IM Mapping'!$C$2:$C$270,MATCH(TRIM(B185),'CLM &amp; IM Mapping'!$A$2:$A$270,0)),"Not Mapped"))</f>
        <v>Mohammed Akbar</v>
      </c>
      <c r="E185" s="13" t="s">
        <v>18</v>
      </c>
      <c r="F185" s="13" t="s">
        <v>298</v>
      </c>
      <c r="G185" s="13" t="s">
        <v>16</v>
      </c>
      <c r="H185" s="15" t="n">
        <v>5005</v>
      </c>
      <c r="I185" s="16" t="n">
        <v>0.99</v>
      </c>
      <c r="J185" s="16" t="n">
        <v>0.95</v>
      </c>
      <c r="K185" s="16" t="n">
        <v>0.99</v>
      </c>
      <c r="L185" s="13"/>
    </row>
    <row r="186" customFormat="false" ht="15.75" hidden="false" customHeight="false" outlineLevel="0" collapsed="false">
      <c r="B186" s="13" t="s">
        <v>211</v>
      </c>
      <c r="C186" s="14" t="str">
        <f aca="false">IF(B186="","",IFERROR(INDEX('CLM &amp; IM Mapping'!$B$2:$B$270,MATCH(TRIM(B186),'CLM &amp; IM Mapping'!$A$2:$A$270,0)),"Not Mapped"))</f>
        <v>Ashwath S</v>
      </c>
      <c r="D186" s="14" t="str">
        <f aca="false">IF(B186="","",IFERROR(INDEX('CLM &amp; IM Mapping'!$C$2:$C$270,MATCH(TRIM(B186),'CLM &amp; IM Mapping'!$A$2:$A$270,0)),"Not Mapped"))</f>
        <v>Kantha Kumar</v>
      </c>
      <c r="E186" s="13" t="s">
        <v>18</v>
      </c>
      <c r="F186" s="13" t="s">
        <v>298</v>
      </c>
      <c r="G186" s="13" t="s">
        <v>16</v>
      </c>
      <c r="H186" s="15" t="n">
        <v>5788</v>
      </c>
      <c r="I186" s="16" t="n">
        <v>0.88</v>
      </c>
      <c r="J186" s="16" t="n">
        <v>0.94</v>
      </c>
      <c r="K186" s="16" t="n">
        <v>0.99</v>
      </c>
      <c r="L186" s="16" t="n">
        <v>0.94</v>
      </c>
    </row>
    <row r="187" customFormat="false" ht="15.75" hidden="false" customHeight="false" outlineLevel="0" collapsed="false">
      <c r="B187" s="13" t="s">
        <v>212</v>
      </c>
      <c r="C187" s="14" t="str">
        <f aca="false">IF(B187="","",IFERROR(INDEX('CLM &amp; IM Mapping'!$B$2:$B$270,MATCH(TRIM(B187),'CLM &amp; IM Mapping'!$A$2:$A$270,0)),"Not Mapped"))</f>
        <v>Narasimhamurthy R</v>
      </c>
      <c r="D187" s="14" t="str">
        <f aca="false">IF(B187="","",IFERROR(INDEX('CLM &amp; IM Mapping'!$C$2:$C$270,MATCH(TRIM(B187),'CLM &amp; IM Mapping'!$A$2:$A$270,0)),"Not Mapped"))</f>
        <v>Kishor K</v>
      </c>
      <c r="E187" s="13" t="s">
        <v>18</v>
      </c>
      <c r="F187" s="13" t="s">
        <v>297</v>
      </c>
      <c r="G187" s="13" t="s">
        <v>16</v>
      </c>
      <c r="H187" s="15" t="n">
        <v>5477</v>
      </c>
      <c r="I187" s="16" t="n">
        <v>0.51</v>
      </c>
      <c r="J187" s="16" t="n">
        <v>0.89</v>
      </c>
      <c r="K187" s="16" t="n">
        <v>0.96</v>
      </c>
      <c r="L187" s="16" t="n">
        <v>0.89</v>
      </c>
    </row>
    <row r="188" customFormat="false" ht="15.75" hidden="false" customHeight="false" outlineLevel="0" collapsed="false">
      <c r="B188" s="13" t="s">
        <v>222</v>
      </c>
      <c r="C188" s="14" t="str">
        <f aca="false">IF(B188="","",IFERROR(INDEX('CLM &amp; IM Mapping'!$B$2:$B$270,MATCH(TRIM(B188),'CLM &amp; IM Mapping'!$A$2:$A$270,0)),"Not Mapped"))</f>
        <v>Sundaresh S</v>
      </c>
      <c r="D188" s="14" t="str">
        <f aca="false">IF(B188="","",IFERROR(INDEX('CLM &amp; IM Mapping'!$C$2:$C$270,MATCH(TRIM(B188),'CLM &amp; IM Mapping'!$A$2:$A$270,0)),"Not Mapped"))</f>
        <v>Un Mapped</v>
      </c>
      <c r="E188" s="13" t="s">
        <v>18</v>
      </c>
      <c r="F188" s="13" t="s">
        <v>297</v>
      </c>
      <c r="G188" s="13" t="s">
        <v>16</v>
      </c>
      <c r="H188" s="15" t="n">
        <v>6302</v>
      </c>
      <c r="I188" s="16" t="n">
        <v>0.82</v>
      </c>
      <c r="J188" s="16" t="n">
        <v>0.92</v>
      </c>
      <c r="K188" s="16" t="n">
        <v>0.98</v>
      </c>
      <c r="L188" s="16" t="n">
        <v>0.92</v>
      </c>
    </row>
    <row r="189" customFormat="false" ht="15.75" hidden="false" customHeight="false" outlineLevel="0" collapsed="false">
      <c r="B189" s="13" t="s">
        <v>220</v>
      </c>
      <c r="C189" s="14" t="str">
        <f aca="false">IF(B189="","",IFERROR(INDEX('CLM &amp; IM Mapping'!$B$2:$B$270,MATCH(TRIM(B189),'CLM &amp; IM Mapping'!$A$2:$A$270,0)),"Not Mapped"))</f>
        <v>Sundaresh S</v>
      </c>
      <c r="D189" s="14" t="str">
        <f aca="false">IF(B189="","",IFERROR(INDEX('CLM &amp; IM Mapping'!$C$2:$C$270,MATCH(TRIM(B189),'CLM &amp; IM Mapping'!$A$2:$A$270,0)),"Not Mapped"))</f>
        <v>Un Mapped</v>
      </c>
      <c r="E189" s="13" t="s">
        <v>18</v>
      </c>
      <c r="F189" s="13" t="s">
        <v>298</v>
      </c>
      <c r="G189" s="13" t="s">
        <v>16</v>
      </c>
      <c r="H189" s="15" t="n">
        <v>6559</v>
      </c>
      <c r="I189" s="16" t="n">
        <v>0.67</v>
      </c>
      <c r="J189" s="16" t="n">
        <v>0.94</v>
      </c>
      <c r="K189" s="16" t="n">
        <v>0.99</v>
      </c>
      <c r="L189" s="16" t="n">
        <v>0.94</v>
      </c>
    </row>
    <row r="190" customFormat="false" ht="15.75" hidden="false" customHeight="false" outlineLevel="0" collapsed="false">
      <c r="B190" s="13" t="s">
        <v>221</v>
      </c>
      <c r="C190" s="14" t="str">
        <f aca="false">IF(B190="","",IFERROR(INDEX('CLM &amp; IM Mapping'!$B$2:$B$270,MATCH(TRIM(B190),'CLM &amp; IM Mapping'!$A$2:$A$270,0)),"Not Mapped"))</f>
        <v>Balaji G</v>
      </c>
      <c r="D190" s="14" t="str">
        <f aca="false">IF(B190="","",IFERROR(INDEX('CLM &amp; IM Mapping'!$C$2:$C$270,MATCH(TRIM(B190),'CLM &amp; IM Mapping'!$A$2:$A$270,0)),"Not Mapped"))</f>
        <v>Mohammed Akbar</v>
      </c>
      <c r="E190" s="13" t="s">
        <v>18</v>
      </c>
      <c r="F190" s="13" t="s">
        <v>297</v>
      </c>
      <c r="G190" s="13" t="s">
        <v>16</v>
      </c>
      <c r="H190" s="15" t="n">
        <v>4658</v>
      </c>
      <c r="I190" s="16" t="n">
        <v>0.92</v>
      </c>
      <c r="J190" s="16" t="n">
        <v>0.88</v>
      </c>
      <c r="K190" s="16" t="n">
        <v>0.97</v>
      </c>
      <c r="L190" s="16" t="n">
        <v>0.88</v>
      </c>
    </row>
    <row r="191" customFormat="false" ht="15.75" hidden="false" customHeight="false" outlineLevel="0" collapsed="false">
      <c r="B191" s="13" t="s">
        <v>224</v>
      </c>
      <c r="C191" s="14" t="str">
        <f aca="false">IF(B191="","",IFERROR(INDEX('CLM &amp; IM Mapping'!$B$2:$B$270,MATCH(TRIM(B191),'CLM &amp; IM Mapping'!$A$2:$A$270,0)),"Not Mapped"))</f>
        <v>Balaji G</v>
      </c>
      <c r="D191" s="14" t="str">
        <f aca="false">IF(B191="","",IFERROR(INDEX('CLM &amp; IM Mapping'!$C$2:$C$270,MATCH(TRIM(B191),'CLM &amp; IM Mapping'!$A$2:$A$270,0)),"Not Mapped"))</f>
        <v>Mohammed Akbar</v>
      </c>
      <c r="E191" s="13" t="s">
        <v>18</v>
      </c>
      <c r="F191" s="13" t="s">
        <v>298</v>
      </c>
      <c r="G191" s="13" t="s">
        <v>16</v>
      </c>
      <c r="H191" s="15" t="n">
        <v>5689</v>
      </c>
      <c r="I191" s="16" t="n">
        <v>0.72</v>
      </c>
      <c r="J191" s="16" t="n">
        <v>0.88</v>
      </c>
      <c r="K191" s="16" t="n">
        <v>0.96</v>
      </c>
      <c r="L191" s="16" t="n">
        <v>0.88</v>
      </c>
    </row>
    <row r="192" customFormat="false" ht="15.75" hidden="false" customHeight="false" outlineLevel="0" collapsed="false">
      <c r="B192" s="13" t="s">
        <v>234</v>
      </c>
      <c r="C192" s="14" t="str">
        <f aca="false">IF(B192="","",IFERROR(INDEX('CLM &amp; IM Mapping'!$B$2:$B$270,MATCH(TRIM(B192),'CLM &amp; IM Mapping'!$A$2:$A$270,0)),"Not Mapped"))</f>
        <v>Silambarasan E</v>
      </c>
      <c r="D192" s="14" t="str">
        <f aca="false">IF(B192="","",IFERROR(INDEX('CLM &amp; IM Mapping'!$C$2:$C$270,MATCH(TRIM(B192),'CLM &amp; IM Mapping'!$A$2:$A$270,0)),"Not Mapped"))</f>
        <v>Arivind S</v>
      </c>
      <c r="E192" s="13" t="s">
        <v>18</v>
      </c>
      <c r="F192" s="13" t="s">
        <v>298</v>
      </c>
      <c r="G192" s="13" t="s">
        <v>16</v>
      </c>
      <c r="H192" s="15" t="n">
        <v>6001</v>
      </c>
      <c r="I192" s="16" t="n">
        <v>0.41</v>
      </c>
      <c r="J192" s="16" t="n">
        <v>0.81</v>
      </c>
      <c r="K192" s="16" t="n">
        <v>0.94</v>
      </c>
      <c r="L192" s="16" t="n">
        <v>0.81</v>
      </c>
    </row>
    <row r="193" customFormat="false" ht="15.75" hidden="false" customHeight="false" outlineLevel="0" collapsed="false">
      <c r="B193" s="13" t="s">
        <v>236</v>
      </c>
      <c r="C193" s="14" t="str">
        <f aca="false">IF(B193="","",IFERROR(INDEX('CLM &amp; IM Mapping'!$B$2:$B$270,MATCH(TRIM(B193),'CLM &amp; IM Mapping'!$A$2:$A$270,0)),"Not Mapped"))</f>
        <v>Balaji G</v>
      </c>
      <c r="D193" s="14" t="str">
        <f aca="false">IF(B193="","",IFERROR(INDEX('CLM &amp; IM Mapping'!$C$2:$C$270,MATCH(TRIM(B193),'CLM &amp; IM Mapping'!$A$2:$A$270,0)),"Not Mapped"))</f>
        <v>Mohammed Akbar</v>
      </c>
      <c r="E193" s="13" t="s">
        <v>18</v>
      </c>
      <c r="F193" s="13" t="s">
        <v>298</v>
      </c>
      <c r="G193" s="13" t="s">
        <v>16</v>
      </c>
      <c r="H193" s="15" t="n">
        <v>5336</v>
      </c>
      <c r="I193" s="16" t="n">
        <v>0.42</v>
      </c>
      <c r="J193" s="16" t="n">
        <v>0.79</v>
      </c>
      <c r="K193" s="16" t="n">
        <v>0.95</v>
      </c>
      <c r="L193" s="16" t="n">
        <v>0.79</v>
      </c>
    </row>
    <row r="194" customFormat="false" ht="15.75" hidden="false" customHeight="false" outlineLevel="0" collapsed="false">
      <c r="B194" s="13" t="s">
        <v>240</v>
      </c>
      <c r="C194" s="14" t="str">
        <f aca="false">IF(B194="","",IFERROR(INDEX('CLM &amp; IM Mapping'!$B$2:$B$270,MATCH(TRIM(B194),'CLM &amp; IM Mapping'!$A$2:$A$270,0)),"Not Mapped"))</f>
        <v>Richard Harris</v>
      </c>
      <c r="D194" s="14" t="str">
        <f aca="false">IF(B194="","",IFERROR(INDEX('CLM &amp; IM Mapping'!$C$2:$C$270,MATCH(TRIM(B194),'CLM &amp; IM Mapping'!$A$2:$A$270,0)),"Not Mapped"))</f>
        <v>Kantha Kumar</v>
      </c>
      <c r="E194" s="13" t="s">
        <v>18</v>
      </c>
      <c r="F194" s="13" t="s">
        <v>297</v>
      </c>
      <c r="G194" s="13" t="s">
        <v>16</v>
      </c>
      <c r="H194" s="15" t="n">
        <v>5086</v>
      </c>
      <c r="I194" s="16" t="n">
        <v>0.39</v>
      </c>
      <c r="J194" s="16" t="n">
        <v>0.84</v>
      </c>
      <c r="K194" s="16" t="n">
        <v>0.99</v>
      </c>
      <c r="L194" s="16" t="n">
        <v>0.84</v>
      </c>
    </row>
    <row r="195" customFormat="false" ht="15.75" hidden="false" customHeight="false" outlineLevel="0" collapsed="false">
      <c r="B195" s="13" t="s">
        <v>242</v>
      </c>
      <c r="C195" s="14" t="str">
        <f aca="false">IF(B195="","",IFERROR(INDEX('CLM &amp; IM Mapping'!$B$2:$B$270,MATCH(TRIM(B195),'CLM &amp; IM Mapping'!$A$2:$A$270,0)),"Not Mapped"))</f>
        <v>Ashwath S</v>
      </c>
      <c r="D195" s="14" t="str">
        <f aca="false">IF(B195="","",IFERROR(INDEX('CLM &amp; IM Mapping'!$C$2:$C$270,MATCH(TRIM(B195),'CLM &amp; IM Mapping'!$A$2:$A$270,0)),"Not Mapped"))</f>
        <v>Kantha Kumar</v>
      </c>
      <c r="E195" s="13" t="s">
        <v>18</v>
      </c>
      <c r="F195" s="13" t="s">
        <v>297</v>
      </c>
      <c r="G195" s="13" t="s">
        <v>16</v>
      </c>
      <c r="H195" s="15" t="n">
        <v>5785</v>
      </c>
      <c r="I195" s="16" t="n">
        <v>0.4</v>
      </c>
      <c r="J195" s="16" t="n">
        <v>0.76</v>
      </c>
      <c r="K195" s="16" t="n">
        <v>0.89</v>
      </c>
      <c r="L195" s="16" t="n">
        <v>0.76</v>
      </c>
    </row>
    <row r="196" customFormat="false" ht="15.75" hidden="false" customHeight="false" outlineLevel="0" collapsed="false">
      <c r="B196" s="13" t="s">
        <v>247</v>
      </c>
      <c r="C196" s="14" t="str">
        <f aca="false">IF(B196="","",IFERROR(INDEX('CLM &amp; IM Mapping'!$B$2:$B$270,MATCH(TRIM(B196),'CLM &amp; IM Mapping'!$A$2:$A$270,0)),"Not Mapped"))</f>
        <v>Manjunatha V</v>
      </c>
      <c r="D196" s="14" t="str">
        <f aca="false">IF(B196="","",IFERROR(INDEX('CLM &amp; IM Mapping'!$C$2:$C$270,MATCH(TRIM(B196),'CLM &amp; IM Mapping'!$A$2:$A$270,0)),"Not Mapped"))</f>
        <v>Un Mapped</v>
      </c>
      <c r="E196" s="13" t="s">
        <v>18</v>
      </c>
      <c r="F196" s="13" t="s">
        <v>297</v>
      </c>
      <c r="G196" s="13" t="s">
        <v>16</v>
      </c>
      <c r="H196" s="15" t="n">
        <v>5780</v>
      </c>
      <c r="I196" s="16" t="n">
        <v>0.65</v>
      </c>
      <c r="J196" s="16" t="n">
        <v>0.94</v>
      </c>
      <c r="K196" s="16" t="n">
        <v>0.99</v>
      </c>
      <c r="L196" s="16" t="n">
        <v>0.94</v>
      </c>
    </row>
    <row r="197" customFormat="false" ht="15.75" hidden="false" customHeight="false" outlineLevel="0" collapsed="false">
      <c r="B197" s="13" t="s">
        <v>244</v>
      </c>
      <c r="C197" s="14" t="str">
        <f aca="false">IF(B197="","",IFERROR(INDEX('CLM &amp; IM Mapping'!$B$2:$B$270,MATCH(TRIM(B197),'CLM &amp; IM Mapping'!$A$2:$A$270,0)),"Not Mapped"))</f>
        <v>Balaji G</v>
      </c>
      <c r="D197" s="14" t="str">
        <f aca="false">IF(B197="","",IFERROR(INDEX('CLM &amp; IM Mapping'!$C$2:$C$270,MATCH(TRIM(B197),'CLM &amp; IM Mapping'!$A$2:$A$270,0)),"Not Mapped"))</f>
        <v>Mohammed Akbar</v>
      </c>
      <c r="E197" s="13" t="s">
        <v>18</v>
      </c>
      <c r="F197" s="13" t="s">
        <v>298</v>
      </c>
      <c r="G197" s="13" t="s">
        <v>16</v>
      </c>
      <c r="H197" s="15" t="n">
        <v>6774</v>
      </c>
      <c r="I197" s="16" t="n">
        <v>0.76</v>
      </c>
      <c r="J197" s="16" t="n">
        <v>0.95</v>
      </c>
      <c r="K197" s="16" t="n">
        <v>0.97</v>
      </c>
      <c r="L197" s="13"/>
    </row>
    <row r="198" customFormat="false" ht="15.75" hidden="false" customHeight="false" outlineLevel="0" collapsed="false">
      <c r="B198" s="13" t="s">
        <v>248</v>
      </c>
      <c r="C198" s="14" t="str">
        <f aca="false">IF(B198="","",IFERROR(INDEX('CLM &amp; IM Mapping'!$B$2:$B$270,MATCH(TRIM(B198),'CLM &amp; IM Mapping'!$A$2:$A$270,0)),"Not Mapped"))</f>
        <v>Sundaresh S</v>
      </c>
      <c r="D198" s="14" t="str">
        <f aca="false">IF(B198="","",IFERROR(INDEX('CLM &amp; IM Mapping'!$C$2:$C$270,MATCH(TRIM(B198),'CLM &amp; IM Mapping'!$A$2:$A$270,0)),"Not Mapped"))</f>
        <v>Un Mapped</v>
      </c>
      <c r="E198" s="13" t="s">
        <v>18</v>
      </c>
      <c r="F198" s="13" t="s">
        <v>298</v>
      </c>
      <c r="G198" s="13" t="s">
        <v>16</v>
      </c>
      <c r="H198" s="15" t="n">
        <v>5933</v>
      </c>
      <c r="I198" s="16" t="n">
        <v>0.36</v>
      </c>
      <c r="J198" s="16" t="n">
        <v>0.85</v>
      </c>
      <c r="K198" s="16" t="n">
        <v>0.97</v>
      </c>
      <c r="L198" s="16" t="n">
        <v>0.85</v>
      </c>
    </row>
    <row r="199" customFormat="false" ht="15.75" hidden="false" customHeight="false" outlineLevel="0" collapsed="false">
      <c r="B199" s="13" t="s">
        <v>253</v>
      </c>
      <c r="C199" s="14" t="str">
        <f aca="false">IF(B199="","",IFERROR(INDEX('CLM &amp; IM Mapping'!$B$2:$B$270,MATCH(TRIM(B199),'CLM &amp; IM Mapping'!$A$2:$A$270,0)),"Not Mapped"))</f>
        <v>Girish N</v>
      </c>
      <c r="D199" s="14" t="str">
        <f aca="false">IF(B199="","",IFERROR(INDEX('CLM &amp; IM Mapping'!$C$2:$C$270,MATCH(TRIM(B199),'CLM &amp; IM Mapping'!$A$2:$A$270,0)),"Not Mapped"))</f>
        <v>Un Mapped</v>
      </c>
      <c r="E199" s="13" t="s">
        <v>18</v>
      </c>
      <c r="F199" s="13" t="s">
        <v>298</v>
      </c>
      <c r="G199" s="13" t="s">
        <v>16</v>
      </c>
      <c r="H199" s="15" t="n">
        <v>6163</v>
      </c>
      <c r="I199" s="16" t="n">
        <v>0.35</v>
      </c>
      <c r="J199" s="16" t="n">
        <v>0.72</v>
      </c>
      <c r="K199" s="16" t="n">
        <v>0.85</v>
      </c>
      <c r="L199" s="16" t="n">
        <v>0.72</v>
      </c>
    </row>
    <row r="200" customFormat="false" ht="15.75" hidden="false" customHeight="false" outlineLevel="0" collapsed="false">
      <c r="B200" s="13" t="s">
        <v>256</v>
      </c>
      <c r="C200" s="14" t="str">
        <f aca="false">IF(B200="","",IFERROR(INDEX('CLM &amp; IM Mapping'!$B$2:$B$270,MATCH(TRIM(B200),'CLM &amp; IM Mapping'!$A$2:$A$270,0)),"Not Mapped"))</f>
        <v>Raghavendra Vernekar</v>
      </c>
      <c r="D200" s="14" t="str">
        <f aca="false">IF(B200="","",IFERROR(INDEX('CLM &amp; IM Mapping'!$C$2:$C$270,MATCH(TRIM(B200),'CLM &amp; IM Mapping'!$A$2:$A$270,0)),"Not Mapped"))</f>
        <v>Prakash BS</v>
      </c>
      <c r="E200" s="13" t="s">
        <v>18</v>
      </c>
      <c r="F200" s="13" t="s">
        <v>298</v>
      </c>
      <c r="G200" s="13" t="s">
        <v>16</v>
      </c>
      <c r="H200" s="15" t="n">
        <v>5097</v>
      </c>
      <c r="I200" s="16" t="n">
        <v>0.62</v>
      </c>
      <c r="J200" s="16" t="n">
        <v>0.79</v>
      </c>
      <c r="K200" s="16" t="n">
        <v>0.95</v>
      </c>
      <c r="L200" s="16" t="n">
        <v>0.79</v>
      </c>
    </row>
    <row r="201" customFormat="false" ht="15.75" hidden="false" customHeight="false" outlineLevel="0" collapsed="false">
      <c r="B201" s="13" t="s">
        <v>263</v>
      </c>
      <c r="C201" s="14" t="str">
        <f aca="false">IF(B201="","",IFERROR(INDEX('CLM &amp; IM Mapping'!$B$2:$B$270,MATCH(TRIM(B201),'CLM &amp; IM Mapping'!$A$2:$A$270,0)),"Not Mapped"))</f>
        <v>Silambarasan E</v>
      </c>
      <c r="D201" s="14" t="str">
        <f aca="false">IF(B201="","",IFERROR(INDEX('CLM &amp; IM Mapping'!$C$2:$C$270,MATCH(TRIM(B201),'CLM &amp; IM Mapping'!$A$2:$A$270,0)),"Not Mapped"))</f>
        <v>Arivind S</v>
      </c>
      <c r="E201" s="13" t="s">
        <v>18</v>
      </c>
      <c r="F201" s="13" t="s">
        <v>298</v>
      </c>
      <c r="G201" s="13" t="s">
        <v>16</v>
      </c>
      <c r="H201" s="15" t="n">
        <v>5558</v>
      </c>
      <c r="I201" s="16" t="n">
        <v>0.39</v>
      </c>
      <c r="J201" s="16" t="n">
        <v>0.81</v>
      </c>
      <c r="K201" s="16" t="n">
        <v>0.96</v>
      </c>
      <c r="L201" s="16" t="n">
        <v>0.81</v>
      </c>
    </row>
    <row r="202" customFormat="false" ht="15.75" hidden="false" customHeight="false" outlineLevel="0" collapsed="false">
      <c r="B202" s="13" t="s">
        <v>262</v>
      </c>
      <c r="C202" s="14" t="str">
        <f aca="false">IF(B202="","",IFERROR(INDEX('CLM &amp; IM Mapping'!$B$2:$B$270,MATCH(TRIM(B202),'CLM &amp; IM Mapping'!$A$2:$A$270,0)),"Not Mapped"))</f>
        <v>Raghavendra Vernekar</v>
      </c>
      <c r="D202" s="14" t="str">
        <f aca="false">IF(B202="","",IFERROR(INDEX('CLM &amp; IM Mapping'!$C$2:$C$270,MATCH(TRIM(B202),'CLM &amp; IM Mapping'!$A$2:$A$270,0)),"Not Mapped"))</f>
        <v>Prakash BS</v>
      </c>
      <c r="E202" s="13" t="s">
        <v>18</v>
      </c>
      <c r="F202" s="13" t="s">
        <v>298</v>
      </c>
      <c r="G202" s="13" t="s">
        <v>16</v>
      </c>
      <c r="H202" s="15" t="n">
        <v>8294</v>
      </c>
      <c r="I202" s="16" t="n">
        <v>0.56</v>
      </c>
      <c r="J202" s="16" t="n">
        <v>0.82</v>
      </c>
      <c r="K202" s="16" t="n">
        <v>0.94</v>
      </c>
      <c r="L202" s="16" t="n">
        <v>0.82</v>
      </c>
    </row>
    <row r="203" customFormat="false" ht="15.75" hidden="false" customHeight="false" outlineLevel="0" collapsed="false">
      <c r="B203" s="13" t="s">
        <v>265</v>
      </c>
      <c r="C203" s="14" t="str">
        <f aca="false">IF(B203="","",IFERROR(INDEX('CLM &amp; IM Mapping'!$B$2:$B$270,MATCH(TRIM(B203),'CLM &amp; IM Mapping'!$A$2:$A$270,0)),"Not Mapped"))</f>
        <v>Arun Raj</v>
      </c>
      <c r="D203" s="14" t="str">
        <f aca="false">IF(B203="","",IFERROR(INDEX('CLM &amp; IM Mapping'!$C$2:$C$270,MATCH(TRIM(B203),'CLM &amp; IM Mapping'!$A$2:$A$270,0)),"Not Mapped"))</f>
        <v>Simon Manoharan</v>
      </c>
      <c r="E203" s="13" t="s">
        <v>22</v>
      </c>
      <c r="F203" s="13" t="s">
        <v>297</v>
      </c>
      <c r="G203" s="13" t="s">
        <v>16</v>
      </c>
      <c r="H203" s="15" t="n">
        <v>12271</v>
      </c>
      <c r="I203" s="16" t="n">
        <v>0.3</v>
      </c>
      <c r="J203" s="16" t="n">
        <v>0.99</v>
      </c>
      <c r="K203" s="16" t="n">
        <v>1</v>
      </c>
      <c r="L203" s="16" t="n">
        <v>0.99</v>
      </c>
    </row>
    <row r="204" customFormat="false" ht="15.75" hidden="false" customHeight="false" outlineLevel="0" collapsed="false">
      <c r="B204" s="13" t="s">
        <v>268</v>
      </c>
      <c r="C204" s="14" t="str">
        <f aca="false">IF(B204="","",IFERROR(INDEX('CLM &amp; IM Mapping'!$B$2:$B$270,MATCH(TRIM(B204),'CLM &amp; IM Mapping'!$A$2:$A$270,0)),"Not Mapped"))</f>
        <v>Arun Raj</v>
      </c>
      <c r="D204" s="14" t="str">
        <f aca="false">IF(B204="","",IFERROR(INDEX('CLM &amp; IM Mapping'!$C$2:$C$270,MATCH(TRIM(B204),'CLM &amp; IM Mapping'!$A$2:$A$270,0)),"Not Mapped"))</f>
        <v>Simon Manoharan</v>
      </c>
      <c r="E204" s="13" t="s">
        <v>22</v>
      </c>
      <c r="F204" s="13" t="s">
        <v>297</v>
      </c>
      <c r="G204" s="13" t="s">
        <v>16</v>
      </c>
      <c r="H204" s="15" t="n">
        <v>12266</v>
      </c>
      <c r="I204" s="16" t="n">
        <v>0.37</v>
      </c>
      <c r="J204" s="16" t="n">
        <v>0.97</v>
      </c>
      <c r="K204" s="16" t="n">
        <v>0.99</v>
      </c>
      <c r="L204" s="16" t="n">
        <v>0.97</v>
      </c>
    </row>
    <row r="205" customFormat="false" ht="15.75" hidden="false" customHeight="false" outlineLevel="0" collapsed="false">
      <c r="B205" s="13" t="s">
        <v>271</v>
      </c>
      <c r="C205" s="14" t="str">
        <f aca="false">IF(B205="","",IFERROR(INDEX('CLM &amp; IM Mapping'!$B$2:$B$270,MATCH(TRIM(B205),'CLM &amp; IM Mapping'!$A$2:$A$270,0)),"Not Mapped"))</f>
        <v>Ashwath S</v>
      </c>
      <c r="D205" s="14" t="str">
        <f aca="false">IF(B205="","",IFERROR(INDEX('CLM &amp; IM Mapping'!$C$2:$C$270,MATCH(TRIM(B205),'CLM &amp; IM Mapping'!$A$2:$A$270,0)),"Not Mapped"))</f>
        <v>Kantha Kumar</v>
      </c>
      <c r="E205" s="13" t="s">
        <v>18</v>
      </c>
      <c r="F205" s="13" t="s">
        <v>297</v>
      </c>
      <c r="G205" s="13" t="s">
        <v>16</v>
      </c>
      <c r="H205" s="15" t="n">
        <v>5484</v>
      </c>
      <c r="I205" s="16" t="n">
        <v>0.38</v>
      </c>
      <c r="J205" s="16" t="n">
        <v>0.87</v>
      </c>
      <c r="K205" s="16" t="n">
        <v>0.93</v>
      </c>
      <c r="L205" s="16" t="n">
        <v>0.87</v>
      </c>
    </row>
    <row r="206" customFormat="false" ht="15.75" hidden="false" customHeight="false" outlineLevel="0" collapsed="false">
      <c r="B206" s="13" t="s">
        <v>272</v>
      </c>
      <c r="C206" s="14" t="str">
        <f aca="false">IF(B206="","",IFERROR(INDEX('CLM &amp; IM Mapping'!$B$2:$B$270,MATCH(TRIM(B206),'CLM &amp; IM Mapping'!$A$2:$A$270,0)),"Not Mapped"))</f>
        <v>Arun Raj</v>
      </c>
      <c r="D206" s="14" t="str">
        <f aca="false">IF(B206="","",IFERROR(INDEX('CLM &amp; IM Mapping'!$C$2:$C$270,MATCH(TRIM(B206),'CLM &amp; IM Mapping'!$A$2:$A$270,0)),"Not Mapped"))</f>
        <v>Simon Manoharan</v>
      </c>
      <c r="E206" s="13" t="s">
        <v>22</v>
      </c>
      <c r="F206" s="13" t="s">
        <v>297</v>
      </c>
      <c r="G206" s="13" t="s">
        <v>16</v>
      </c>
      <c r="H206" s="15" t="n">
        <v>12050</v>
      </c>
      <c r="I206" s="16" t="n">
        <v>0.34</v>
      </c>
      <c r="J206" s="16" t="n">
        <v>0.98</v>
      </c>
      <c r="K206" s="16" t="n">
        <v>1</v>
      </c>
      <c r="L206" s="16" t="n">
        <v>0.98</v>
      </c>
    </row>
    <row r="207" customFormat="false" ht="15.75" hidden="false" customHeight="false" outlineLevel="0" collapsed="false">
      <c r="B207" s="13" t="s">
        <v>276</v>
      </c>
      <c r="C207" s="14" t="str">
        <f aca="false">IF(B207="","",IFERROR(INDEX('CLM &amp; IM Mapping'!$B$2:$B$270,MATCH(TRIM(B207),'CLM &amp; IM Mapping'!$A$2:$A$270,0)),"Not Mapped"))</f>
        <v>Manjunatha V</v>
      </c>
      <c r="D207" s="14" t="str">
        <f aca="false">IF(B207="","",IFERROR(INDEX('CLM &amp; IM Mapping'!$C$2:$C$270,MATCH(TRIM(B207),'CLM &amp; IM Mapping'!$A$2:$A$270,0)),"Not Mapped"))</f>
        <v>Un Mapped</v>
      </c>
      <c r="E207" s="13" t="s">
        <v>18</v>
      </c>
      <c r="F207" s="13" t="s">
        <v>297</v>
      </c>
      <c r="G207" s="13" t="s">
        <v>16</v>
      </c>
      <c r="H207" s="15" t="n">
        <v>5022</v>
      </c>
      <c r="I207" s="16" t="n">
        <v>0.5</v>
      </c>
      <c r="J207" s="16" t="n">
        <v>0.79</v>
      </c>
      <c r="K207" s="16" t="n">
        <v>0.93</v>
      </c>
      <c r="L207" s="16" t="n">
        <v>0.79</v>
      </c>
    </row>
    <row r="208" customFormat="false" ht="15.75" hidden="false" customHeight="false" outlineLevel="0" collapsed="false">
      <c r="B208" s="13" t="s">
        <v>285</v>
      </c>
      <c r="C208" s="14" t="str">
        <f aca="false">IF(B208="","",IFERROR(INDEX('CLM &amp; IM Mapping'!$B$2:$B$270,MATCH(TRIM(B208),'CLM &amp; IM Mapping'!$A$2:$A$270,0)),"Not Mapped"))</f>
        <v>Adhavan Subramani</v>
      </c>
      <c r="D208" s="14" t="str">
        <f aca="false">IF(B208="","",IFERROR(INDEX('CLM &amp; IM Mapping'!$C$2:$C$270,MATCH(TRIM(B208),'CLM &amp; IM Mapping'!$A$2:$A$270,0)),"Not Mapped"))</f>
        <v>Mohammed Akbar</v>
      </c>
      <c r="E208" s="13" t="s">
        <v>18</v>
      </c>
      <c r="F208" s="13" t="s">
        <v>298</v>
      </c>
      <c r="G208" s="13" t="s">
        <v>16</v>
      </c>
      <c r="H208" s="15" t="n">
        <v>5790</v>
      </c>
      <c r="I208" s="16" t="n">
        <v>0.38</v>
      </c>
      <c r="J208" s="16" t="n">
        <v>0.97</v>
      </c>
      <c r="K208" s="16" t="n">
        <v>0.82</v>
      </c>
      <c r="L208" s="13"/>
    </row>
    <row r="209" customFormat="false" ht="15.75" hidden="false" customHeight="false" outlineLevel="0" collapsed="false">
      <c r="B209" s="13" t="s">
        <v>277</v>
      </c>
      <c r="C209" s="14" t="str">
        <f aca="false">IF(B209="","",IFERROR(INDEX('CLM &amp; IM Mapping'!$B$2:$B$270,MATCH(TRIM(B209),'CLM &amp; IM Mapping'!$A$2:$A$270,0)),"Not Mapped"))</f>
        <v>Silambarasan E</v>
      </c>
      <c r="D209" s="14" t="str">
        <f aca="false">IF(B209="","",IFERROR(INDEX('CLM &amp; IM Mapping'!$C$2:$C$270,MATCH(TRIM(B209),'CLM &amp; IM Mapping'!$A$2:$A$270,0)),"Not Mapped"))</f>
        <v>Arivind S</v>
      </c>
      <c r="E209" s="13" t="s">
        <v>18</v>
      </c>
      <c r="F209" s="13" t="s">
        <v>298</v>
      </c>
      <c r="G209" s="13" t="s">
        <v>16</v>
      </c>
      <c r="H209" s="15" t="n">
        <v>5228</v>
      </c>
      <c r="I209" s="16" t="n">
        <v>0.48</v>
      </c>
      <c r="J209" s="16" t="n">
        <v>0.86</v>
      </c>
      <c r="K209" s="16" t="n">
        <v>0.97</v>
      </c>
      <c r="L209" s="16" t="n">
        <v>0.86</v>
      </c>
    </row>
    <row r="210" customFormat="false" ht="15.75" hidden="false" customHeight="false" outlineLevel="0" collapsed="false">
      <c r="B210" s="13" t="s">
        <v>280</v>
      </c>
      <c r="C210" s="14" t="str">
        <f aca="false">IF(B210="","",IFERROR(INDEX('CLM &amp; IM Mapping'!$B$2:$B$270,MATCH(TRIM(B210),'CLM &amp; IM Mapping'!$A$2:$A$270,0)),"Not Mapped"))</f>
        <v>Adhavan Subramani</v>
      </c>
      <c r="D210" s="14" t="str">
        <f aca="false">IF(B210="","",IFERROR(INDEX('CLM &amp; IM Mapping'!$C$2:$C$270,MATCH(TRIM(B210),'CLM &amp; IM Mapping'!$A$2:$A$270,0)),"Not Mapped"))</f>
        <v>Mohammed Akbar</v>
      </c>
      <c r="E210" s="13" t="s">
        <v>18</v>
      </c>
      <c r="F210" s="13" t="s">
        <v>297</v>
      </c>
      <c r="G210" s="13" t="s">
        <v>16</v>
      </c>
      <c r="H210" s="15" t="n">
        <v>12257</v>
      </c>
      <c r="I210" s="16" t="n">
        <v>0.4</v>
      </c>
      <c r="J210" s="16" t="n">
        <v>0.97</v>
      </c>
      <c r="K210" s="16" t="n">
        <v>0.99</v>
      </c>
      <c r="L210" s="13"/>
    </row>
    <row r="211" customFormat="false" ht="15.75" hidden="false" customHeight="false" outlineLevel="0" collapsed="false">
      <c r="B211" s="13" t="s">
        <v>278</v>
      </c>
      <c r="C211" s="14" t="str">
        <f aca="false">IF(B211="","",IFERROR(INDEX('CLM &amp; IM Mapping'!$B$2:$B$270,MATCH(TRIM(B211),'CLM &amp; IM Mapping'!$A$2:$A$270,0)),"Not Mapped"))</f>
        <v>Adhavan Subramani</v>
      </c>
      <c r="D211" s="14" t="str">
        <f aca="false">IF(B211="","",IFERROR(INDEX('CLM &amp; IM Mapping'!$C$2:$C$270,MATCH(TRIM(B211),'CLM &amp; IM Mapping'!$A$2:$A$270,0)),"Not Mapped"))</f>
        <v>Mohammed Akbar</v>
      </c>
      <c r="E211" s="13" t="s">
        <v>18</v>
      </c>
      <c r="F211" s="13" t="s">
        <v>298</v>
      </c>
      <c r="G211" s="13" t="s">
        <v>16</v>
      </c>
      <c r="H211" s="15" t="n">
        <v>6332</v>
      </c>
      <c r="I211" s="16" t="n">
        <v>0.32</v>
      </c>
      <c r="J211" s="16" t="n">
        <v>0.7</v>
      </c>
      <c r="K211" s="16" t="n">
        <v>0.84</v>
      </c>
      <c r="L211" s="16" t="n">
        <v>0.7</v>
      </c>
    </row>
    <row r="212" customFormat="false" ht="15.75" hidden="false" customHeight="false" outlineLevel="0" collapsed="false">
      <c r="B212" s="13" t="s">
        <v>135</v>
      </c>
      <c r="C212" s="14" t="str">
        <f aca="false">IF(B212="","",IFERROR(INDEX('CLM &amp; IM Mapping'!$B$2:$B$270,MATCH(TRIM(B212),'CLM &amp; IM Mapping'!$A$2:$A$270,0)),"Not Mapped"))</f>
        <v>John Britto</v>
      </c>
      <c r="D212" s="14" t="str">
        <f aca="false">IF(B212="","",IFERROR(INDEX('CLM &amp; IM Mapping'!$C$2:$C$270,MATCH(TRIM(B212),'CLM &amp; IM Mapping'!$A$2:$A$270,0)),"Not Mapped"))</f>
        <v>Aravind S</v>
      </c>
      <c r="E212" s="13" t="s">
        <v>18</v>
      </c>
      <c r="F212" s="13" t="s">
        <v>298</v>
      </c>
      <c r="G212" s="13" t="s">
        <v>47</v>
      </c>
      <c r="H212" s="15" t="n">
        <v>6188</v>
      </c>
      <c r="I212" s="16" t="n">
        <v>0.1</v>
      </c>
      <c r="J212" s="16" t="n">
        <v>0.81</v>
      </c>
      <c r="K212" s="16" t="n">
        <v>0.98</v>
      </c>
      <c r="L212" s="16" t="n">
        <v>0.35</v>
      </c>
    </row>
    <row r="213" customFormat="false" ht="15.75" hidden="false" customHeight="false" outlineLevel="0" collapsed="false">
      <c r="B213" s="13" t="s">
        <v>152</v>
      </c>
      <c r="C213" s="14" t="str">
        <f aca="false">IF(B213="","",IFERROR(INDEX('CLM &amp; IM Mapping'!$B$2:$B$270,MATCH(TRIM(B213),'CLM &amp; IM Mapping'!$A$2:$A$270,0)),"Not Mapped"))</f>
        <v>John Britto</v>
      </c>
      <c r="D213" s="14" t="str">
        <f aca="false">IF(B213="","",IFERROR(INDEX('CLM &amp; IM Mapping'!$C$2:$C$270,MATCH(TRIM(B213),'CLM &amp; IM Mapping'!$A$2:$A$270,0)),"Not Mapped"))</f>
        <v>Aravind S</v>
      </c>
      <c r="E213" s="13" t="s">
        <v>18</v>
      </c>
      <c r="F213" s="13" t="s">
        <v>298</v>
      </c>
      <c r="G213" s="13" t="s">
        <v>47</v>
      </c>
      <c r="H213" s="15" t="n">
        <v>6707</v>
      </c>
      <c r="I213" s="16" t="n">
        <v>0.27</v>
      </c>
      <c r="J213" s="16" t="n">
        <v>0.82</v>
      </c>
      <c r="K213" s="16" t="n">
        <v>0.95</v>
      </c>
      <c r="L213" s="16" t="n">
        <v>0.82</v>
      </c>
    </row>
    <row r="214" customFormat="false" ht="15.75" hidden="false" customHeight="false" outlineLevel="0" collapsed="false">
      <c r="B214" s="13" t="s">
        <v>170</v>
      </c>
      <c r="C214" s="14" t="str">
        <f aca="false">IF(B214="","",IFERROR(INDEX('CLM &amp; IM Mapping'!$B$2:$B$270,MATCH(TRIM(B214),'CLM &amp; IM Mapping'!$A$2:$A$270,0)),"Not Mapped"))</f>
        <v>John Britto</v>
      </c>
      <c r="D214" s="14" t="str">
        <f aca="false">IF(B214="","",IFERROR(INDEX('CLM &amp; IM Mapping'!$C$2:$C$270,MATCH(TRIM(B214),'CLM &amp; IM Mapping'!$A$2:$A$270,0)),"Not Mapped"))</f>
        <v>Aravind S</v>
      </c>
      <c r="E214" s="13" t="s">
        <v>18</v>
      </c>
      <c r="F214" s="13" t="s">
        <v>298</v>
      </c>
      <c r="G214" s="13" t="s">
        <v>47</v>
      </c>
      <c r="H214" s="15" t="n">
        <v>7099</v>
      </c>
      <c r="I214" s="16" t="n">
        <v>0.21</v>
      </c>
      <c r="J214" s="16" t="n">
        <v>0.96</v>
      </c>
      <c r="K214" s="16" t="n">
        <v>0.97</v>
      </c>
      <c r="L214" s="16" t="n">
        <v>0.9</v>
      </c>
    </row>
    <row r="215" customFormat="false" ht="15.75" hidden="false" customHeight="false" outlineLevel="0" collapsed="false">
      <c r="B215" s="13" t="s">
        <v>179</v>
      </c>
      <c r="C215" s="14" t="str">
        <f aca="false">IF(B215="","",IFERROR(INDEX('CLM &amp; IM Mapping'!$B$2:$B$270,MATCH(TRIM(B215),'CLM &amp; IM Mapping'!$A$2:$A$270,0)),"Not Mapped"))</f>
        <v>John Britto</v>
      </c>
      <c r="D215" s="14" t="str">
        <f aca="false">IF(B215="","",IFERROR(INDEX('CLM &amp; IM Mapping'!$C$2:$C$270,MATCH(TRIM(B215),'CLM &amp; IM Mapping'!$A$2:$A$270,0)),"Not Mapped"))</f>
        <v>Aravind S</v>
      </c>
      <c r="E215" s="13" t="s">
        <v>18</v>
      </c>
      <c r="F215" s="13" t="s">
        <v>298</v>
      </c>
      <c r="G215" s="13" t="s">
        <v>47</v>
      </c>
      <c r="H215" s="15" t="n">
        <v>6791</v>
      </c>
      <c r="I215" s="16" t="n">
        <v>0.14</v>
      </c>
      <c r="J215" s="16" t="n">
        <v>0.98</v>
      </c>
      <c r="K215" s="16" t="n">
        <v>1</v>
      </c>
      <c r="L215" s="13"/>
    </row>
    <row r="216" customFormat="false" ht="15.75" hidden="false" customHeight="false" outlineLevel="0" collapsed="false">
      <c r="B216" s="13" t="s">
        <v>219</v>
      </c>
      <c r="C216" s="14" t="str">
        <f aca="false">IF(B216="","",IFERROR(INDEX('CLM &amp; IM Mapping'!$B$2:$B$270,MATCH(TRIM(B216),'CLM &amp; IM Mapping'!$A$2:$A$270,0)),"Not Mapped"))</f>
        <v>John Britto</v>
      </c>
      <c r="D216" s="14" t="str">
        <f aca="false">IF(B216="","",IFERROR(INDEX('CLM &amp; IM Mapping'!$C$2:$C$270,MATCH(TRIM(B216),'CLM &amp; IM Mapping'!$A$2:$A$270,0)),"Not Mapped"))</f>
        <v>Aravind S</v>
      </c>
      <c r="E216" s="13" t="s">
        <v>18</v>
      </c>
      <c r="F216" s="13" t="s">
        <v>298</v>
      </c>
      <c r="G216" s="13" t="s">
        <v>47</v>
      </c>
      <c r="H216" s="15" t="n">
        <v>5602</v>
      </c>
      <c r="I216" s="16" t="n">
        <v>0.79</v>
      </c>
      <c r="J216" s="16" t="n">
        <v>0.89</v>
      </c>
      <c r="K216" s="16" t="n">
        <v>0.98</v>
      </c>
      <c r="L216" s="16" t="n">
        <v>0.89</v>
      </c>
    </row>
    <row r="217" customFormat="false" ht="15.75" hidden="false" customHeight="false" outlineLevel="0" collapsed="false">
      <c r="B217" s="13" t="s">
        <v>259</v>
      </c>
      <c r="C217" s="14" t="str">
        <f aca="false">IF(B217="","",IFERROR(INDEX('CLM &amp; IM Mapping'!$B$2:$B$270,MATCH(TRIM(B217),'CLM &amp; IM Mapping'!$A$2:$A$270,0)),"Not Mapped"))</f>
        <v>John Britto</v>
      </c>
      <c r="D217" s="14" t="str">
        <f aca="false">IF(B217="","",IFERROR(INDEX('CLM &amp; IM Mapping'!$C$2:$C$270,MATCH(TRIM(B217),'CLM &amp; IM Mapping'!$A$2:$A$270,0)),"Not Mapped"))</f>
        <v>Aravind S</v>
      </c>
      <c r="E217" s="13" t="s">
        <v>18</v>
      </c>
      <c r="F217" s="13" t="s">
        <v>298</v>
      </c>
      <c r="G217" s="13" t="s">
        <v>47</v>
      </c>
      <c r="H217" s="15" t="n">
        <v>5441</v>
      </c>
      <c r="I217" s="16" t="n">
        <v>0.39</v>
      </c>
      <c r="J217" s="16" t="n">
        <v>0.84</v>
      </c>
      <c r="K217" s="16" t="n">
        <v>0.97</v>
      </c>
      <c r="L217" s="16" t="n">
        <v>0.84</v>
      </c>
    </row>
    <row r="218" customFormat="false" ht="15.75" hidden="false" customHeight="false" outlineLevel="0" collapsed="false">
      <c r="B218" s="13" t="s">
        <v>48</v>
      </c>
      <c r="C218" s="14" t="str">
        <f aca="false">IF(B218="","",IFERROR(INDEX('CLM &amp; IM Mapping'!$B$2:$B$270,MATCH(TRIM(B218),'CLM &amp; IM Mapping'!$A$2:$A$270,0)),"Not Mapped"))</f>
        <v>John Britto</v>
      </c>
      <c r="D218" s="14" t="str">
        <f aca="false">IF(B218="","",IFERROR(INDEX('CLM &amp; IM Mapping'!$C$2:$C$270,MATCH(TRIM(B218),'CLM &amp; IM Mapping'!$A$2:$A$270,0)),"Not Mapped"))</f>
        <v>Aravind S</v>
      </c>
      <c r="E218" s="13" t="s">
        <v>18</v>
      </c>
      <c r="F218" s="13" t="s">
        <v>298</v>
      </c>
      <c r="G218" s="13" t="s">
        <v>47</v>
      </c>
      <c r="H218" s="15" t="n">
        <v>6277</v>
      </c>
      <c r="I218" s="16" t="n">
        <v>0.1</v>
      </c>
      <c r="J218" s="16" t="n">
        <v>0.81</v>
      </c>
      <c r="K218" s="16" t="n">
        <v>0.97</v>
      </c>
      <c r="L218" s="16" t="n">
        <v>0.37</v>
      </c>
    </row>
    <row r="219" customFormat="false" ht="15.75" hidden="false" customHeight="false" outlineLevel="0" collapsed="false">
      <c r="B219" s="13" t="s">
        <v>88</v>
      </c>
      <c r="C219" s="14" t="str">
        <f aca="false">IF(B219="","",IFERROR(INDEX('CLM &amp; IM Mapping'!$B$2:$B$270,MATCH(TRIM(B219),'CLM &amp; IM Mapping'!$A$2:$A$270,0)),"Not Mapped"))</f>
        <v>John Britto</v>
      </c>
      <c r="D219" s="14" t="str">
        <f aca="false">IF(B219="","",IFERROR(INDEX('CLM &amp; IM Mapping'!$C$2:$C$270,MATCH(TRIM(B219),'CLM &amp; IM Mapping'!$A$2:$A$270,0)),"Not Mapped"))</f>
        <v>Aravind S</v>
      </c>
      <c r="E219" s="13" t="s">
        <v>18</v>
      </c>
      <c r="F219" s="13" t="s">
        <v>298</v>
      </c>
      <c r="G219" s="13" t="s">
        <v>47</v>
      </c>
      <c r="H219" s="15" t="n">
        <v>7163</v>
      </c>
      <c r="I219" s="16" t="n">
        <v>0.18</v>
      </c>
      <c r="J219" s="16" t="n">
        <v>0.91</v>
      </c>
      <c r="K219" s="16" t="n">
        <v>0.97</v>
      </c>
      <c r="L219" s="16" t="n">
        <v>0.72</v>
      </c>
    </row>
    <row r="220" customFormat="false" ht="15.75" hidden="false" customHeight="false" outlineLevel="0" collapsed="false">
      <c r="B220" s="13" t="s">
        <v>217</v>
      </c>
      <c r="C220" s="14" t="str">
        <f aca="false">IF(B220="","",IFERROR(INDEX('CLM &amp; IM Mapping'!$B$2:$B$270,MATCH(TRIM(B220),'CLM &amp; IM Mapping'!$A$2:$A$270,0)),"Not Mapped"))</f>
        <v>John Britto</v>
      </c>
      <c r="D220" s="14" t="str">
        <f aca="false">IF(B220="","",IFERROR(INDEX('CLM &amp; IM Mapping'!$C$2:$C$270,MATCH(TRIM(B220),'CLM &amp; IM Mapping'!$A$2:$A$270,0)),"Not Mapped"))</f>
        <v>Aravind S</v>
      </c>
      <c r="E220" s="13" t="s">
        <v>18</v>
      </c>
      <c r="F220" s="13" t="s">
        <v>298</v>
      </c>
      <c r="G220" s="13" t="s">
        <v>47</v>
      </c>
      <c r="H220" s="15" t="n">
        <v>5043</v>
      </c>
      <c r="I220" s="16" t="n">
        <v>0.8</v>
      </c>
      <c r="J220" s="16" t="n">
        <v>0.84</v>
      </c>
      <c r="K220" s="16" t="n">
        <v>0.96</v>
      </c>
      <c r="L220" s="16" t="n">
        <v>0.84</v>
      </c>
    </row>
    <row r="221" customFormat="false" ht="15.75" hidden="false" customHeight="false" outlineLevel="0" collapsed="false">
      <c r="B221" s="13" t="s">
        <v>250</v>
      </c>
      <c r="C221" s="14" t="str">
        <f aca="false">IF(B221="","",IFERROR(INDEX('CLM &amp; IM Mapping'!$B$2:$B$270,MATCH(TRIM(B221),'CLM &amp; IM Mapping'!$A$2:$A$270,0)),"Not Mapped"))</f>
        <v>John Britto</v>
      </c>
      <c r="D221" s="14" t="str">
        <f aca="false">IF(B221="","",IFERROR(INDEX('CLM &amp; IM Mapping'!$C$2:$C$270,MATCH(TRIM(B221),'CLM &amp; IM Mapping'!$A$2:$A$270,0)),"Not Mapped"))</f>
        <v>Aravind S</v>
      </c>
      <c r="E221" s="13" t="s">
        <v>18</v>
      </c>
      <c r="F221" s="13" t="s">
        <v>298</v>
      </c>
      <c r="G221" s="13" t="s">
        <v>47</v>
      </c>
      <c r="H221" s="15" t="n">
        <v>5114</v>
      </c>
      <c r="I221" s="16" t="n">
        <v>0.07</v>
      </c>
      <c r="J221" s="16" t="n">
        <v>0.94</v>
      </c>
      <c r="K221" s="16" t="n">
        <v>0.96</v>
      </c>
      <c r="L221" s="16" t="n">
        <v>0.31</v>
      </c>
    </row>
    <row r="222" customFormat="false" ht="15.75" hidden="false" customHeight="false" outlineLevel="0" collapsed="false">
      <c r="B222" s="13" t="s">
        <v>229</v>
      </c>
      <c r="C222" s="14" t="str">
        <f aca="false">IF(B222="","",IFERROR(INDEX('CLM &amp; IM Mapping'!$B$2:$B$270,MATCH(TRIM(B222),'CLM &amp; IM Mapping'!$A$2:$A$270,0)),"Not Mapped"))</f>
        <v>Bangareppa CS</v>
      </c>
      <c r="D222" s="14" t="str">
        <f aca="false">IF(B222="","",IFERROR(INDEX('CLM &amp; IM Mapping'!$C$2:$C$270,MATCH(TRIM(B222),'CLM &amp; IM Mapping'!$A$2:$A$270,0)),"Not Mapped"))</f>
        <v>Kishor K</v>
      </c>
      <c r="E222" s="13" t="s">
        <v>18</v>
      </c>
      <c r="F222" s="13" t="s">
        <v>298</v>
      </c>
      <c r="G222" s="13" t="s">
        <v>228</v>
      </c>
      <c r="H222" s="15" t="n">
        <v>5508</v>
      </c>
      <c r="I222" s="16" t="n">
        <v>0.55</v>
      </c>
      <c r="J222" s="16" t="n">
        <v>0.98</v>
      </c>
      <c r="K222" s="16" t="n">
        <v>0.99</v>
      </c>
      <c r="L222" s="16" t="n">
        <v>0.98</v>
      </c>
    </row>
    <row r="223" customFormat="false" ht="15.75" hidden="false" customHeight="false" outlineLevel="0" collapsed="false">
      <c r="B223" s="13" t="s">
        <v>238</v>
      </c>
      <c r="C223" s="14" t="str">
        <f aca="false">IF(B223="","",IFERROR(INDEX('CLM &amp; IM Mapping'!$B$2:$B$270,MATCH(TRIM(B223),'CLM &amp; IM Mapping'!$A$2:$A$270,0)),"Not Mapped"))</f>
        <v>Bangareppa CS</v>
      </c>
      <c r="D223" s="14" t="str">
        <f aca="false">IF(B223="","",IFERROR(INDEX('CLM &amp; IM Mapping'!$C$2:$C$270,MATCH(TRIM(B223),'CLM &amp; IM Mapping'!$A$2:$A$270,0)),"Not Mapped"))</f>
        <v>Kishor K</v>
      </c>
      <c r="E223" s="13" t="s">
        <v>18</v>
      </c>
      <c r="F223" s="13" t="s">
        <v>298</v>
      </c>
      <c r="G223" s="13" t="s">
        <v>228</v>
      </c>
      <c r="H223" s="15" t="n">
        <v>6112</v>
      </c>
      <c r="I223" s="16" t="n">
        <v>0.75</v>
      </c>
      <c r="J223" s="16" t="n">
        <v>0.97</v>
      </c>
      <c r="K223" s="16" t="n">
        <v>0.98</v>
      </c>
      <c r="L223" s="16" t="n">
        <v>0.97</v>
      </c>
    </row>
    <row r="224" customFormat="false" ht="15.75" hidden="false" customHeight="false" outlineLevel="0" collapsed="false">
      <c r="B224" s="13" t="s">
        <v>261</v>
      </c>
      <c r="C224" s="14" t="str">
        <f aca="false">IF(B224="","",IFERROR(INDEX('CLM &amp; IM Mapping'!$B$2:$B$270,MATCH(TRIM(B224),'CLM &amp; IM Mapping'!$A$2:$A$270,0)),"Not Mapped"))</f>
        <v>Balaji G</v>
      </c>
      <c r="D224" s="14" t="str">
        <f aca="false">IF(B224="","",IFERROR(INDEX('CLM &amp; IM Mapping'!$C$2:$C$270,MATCH(TRIM(B224),'CLM &amp; IM Mapping'!$A$2:$A$270,0)),"Not Mapped"))</f>
        <v>Mohammed Akbar</v>
      </c>
      <c r="E224" s="13" t="s">
        <v>18</v>
      </c>
      <c r="F224" s="13" t="s">
        <v>298</v>
      </c>
      <c r="G224" s="13" t="s">
        <v>260</v>
      </c>
      <c r="H224" s="15" t="n">
        <v>4841</v>
      </c>
      <c r="I224" s="16" t="n">
        <v>0.66</v>
      </c>
      <c r="J224" s="16" t="n">
        <v>0.86</v>
      </c>
      <c r="K224" s="16" t="n">
        <v>0.96</v>
      </c>
      <c r="L224" s="16" t="n">
        <v>0.86</v>
      </c>
    </row>
    <row r="225" customFormat="false" ht="15.75" hidden="false" customHeight="false" outlineLevel="0" collapsed="false">
      <c r="B225" s="13" t="s">
        <v>93</v>
      </c>
      <c r="C225" s="14" t="str">
        <f aca="false">IF(B225="","",IFERROR(INDEX('CLM &amp; IM Mapping'!$B$2:$B$270,MATCH(TRIM(B225),'CLM &amp; IM Mapping'!$A$2:$A$270,0)),"Not Mapped"))</f>
        <v>Bangareppa CS</v>
      </c>
      <c r="D225" s="14" t="str">
        <f aca="false">IF(B225="","",IFERROR(INDEX('CLM &amp; IM Mapping'!$C$2:$C$270,MATCH(TRIM(B225),'CLM &amp; IM Mapping'!$A$2:$A$270,0)),"Not Mapped"))</f>
        <v>Kishor K</v>
      </c>
      <c r="E225" s="13" t="s">
        <v>18</v>
      </c>
      <c r="F225" s="13" t="s">
        <v>297</v>
      </c>
      <c r="G225" s="13" t="s">
        <v>92</v>
      </c>
      <c r="H225" s="15" t="n">
        <v>6805</v>
      </c>
      <c r="I225" s="16" t="n">
        <v>0.37</v>
      </c>
      <c r="J225" s="16" t="n">
        <v>0.92</v>
      </c>
      <c r="K225" s="16" t="n">
        <v>0.98</v>
      </c>
      <c r="L225" s="16" t="n">
        <v>0.92</v>
      </c>
    </row>
    <row r="226" customFormat="false" ht="15.75" hidden="false" customHeight="false" outlineLevel="0" collapsed="false">
      <c r="B226" s="13" t="s">
        <v>106</v>
      </c>
      <c r="C226" s="14" t="str">
        <f aca="false">IF(B226="","",IFERROR(INDEX('CLM &amp; IM Mapping'!$B$2:$B$270,MATCH(TRIM(B226),'CLM &amp; IM Mapping'!$A$2:$A$270,0)),"Not Mapped"))</f>
        <v>Bangareppa CS</v>
      </c>
      <c r="D226" s="14" t="str">
        <f aca="false">IF(B226="","",IFERROR(INDEX('CLM &amp; IM Mapping'!$C$2:$C$270,MATCH(TRIM(B226),'CLM &amp; IM Mapping'!$A$2:$A$270,0)),"Not Mapped"))</f>
        <v>Kishor K</v>
      </c>
      <c r="E226" s="13" t="s">
        <v>18</v>
      </c>
      <c r="F226" s="13" t="s">
        <v>298</v>
      </c>
      <c r="G226" s="13" t="s">
        <v>92</v>
      </c>
      <c r="H226" s="15" t="n">
        <v>5445</v>
      </c>
      <c r="I226" s="16" t="n">
        <v>0.62</v>
      </c>
      <c r="J226" s="16" t="n">
        <v>0.98</v>
      </c>
      <c r="K226" s="16" t="n">
        <v>0.99</v>
      </c>
      <c r="L226" s="13"/>
    </row>
    <row r="227" customFormat="false" ht="15.75" hidden="false" customHeight="false" outlineLevel="0" collapsed="false">
      <c r="B227" s="13" t="s">
        <v>115</v>
      </c>
      <c r="C227" s="14" t="str">
        <f aca="false">IF(B227="","",IFERROR(INDEX('CLM &amp; IM Mapping'!$B$2:$B$270,MATCH(TRIM(B227),'CLM &amp; IM Mapping'!$A$2:$A$270,0)),"Not Mapped"))</f>
        <v>Bangareppa CS</v>
      </c>
      <c r="D227" s="14" t="str">
        <f aca="false">IF(B227="","",IFERROR(INDEX('CLM &amp; IM Mapping'!$C$2:$C$270,MATCH(TRIM(B227),'CLM &amp; IM Mapping'!$A$2:$A$270,0)),"Not Mapped"))</f>
        <v>Kishor K</v>
      </c>
      <c r="E227" s="13" t="s">
        <v>18</v>
      </c>
      <c r="F227" s="13" t="s">
        <v>298</v>
      </c>
      <c r="G227" s="13" t="s">
        <v>92</v>
      </c>
      <c r="H227" s="15" t="n">
        <v>5711</v>
      </c>
      <c r="I227" s="16" t="n">
        <v>0.55</v>
      </c>
      <c r="J227" s="16" t="n">
        <v>0.85</v>
      </c>
      <c r="K227" s="16" t="n">
        <v>0.97</v>
      </c>
      <c r="L227" s="16" t="n">
        <v>0.85</v>
      </c>
    </row>
    <row r="228" customFormat="false" ht="15.75" hidden="false" customHeight="false" outlineLevel="0" collapsed="false">
      <c r="B228" s="13" t="s">
        <v>208</v>
      </c>
      <c r="C228" s="14" t="str">
        <f aca="false">IF(B228="","",IFERROR(INDEX('CLM &amp; IM Mapping'!$B$2:$B$270,MATCH(TRIM(B228),'CLM &amp; IM Mapping'!$A$2:$A$270,0)),"Not Mapped"))</f>
        <v>Bangareppa CS</v>
      </c>
      <c r="D228" s="14" t="str">
        <f aca="false">IF(B228="","",IFERROR(INDEX('CLM &amp; IM Mapping'!$C$2:$C$270,MATCH(TRIM(B228),'CLM &amp; IM Mapping'!$A$2:$A$270,0)),"Not Mapped"))</f>
        <v>Kishor K</v>
      </c>
      <c r="E228" s="13" t="s">
        <v>18</v>
      </c>
      <c r="F228" s="13" t="s">
        <v>297</v>
      </c>
      <c r="G228" s="13" t="s">
        <v>92</v>
      </c>
      <c r="H228" s="15" t="n">
        <v>5252</v>
      </c>
      <c r="I228" s="16" t="n">
        <v>0.34</v>
      </c>
      <c r="J228" s="16" t="n">
        <v>0.89</v>
      </c>
      <c r="K228" s="16" t="n">
        <v>0.97</v>
      </c>
      <c r="L228" s="16" t="n">
        <v>0.89</v>
      </c>
    </row>
    <row r="229" customFormat="false" ht="15.75" hidden="false" customHeight="false" outlineLevel="0" collapsed="false">
      <c r="B229" s="13" t="s">
        <v>45</v>
      </c>
      <c r="C229" s="14" t="str">
        <f aca="false">IF(B229="","",IFERROR(INDEX('CLM &amp; IM Mapping'!$B$2:$B$270,MATCH(TRIM(B229),'CLM &amp; IM Mapping'!$A$2:$A$270,0)),"Not Mapped"))</f>
        <v>Vishnu V</v>
      </c>
      <c r="D229" s="14" t="str">
        <f aca="false">IF(B229="","",IFERROR(INDEX('CLM &amp; IM Mapping'!$C$2:$C$270,MATCH(TRIM(B229),'CLM &amp; IM Mapping'!$A$2:$A$270,0)),"Not Mapped"))</f>
        <v>Arivind S</v>
      </c>
      <c r="E229" s="13" t="s">
        <v>22</v>
      </c>
      <c r="F229" s="13" t="s">
        <v>297</v>
      </c>
      <c r="G229" s="13" t="s">
        <v>44</v>
      </c>
      <c r="H229" s="15" t="n">
        <v>6058</v>
      </c>
      <c r="I229" s="16" t="n">
        <v>0.12</v>
      </c>
      <c r="J229" s="16" t="n">
        <v>0.99</v>
      </c>
      <c r="K229" s="16" t="n">
        <v>1</v>
      </c>
      <c r="L229" s="16" t="n">
        <v>0.52</v>
      </c>
    </row>
    <row r="230" customFormat="false" ht="15.75" hidden="false" customHeight="false" outlineLevel="0" collapsed="false">
      <c r="B230" s="13" t="s">
        <v>80</v>
      </c>
      <c r="C230" s="14" t="str">
        <f aca="false">IF(B230="","",IFERROR(INDEX('CLM &amp; IM Mapping'!$B$2:$B$270,MATCH(TRIM(B230),'CLM &amp; IM Mapping'!$A$2:$A$270,0)),"Not Mapped"))</f>
        <v>Vishnu V</v>
      </c>
      <c r="D230" s="14" t="str">
        <f aca="false">IF(B230="","",IFERROR(INDEX('CLM &amp; IM Mapping'!$C$2:$C$270,MATCH(TRIM(B230),'CLM &amp; IM Mapping'!$A$2:$A$270,0)),"Not Mapped"))</f>
        <v>Arivind S</v>
      </c>
      <c r="E230" s="13" t="s">
        <v>18</v>
      </c>
      <c r="F230" s="13" t="s">
        <v>298</v>
      </c>
      <c r="G230" s="13" t="s">
        <v>44</v>
      </c>
      <c r="H230" s="15" t="n">
        <v>5902</v>
      </c>
      <c r="I230" s="16" t="n">
        <v>0.77</v>
      </c>
      <c r="J230" s="16" t="n">
        <v>0.93</v>
      </c>
      <c r="K230" s="16" t="n">
        <v>0.98</v>
      </c>
      <c r="L230" s="16" t="n">
        <v>0.93</v>
      </c>
    </row>
    <row r="231" customFormat="false" ht="15.75" hidden="false" customHeight="false" outlineLevel="0" collapsed="false">
      <c r="B231" s="13" t="s">
        <v>136</v>
      </c>
      <c r="C231" s="14" t="str">
        <f aca="false">IF(B231="","",IFERROR(INDEX('CLM &amp; IM Mapping'!$B$2:$B$270,MATCH(TRIM(B231),'CLM &amp; IM Mapping'!$A$2:$A$270,0)),"Not Mapped"))</f>
        <v>Vishnu V</v>
      </c>
      <c r="D231" s="14" t="str">
        <f aca="false">IF(B231="","",IFERROR(INDEX('CLM &amp; IM Mapping'!$C$2:$C$270,MATCH(TRIM(B231),'CLM &amp; IM Mapping'!$A$2:$A$270,0)),"Not Mapped"))</f>
        <v>Arivind S</v>
      </c>
      <c r="E231" s="13" t="s">
        <v>18</v>
      </c>
      <c r="F231" s="13" t="s">
        <v>298</v>
      </c>
      <c r="G231" s="13" t="s">
        <v>44</v>
      </c>
      <c r="H231" s="15" t="n">
        <v>5215</v>
      </c>
      <c r="I231" s="16" t="n">
        <v>0.77</v>
      </c>
      <c r="J231" s="16" t="n">
        <v>0.91</v>
      </c>
      <c r="K231" s="16" t="n">
        <v>0.97</v>
      </c>
      <c r="L231" s="16" t="n">
        <v>0.91</v>
      </c>
    </row>
    <row r="232" customFormat="false" ht="15.75" hidden="false" customHeight="false" outlineLevel="0" collapsed="false">
      <c r="B232" s="13" t="s">
        <v>171</v>
      </c>
      <c r="C232" s="14" t="str">
        <f aca="false">IF(B232="","",IFERROR(INDEX('CLM &amp; IM Mapping'!$B$2:$B$270,MATCH(TRIM(B232),'CLM &amp; IM Mapping'!$A$2:$A$270,0)),"Not Mapped"))</f>
        <v>Vishnu V</v>
      </c>
      <c r="D232" s="14" t="str">
        <f aca="false">IF(B232="","",IFERROR(INDEX('CLM &amp; IM Mapping'!$C$2:$C$270,MATCH(TRIM(B232),'CLM &amp; IM Mapping'!$A$2:$A$270,0)),"Not Mapped"))</f>
        <v>Arivind S</v>
      </c>
      <c r="E232" s="13" t="s">
        <v>18</v>
      </c>
      <c r="F232" s="13" t="s">
        <v>298</v>
      </c>
      <c r="G232" s="13" t="s">
        <v>44</v>
      </c>
      <c r="H232" s="15" t="n">
        <v>6377</v>
      </c>
      <c r="I232" s="16" t="n">
        <v>0.59</v>
      </c>
      <c r="J232" s="16" t="n">
        <v>0.92</v>
      </c>
      <c r="K232" s="16" t="n">
        <v>0.98</v>
      </c>
      <c r="L232" s="16" t="n">
        <v>0.92</v>
      </c>
    </row>
    <row r="233" customFormat="false" ht="15.75" hidden="false" customHeight="false" outlineLevel="0" collapsed="false">
      <c r="B233" s="13" t="s">
        <v>230</v>
      </c>
      <c r="C233" s="14" t="str">
        <f aca="false">IF(B233="","",IFERROR(INDEX('CLM &amp; IM Mapping'!$B$2:$B$270,MATCH(TRIM(B233),'CLM &amp; IM Mapping'!$A$2:$A$270,0)),"Not Mapped"))</f>
        <v>Vishnu V</v>
      </c>
      <c r="D233" s="14" t="str">
        <f aca="false">IF(B233="","",IFERROR(INDEX('CLM &amp; IM Mapping'!$C$2:$C$270,MATCH(TRIM(B233),'CLM &amp; IM Mapping'!$A$2:$A$270,0)),"Not Mapped"))</f>
        <v>Arivind S</v>
      </c>
      <c r="E233" s="13" t="s">
        <v>18</v>
      </c>
      <c r="F233" s="13" t="s">
        <v>298</v>
      </c>
      <c r="G233" s="13" t="s">
        <v>44</v>
      </c>
      <c r="H233" s="15" t="n">
        <v>5534</v>
      </c>
      <c r="I233" s="16" t="n">
        <v>0.82</v>
      </c>
      <c r="J233" s="16" t="n">
        <v>0.89</v>
      </c>
      <c r="K233" s="16" t="n">
        <v>0.97</v>
      </c>
      <c r="L233" s="16" t="n">
        <v>0.89</v>
      </c>
    </row>
    <row r="234" customFormat="false" ht="15.75" hidden="false" customHeight="false" outlineLevel="0" collapsed="false">
      <c r="B234" s="13" t="s">
        <v>255</v>
      </c>
      <c r="C234" s="14" t="str">
        <f aca="false">IF(B234="","",IFERROR(INDEX('CLM &amp; IM Mapping'!$B$2:$B$270,MATCH(TRIM(B234),'CLM &amp; IM Mapping'!$A$2:$A$270,0)),"Not Mapped"))</f>
        <v>Vishnu V</v>
      </c>
      <c r="D234" s="14" t="str">
        <f aca="false">IF(B234="","",IFERROR(INDEX('CLM &amp; IM Mapping'!$C$2:$C$270,MATCH(TRIM(B234),'CLM &amp; IM Mapping'!$A$2:$A$270,0)),"Not Mapped"))</f>
        <v>Arivind S</v>
      </c>
      <c r="E234" s="13" t="s">
        <v>18</v>
      </c>
      <c r="F234" s="13" t="s">
        <v>297</v>
      </c>
      <c r="G234" s="13" t="s">
        <v>44</v>
      </c>
      <c r="H234" s="15" t="n">
        <v>6661</v>
      </c>
      <c r="I234" s="16" t="n">
        <v>0.59</v>
      </c>
      <c r="J234" s="16" t="n">
        <v>0.96</v>
      </c>
      <c r="K234" s="16" t="n">
        <v>0.99</v>
      </c>
      <c r="L234" s="16" t="n">
        <v>0.96</v>
      </c>
    </row>
    <row r="235" customFormat="false" ht="15.75" hidden="false" customHeight="false" outlineLevel="0" collapsed="false">
      <c r="B235" s="13" t="s">
        <v>281</v>
      </c>
      <c r="C235" s="14" t="str">
        <f aca="false">IF(B235="","",IFERROR(INDEX('CLM &amp; IM Mapping'!$B$2:$B$270,MATCH(TRIM(B235),'CLM &amp; IM Mapping'!$A$2:$A$270,0)),"Not Mapped"))</f>
        <v>Vishnu V</v>
      </c>
      <c r="D235" s="14" t="str">
        <f aca="false">IF(B235="","",IFERROR(INDEX('CLM &amp; IM Mapping'!$C$2:$C$270,MATCH(TRIM(B235),'CLM &amp; IM Mapping'!$A$2:$A$270,0)),"Not Mapped"))</f>
        <v>Arivind S</v>
      </c>
      <c r="E235" s="13" t="s">
        <v>18</v>
      </c>
      <c r="F235" s="13" t="s">
        <v>298</v>
      </c>
      <c r="G235" s="13" t="s">
        <v>44</v>
      </c>
      <c r="H235" s="15" t="n">
        <v>6097</v>
      </c>
      <c r="I235" s="16" t="n">
        <v>0.26</v>
      </c>
      <c r="J235" s="16" t="n">
        <v>0.91</v>
      </c>
      <c r="K235" s="16" t="n">
        <v>0.92</v>
      </c>
      <c r="L235" s="16" t="n">
        <v>0.91</v>
      </c>
    </row>
    <row r="236" customFormat="false" ht="15.75" hidden="false" customHeight="false" outlineLevel="0" collapsed="false">
      <c r="B236" s="13" t="s">
        <v>49</v>
      </c>
      <c r="C236" s="14" t="str">
        <f aca="false">IF(B236="","",IFERROR(INDEX('CLM &amp; IM Mapping'!$B$2:$B$270,MATCH(TRIM(B236),'CLM &amp; IM Mapping'!$A$2:$A$270,0)),"Not Mapped"))</f>
        <v>Vishnu V</v>
      </c>
      <c r="D236" s="14" t="str">
        <f aca="false">IF(B236="","",IFERROR(INDEX('CLM &amp; IM Mapping'!$C$2:$C$270,MATCH(TRIM(B236),'CLM &amp; IM Mapping'!$A$2:$A$270,0)),"Not Mapped"))</f>
        <v>Arivind S</v>
      </c>
      <c r="E236" s="13" t="s">
        <v>18</v>
      </c>
      <c r="F236" s="13" t="s">
        <v>298</v>
      </c>
      <c r="G236" s="13" t="s">
        <v>44</v>
      </c>
      <c r="H236" s="15" t="n">
        <v>6083</v>
      </c>
      <c r="I236" s="16" t="n">
        <v>0.52</v>
      </c>
      <c r="J236" s="16" t="n">
        <v>0.88</v>
      </c>
      <c r="K236" s="16" t="n">
        <v>0.96</v>
      </c>
      <c r="L236" s="16" t="n">
        <v>0.88</v>
      </c>
    </row>
    <row r="237" customFormat="false" ht="15.75" hidden="false" customHeight="false" outlineLevel="0" collapsed="false">
      <c r="B237" s="13" t="s">
        <v>52</v>
      </c>
      <c r="C237" s="14" t="str">
        <f aca="false">IF(B237="","",IFERROR(INDEX('CLM &amp; IM Mapping'!$B$2:$B$270,MATCH(TRIM(B237),'CLM &amp; IM Mapping'!$A$2:$A$270,0)),"Not Mapped"))</f>
        <v>Vishnu V</v>
      </c>
      <c r="D237" s="14" t="str">
        <f aca="false">IF(B237="","",IFERROR(INDEX('CLM &amp; IM Mapping'!$C$2:$C$270,MATCH(TRIM(B237),'CLM &amp; IM Mapping'!$A$2:$A$270,0)),"Not Mapped"))</f>
        <v>Arivind S</v>
      </c>
      <c r="E237" s="13" t="s">
        <v>18</v>
      </c>
      <c r="F237" s="13" t="s">
        <v>298</v>
      </c>
      <c r="G237" s="13" t="s">
        <v>44</v>
      </c>
      <c r="H237" s="15" t="n">
        <v>5170</v>
      </c>
      <c r="I237" s="16" t="n">
        <v>0.69</v>
      </c>
      <c r="J237" s="16" t="n">
        <v>0.98</v>
      </c>
      <c r="K237" s="16" t="n">
        <v>0.99</v>
      </c>
      <c r="L237" s="16" t="n">
        <v>0.98</v>
      </c>
    </row>
    <row r="238" customFormat="false" ht="15.75" hidden="false" customHeight="false" outlineLevel="0" collapsed="false">
      <c r="B238" s="13" t="s">
        <v>83</v>
      </c>
      <c r="C238" s="14" t="str">
        <f aca="false">IF(B238="","",IFERROR(INDEX('CLM &amp; IM Mapping'!$B$2:$B$270,MATCH(TRIM(B238),'CLM &amp; IM Mapping'!$A$2:$A$270,0)),"Not Mapped"))</f>
        <v>Vishnu V</v>
      </c>
      <c r="D238" s="14" t="str">
        <f aca="false">IF(B238="","",IFERROR(INDEX('CLM &amp; IM Mapping'!$C$2:$C$270,MATCH(TRIM(B238),'CLM &amp; IM Mapping'!$A$2:$A$270,0)),"Not Mapped"))</f>
        <v>Arivind S</v>
      </c>
      <c r="E238" s="13" t="s">
        <v>18</v>
      </c>
      <c r="F238" s="13" t="s">
        <v>298</v>
      </c>
      <c r="G238" s="13" t="s">
        <v>44</v>
      </c>
      <c r="H238" s="15" t="n">
        <v>5822</v>
      </c>
      <c r="I238" s="16" t="n">
        <v>0.34</v>
      </c>
      <c r="J238" s="16" t="n">
        <v>0.83</v>
      </c>
      <c r="K238" s="16" t="n">
        <v>0.96</v>
      </c>
      <c r="L238" s="16" t="n">
        <v>0.83</v>
      </c>
    </row>
    <row r="239" customFormat="false" ht="15.75" hidden="false" customHeight="false" outlineLevel="0" collapsed="false">
      <c r="B239" s="13" t="s">
        <v>89</v>
      </c>
      <c r="C239" s="14" t="str">
        <f aca="false">IF(B239="","",IFERROR(INDEX('CLM &amp; IM Mapping'!$B$2:$B$270,MATCH(TRIM(B239),'CLM &amp; IM Mapping'!$A$2:$A$270,0)),"Not Mapped"))</f>
        <v>Vishnu V</v>
      </c>
      <c r="D239" s="14" t="str">
        <f aca="false">IF(B239="","",IFERROR(INDEX('CLM &amp; IM Mapping'!$C$2:$C$270,MATCH(TRIM(B239),'CLM &amp; IM Mapping'!$A$2:$A$270,0)),"Not Mapped"))</f>
        <v>Arivind S</v>
      </c>
      <c r="E239" s="13" t="s">
        <v>18</v>
      </c>
      <c r="F239" s="13" t="s">
        <v>297</v>
      </c>
      <c r="G239" s="13" t="s">
        <v>44</v>
      </c>
      <c r="H239" s="15" t="n">
        <v>5845</v>
      </c>
      <c r="I239" s="16" t="n">
        <v>0.56</v>
      </c>
      <c r="J239" s="16" t="n">
        <v>0.9</v>
      </c>
      <c r="K239" s="16" t="n">
        <v>0.97</v>
      </c>
      <c r="L239" s="13"/>
    </row>
    <row r="240" customFormat="false" ht="15.75" hidden="false" customHeight="false" outlineLevel="0" collapsed="false">
      <c r="B240" s="13" t="s">
        <v>185</v>
      </c>
      <c r="C240" s="14" t="str">
        <f aca="false">IF(B240="","",IFERROR(INDEX('CLM &amp; IM Mapping'!$B$2:$B$270,MATCH(TRIM(B240),'CLM &amp; IM Mapping'!$A$2:$A$270,0)),"Not Mapped"))</f>
        <v>Vishnu V</v>
      </c>
      <c r="D240" s="14" t="str">
        <f aca="false">IF(B240="","",IFERROR(INDEX('CLM &amp; IM Mapping'!$C$2:$C$270,MATCH(TRIM(B240),'CLM &amp; IM Mapping'!$A$2:$A$270,0)),"Not Mapped"))</f>
        <v>Arivind S</v>
      </c>
      <c r="E240" s="13" t="s">
        <v>18</v>
      </c>
      <c r="F240" s="13" t="s">
        <v>298</v>
      </c>
      <c r="G240" s="13" t="s">
        <v>44</v>
      </c>
      <c r="H240" s="15" t="n">
        <v>7790</v>
      </c>
      <c r="I240" s="16" t="n">
        <v>0.48</v>
      </c>
      <c r="J240" s="16" t="n">
        <v>0.88</v>
      </c>
      <c r="K240" s="16" t="n">
        <v>0.97</v>
      </c>
      <c r="L240" s="16" t="n">
        <v>0.88</v>
      </c>
    </row>
    <row r="241" customFormat="false" ht="15.75" hidden="false" customHeight="false" outlineLevel="0" collapsed="false">
      <c r="B241" s="13" t="s">
        <v>266</v>
      </c>
      <c r="C241" s="14" t="str">
        <f aca="false">IF(B241="","",IFERROR(INDEX('CLM &amp; IM Mapping'!$B$2:$B$270,MATCH(TRIM(B241),'CLM &amp; IM Mapping'!$A$2:$A$270,0)),"Not Mapped"))</f>
        <v>Vishnu V</v>
      </c>
      <c r="D241" s="14" t="str">
        <f aca="false">IF(B241="","",IFERROR(INDEX('CLM &amp; IM Mapping'!$C$2:$C$270,MATCH(TRIM(B241),'CLM &amp; IM Mapping'!$A$2:$A$270,0)),"Not Mapped"))</f>
        <v>Arivind S</v>
      </c>
      <c r="E241" s="13" t="s">
        <v>18</v>
      </c>
      <c r="F241" s="13" t="s">
        <v>298</v>
      </c>
      <c r="G241" s="13" t="s">
        <v>44</v>
      </c>
      <c r="H241" s="15" t="n">
        <v>5139</v>
      </c>
      <c r="I241" s="16" t="n">
        <v>0.18</v>
      </c>
      <c r="J241" s="16" t="n">
        <v>0.7</v>
      </c>
      <c r="K241" s="16" t="n">
        <v>0.92</v>
      </c>
      <c r="L241" s="16" t="n">
        <v>0.55</v>
      </c>
    </row>
    <row r="242" customFormat="false" ht="15.75" hidden="false" customHeight="false" outlineLevel="0" collapsed="false">
      <c r="B242" s="13" t="s">
        <v>32</v>
      </c>
      <c r="C242" s="14" t="str">
        <f aca="false">IF(B242="","",IFERROR(INDEX('CLM &amp; IM Mapping'!$B$2:$B$270,MATCH(TRIM(B242),'CLM &amp; IM Mapping'!$A$2:$A$270,0)),"Not Mapped"))</f>
        <v>Santhosha M</v>
      </c>
      <c r="D242" s="14" t="str">
        <f aca="false">IF(B242="","",IFERROR(INDEX('CLM &amp; IM Mapping'!$C$2:$C$270,MATCH(TRIM(B242),'CLM &amp; IM Mapping'!$A$2:$A$270,0)),"Not Mapped"))</f>
        <v>Aravind S</v>
      </c>
      <c r="E242" s="13" t="s">
        <v>18</v>
      </c>
      <c r="F242" s="13" t="s">
        <v>298</v>
      </c>
      <c r="G242" s="13" t="s">
        <v>31</v>
      </c>
      <c r="H242" s="15" t="n">
        <v>5543</v>
      </c>
      <c r="I242" s="16" t="n">
        <v>0.74</v>
      </c>
      <c r="J242" s="16" t="n">
        <v>0.98</v>
      </c>
      <c r="K242" s="16" t="n">
        <v>0.99</v>
      </c>
      <c r="L242" s="16" t="n">
        <v>0.98</v>
      </c>
    </row>
    <row r="243" customFormat="false" ht="15.75" hidden="false" customHeight="false" outlineLevel="0" collapsed="false">
      <c r="B243" s="13" t="s">
        <v>158</v>
      </c>
      <c r="C243" s="14" t="str">
        <f aca="false">IF(B243="","",IFERROR(INDEX('CLM &amp; IM Mapping'!$B$2:$B$270,MATCH(TRIM(B243),'CLM &amp; IM Mapping'!$A$2:$A$270,0)),"Not Mapped"))</f>
        <v>Santhosha M</v>
      </c>
      <c r="D243" s="14" t="str">
        <f aca="false">IF(B243="","",IFERROR(INDEX('CLM &amp; IM Mapping'!$C$2:$C$270,MATCH(TRIM(B243),'CLM &amp; IM Mapping'!$A$2:$A$270,0)),"Not Mapped"))</f>
        <v>Aravind S</v>
      </c>
      <c r="E243" s="13" t="s">
        <v>18</v>
      </c>
      <c r="F243" s="13" t="s">
        <v>297</v>
      </c>
      <c r="G243" s="13" t="s">
        <v>31</v>
      </c>
      <c r="H243" s="15" t="n">
        <v>7259</v>
      </c>
      <c r="I243" s="16" t="n">
        <v>0.97</v>
      </c>
      <c r="J243" s="16" t="n">
        <v>0.96</v>
      </c>
      <c r="K243" s="16" t="n">
        <v>0.98</v>
      </c>
      <c r="L243" s="16" t="n">
        <v>0.96</v>
      </c>
    </row>
    <row r="244" customFormat="false" ht="15.75" hidden="false" customHeight="false" outlineLevel="0" collapsed="false">
      <c r="B244" s="13" t="s">
        <v>172</v>
      </c>
      <c r="C244" s="14" t="str">
        <f aca="false">IF(B244="","",IFERROR(INDEX('CLM &amp; IM Mapping'!$B$2:$B$270,MATCH(TRIM(B244),'CLM &amp; IM Mapping'!$A$2:$A$270,0)),"Not Mapped"))</f>
        <v>Santhosha M</v>
      </c>
      <c r="D244" s="14" t="str">
        <f aca="false">IF(B244="","",IFERROR(INDEX('CLM &amp; IM Mapping'!$C$2:$C$270,MATCH(TRIM(B244),'CLM &amp; IM Mapping'!$A$2:$A$270,0)),"Not Mapped"))</f>
        <v>Aravind S</v>
      </c>
      <c r="E244" s="13" t="s">
        <v>18</v>
      </c>
      <c r="F244" s="13" t="s">
        <v>297</v>
      </c>
      <c r="G244" s="13" t="s">
        <v>31</v>
      </c>
      <c r="H244" s="15" t="n">
        <v>7361</v>
      </c>
      <c r="I244" s="16" t="n">
        <v>0.6</v>
      </c>
      <c r="J244" s="16" t="n">
        <v>0.96</v>
      </c>
      <c r="K244" s="16" t="n">
        <v>0.98</v>
      </c>
      <c r="L244" s="16" t="n">
        <v>0.96</v>
      </c>
    </row>
    <row r="245" customFormat="false" ht="15.75" hidden="false" customHeight="false" outlineLevel="0" collapsed="false">
      <c r="B245" s="13" t="s">
        <v>194</v>
      </c>
      <c r="C245" s="14" t="str">
        <f aca="false">IF(B245="","",IFERROR(INDEX('CLM &amp; IM Mapping'!$B$2:$B$270,MATCH(TRIM(B245),'CLM &amp; IM Mapping'!$A$2:$A$270,0)),"Not Mapped"))</f>
        <v>Santhosha M</v>
      </c>
      <c r="D245" s="14" t="str">
        <f aca="false">IF(B245="","",IFERROR(INDEX('CLM &amp; IM Mapping'!$C$2:$C$270,MATCH(TRIM(B245),'CLM &amp; IM Mapping'!$A$2:$A$270,0)),"Not Mapped"))</f>
        <v>Aravind S</v>
      </c>
      <c r="E245" s="13" t="s">
        <v>18</v>
      </c>
      <c r="F245" s="13" t="s">
        <v>297</v>
      </c>
      <c r="G245" s="13" t="s">
        <v>31</v>
      </c>
      <c r="H245" s="15" t="n">
        <v>6590</v>
      </c>
      <c r="I245" s="16" t="n">
        <v>1</v>
      </c>
      <c r="J245" s="16" t="n">
        <v>0.9</v>
      </c>
      <c r="K245" s="16" t="n">
        <v>0.97</v>
      </c>
      <c r="L245" s="16" t="n">
        <v>0.9</v>
      </c>
    </row>
    <row r="246" customFormat="false" ht="15.75" hidden="false" customHeight="false" outlineLevel="0" collapsed="false">
      <c r="B246" s="13" t="s">
        <v>243</v>
      </c>
      <c r="C246" s="14" t="str">
        <f aca="false">IF(B246="","",IFERROR(INDEX('CLM &amp; IM Mapping'!$B$2:$B$270,MATCH(TRIM(B246),'CLM &amp; IM Mapping'!$A$2:$A$270,0)),"Not Mapped"))</f>
        <v>Santhosha M</v>
      </c>
      <c r="D246" s="14" t="str">
        <f aca="false">IF(B246="","",IFERROR(INDEX('CLM &amp; IM Mapping'!$C$2:$C$270,MATCH(TRIM(B246),'CLM &amp; IM Mapping'!$A$2:$A$270,0)),"Not Mapped"))</f>
        <v>Aravind S</v>
      </c>
      <c r="E246" s="13" t="s">
        <v>18</v>
      </c>
      <c r="F246" s="13" t="s">
        <v>298</v>
      </c>
      <c r="G246" s="13" t="s">
        <v>31</v>
      </c>
      <c r="H246" s="15" t="n">
        <v>4856</v>
      </c>
      <c r="I246" s="16" t="n">
        <v>1</v>
      </c>
      <c r="J246" s="16" t="n">
        <v>0.95</v>
      </c>
      <c r="K246" s="16" t="n">
        <v>0.99</v>
      </c>
      <c r="L246" s="16" t="n">
        <v>0.95</v>
      </c>
    </row>
    <row r="247" customFormat="false" ht="15.75" hidden="false" customHeight="false" outlineLevel="0" collapsed="false">
      <c r="B247" s="13" t="s">
        <v>269</v>
      </c>
      <c r="C247" s="14" t="str">
        <f aca="false">IF(B247="","",IFERROR(INDEX('CLM &amp; IM Mapping'!$B$2:$B$270,MATCH(TRIM(B247),'CLM &amp; IM Mapping'!$A$2:$A$270,0)),"Not Mapped"))</f>
        <v>Santhosha M</v>
      </c>
      <c r="D247" s="14" t="str">
        <f aca="false">IF(B247="","",IFERROR(INDEX('CLM &amp; IM Mapping'!$C$2:$C$270,MATCH(TRIM(B247),'CLM &amp; IM Mapping'!$A$2:$A$270,0)),"Not Mapped"))</f>
        <v>Aravind S</v>
      </c>
      <c r="E247" s="13" t="s">
        <v>18</v>
      </c>
      <c r="F247" s="13" t="s">
        <v>298</v>
      </c>
      <c r="G247" s="13" t="s">
        <v>31</v>
      </c>
      <c r="H247" s="15" t="n">
        <v>5344</v>
      </c>
      <c r="I247" s="16" t="n">
        <v>1</v>
      </c>
      <c r="J247" s="16" t="n">
        <v>0.97</v>
      </c>
      <c r="K247" s="16" t="n">
        <v>0.99</v>
      </c>
      <c r="L247" s="16" t="n">
        <v>0.97</v>
      </c>
    </row>
    <row r="248" customFormat="false" ht="15.75" hidden="false" customHeight="false" outlineLevel="0" collapsed="false">
      <c r="B248" s="13" t="s">
        <v>148</v>
      </c>
      <c r="C248" s="14" t="str">
        <f aca="false">IF(B248="","",IFERROR(INDEX('CLM &amp; IM Mapping'!$B$2:$B$270,MATCH(TRIM(B248),'CLM &amp; IM Mapping'!$A$2:$A$270,0)),"Not Mapped"))</f>
        <v>Santhosha M</v>
      </c>
      <c r="D248" s="14" t="str">
        <f aca="false">IF(B248="","",IFERROR(INDEX('CLM &amp; IM Mapping'!$C$2:$C$270,MATCH(TRIM(B248),'CLM &amp; IM Mapping'!$A$2:$A$270,0)),"Not Mapped"))</f>
        <v>Aravind S</v>
      </c>
      <c r="E248" s="13" t="s">
        <v>18</v>
      </c>
      <c r="F248" s="13" t="s">
        <v>298</v>
      </c>
      <c r="G248" s="13" t="s">
        <v>31</v>
      </c>
      <c r="H248" s="15" t="n">
        <v>7140</v>
      </c>
      <c r="I248" s="16" t="n">
        <v>0.83</v>
      </c>
      <c r="J248" s="16" t="n">
        <v>0.94</v>
      </c>
      <c r="K248" s="16" t="n">
        <v>0.98</v>
      </c>
      <c r="L248" s="16" t="n">
        <v>0.94</v>
      </c>
    </row>
    <row r="249" customFormat="false" ht="15.75" hidden="false" customHeight="false" outlineLevel="0" collapsed="false">
      <c r="B249" s="13" t="s">
        <v>177</v>
      </c>
      <c r="C249" s="14" t="str">
        <f aca="false">IF(B249="","",IFERROR(INDEX('CLM &amp; IM Mapping'!$B$2:$B$270,MATCH(TRIM(B249),'CLM &amp; IM Mapping'!$A$2:$A$270,0)),"Not Mapped"))</f>
        <v>Santhosha M</v>
      </c>
      <c r="D249" s="14" t="str">
        <f aca="false">IF(B249="","",IFERROR(INDEX('CLM &amp; IM Mapping'!$C$2:$C$270,MATCH(TRIM(B249),'CLM &amp; IM Mapping'!$A$2:$A$270,0)),"Not Mapped"))</f>
        <v>Aravind S</v>
      </c>
      <c r="E249" s="13" t="s">
        <v>18</v>
      </c>
      <c r="F249" s="13" t="s">
        <v>297</v>
      </c>
      <c r="G249" s="13" t="s">
        <v>31</v>
      </c>
      <c r="H249" s="15" t="n">
        <v>5519</v>
      </c>
      <c r="I249" s="16" t="n">
        <v>0.96</v>
      </c>
      <c r="J249" s="16" t="n">
        <v>0.86</v>
      </c>
      <c r="K249" s="16" t="n">
        <v>0.96</v>
      </c>
      <c r="L249" s="16" t="n">
        <v>0.86</v>
      </c>
    </row>
    <row r="250" customFormat="false" ht="15.75" hidden="false" customHeight="false" outlineLevel="0" collapsed="false">
      <c r="B250" s="13" t="s">
        <v>282</v>
      </c>
      <c r="C250" s="14" t="str">
        <f aca="false">IF(B250="","",IFERROR(INDEX('CLM &amp; IM Mapping'!$B$2:$B$270,MATCH(TRIM(B250),'CLM &amp; IM Mapping'!$A$2:$A$270,0)),"Not Mapped"))</f>
        <v>Santhosha M</v>
      </c>
      <c r="D250" s="14" t="str">
        <f aca="false">IF(B250="","",IFERROR(INDEX('CLM &amp; IM Mapping'!$C$2:$C$270,MATCH(TRIM(B250),'CLM &amp; IM Mapping'!$A$2:$A$270,0)),"Not Mapped"))</f>
        <v>Aravind S</v>
      </c>
      <c r="E250" s="13" t="s">
        <v>18</v>
      </c>
      <c r="F250" s="13" t="s">
        <v>298</v>
      </c>
      <c r="G250" s="13" t="s">
        <v>31</v>
      </c>
      <c r="H250" s="15" t="n">
        <v>4633</v>
      </c>
      <c r="I250" s="16" t="n">
        <v>0.98</v>
      </c>
      <c r="J250" s="16" t="n">
        <v>0.95</v>
      </c>
      <c r="K250" s="16" t="n">
        <v>0.98</v>
      </c>
      <c r="L250" s="16" t="n">
        <v>0.95</v>
      </c>
    </row>
    <row r="251" customFormat="false" ht="15.75" hidden="false" customHeight="false" outlineLevel="0" collapsed="false">
      <c r="B251" s="13" t="s">
        <v>201</v>
      </c>
      <c r="C251" s="14" t="str">
        <f aca="false">IF(B251="","",IFERROR(INDEX('CLM &amp; IM Mapping'!$B$2:$B$270,MATCH(TRIM(B251),'CLM &amp; IM Mapping'!$A$2:$A$270,0)),"Not Mapped"))</f>
        <v>Vishnu V</v>
      </c>
      <c r="D251" s="14" t="str">
        <f aca="false">IF(B251="","",IFERROR(INDEX('CLM &amp; IM Mapping'!$C$2:$C$270,MATCH(TRIM(B251),'CLM &amp; IM Mapping'!$A$2:$A$270,0)),"Not Mapped"))</f>
        <v>Arivind S</v>
      </c>
      <c r="E251" s="13" t="s">
        <v>18</v>
      </c>
      <c r="F251" s="13" t="s">
        <v>298</v>
      </c>
      <c r="G251" s="13" t="s">
        <v>33</v>
      </c>
      <c r="H251" s="15" t="n">
        <v>6776</v>
      </c>
      <c r="I251" s="16" t="n">
        <v>0.39</v>
      </c>
      <c r="J251" s="16" t="n">
        <v>0.97</v>
      </c>
      <c r="K251" s="16" t="n">
        <v>0.99</v>
      </c>
      <c r="L251" s="16" t="n">
        <v>0.97</v>
      </c>
    </row>
    <row r="252" customFormat="false" ht="15.75" hidden="false" customHeight="false" outlineLevel="0" collapsed="false">
      <c r="B252" s="13" t="s">
        <v>34</v>
      </c>
      <c r="C252" s="14" t="str">
        <f aca="false">IF(B252="","",IFERROR(INDEX('CLM &amp; IM Mapping'!$B$2:$B$270,MATCH(TRIM(B252),'CLM &amp; IM Mapping'!$A$2:$A$270,0)),"Not Mapped"))</f>
        <v>Vishnu V</v>
      </c>
      <c r="D252" s="14" t="str">
        <f aca="false">IF(B252="","",IFERROR(INDEX('CLM &amp; IM Mapping'!$C$2:$C$270,MATCH(TRIM(B252),'CLM &amp; IM Mapping'!$A$2:$A$270,0)),"Not Mapped"))</f>
        <v>Arivind S</v>
      </c>
      <c r="E252" s="13" t="s">
        <v>18</v>
      </c>
      <c r="F252" s="13" t="s">
        <v>297</v>
      </c>
      <c r="G252" s="13" t="s">
        <v>33</v>
      </c>
      <c r="H252" s="15" t="n">
        <v>5099</v>
      </c>
      <c r="I252" s="16" t="n">
        <v>0.62</v>
      </c>
      <c r="J252" s="16" t="n">
        <v>0.99</v>
      </c>
      <c r="K252" s="16" t="n">
        <v>1</v>
      </c>
      <c r="L252" s="16" t="n">
        <v>0.99</v>
      </c>
    </row>
    <row r="253" customFormat="false" ht="15.75" hidden="false" customHeight="false" outlineLevel="0" collapsed="false">
      <c r="B253" s="13" t="s">
        <v>209</v>
      </c>
      <c r="C253" s="14" t="str">
        <f aca="false">IF(B253="","",IFERROR(INDEX('CLM &amp; IM Mapping'!$B$2:$B$270,MATCH(TRIM(B253),'CLM &amp; IM Mapping'!$A$2:$A$270,0)),"Not Mapped"))</f>
        <v>Vishnu V</v>
      </c>
      <c r="D253" s="14" t="str">
        <f aca="false">IF(B253="","",IFERROR(INDEX('CLM &amp; IM Mapping'!$C$2:$C$270,MATCH(TRIM(B253),'CLM &amp; IM Mapping'!$A$2:$A$270,0)),"Not Mapped"))</f>
        <v>Arivind S</v>
      </c>
      <c r="E253" s="13" t="s">
        <v>18</v>
      </c>
      <c r="F253" s="13" t="s">
        <v>298</v>
      </c>
      <c r="G253" s="13" t="s">
        <v>33</v>
      </c>
      <c r="H253" s="15" t="n">
        <v>5121</v>
      </c>
      <c r="I253" s="16" t="n">
        <v>0.26</v>
      </c>
      <c r="J253" s="16" t="n">
        <v>0.94</v>
      </c>
      <c r="K253" s="16" t="n">
        <v>0.99</v>
      </c>
      <c r="L253" s="16" t="n">
        <v>0.94</v>
      </c>
    </row>
    <row r="254" customFormat="false" ht="15.75" hidden="false" customHeight="false" outlineLevel="0" collapsed="false">
      <c r="B254" s="13" t="s">
        <v>109</v>
      </c>
      <c r="C254" s="14" t="str">
        <f aca="false">IF(B254="","",IFERROR(INDEX('CLM &amp; IM Mapping'!$B$2:$B$270,MATCH(TRIM(B254),'CLM &amp; IM Mapping'!$A$2:$A$270,0)),"Not Mapped"))</f>
        <v>Akshay P</v>
      </c>
      <c r="D254" s="14" t="str">
        <f aca="false">IF(B254="","",IFERROR(INDEX('CLM &amp; IM Mapping'!$C$2:$C$270,MATCH(TRIM(B254),'CLM &amp; IM Mapping'!$A$2:$A$270,0)),"Not Mapped"))</f>
        <v>Srittam Dhal</v>
      </c>
      <c r="E254" s="13" t="s">
        <v>18</v>
      </c>
      <c r="F254" s="13" t="s">
        <v>297</v>
      </c>
      <c r="G254" s="13" t="s">
        <v>108</v>
      </c>
      <c r="H254" s="15" t="n">
        <v>7007</v>
      </c>
      <c r="I254" s="16" t="n">
        <v>0.59</v>
      </c>
      <c r="J254" s="16" t="n">
        <v>0.97</v>
      </c>
      <c r="K254" s="16" t="n">
        <v>0.98</v>
      </c>
      <c r="L254" s="16" t="n">
        <v>0.97</v>
      </c>
    </row>
    <row r="255" customFormat="false" ht="15.75" hidden="false" customHeight="false" outlineLevel="0" collapsed="false">
      <c r="B255" s="13"/>
      <c r="E255" s="13"/>
      <c r="F255" s="18"/>
      <c r="G255" s="13"/>
      <c r="H255" s="16"/>
      <c r="I255" s="16"/>
      <c r="J255" s="16"/>
    </row>
    <row r="256" customFormat="false" ht="15.75" hidden="false" customHeight="false" outlineLevel="0" collapsed="false">
      <c r="B256" s="13"/>
      <c r="E256" s="13"/>
      <c r="F256" s="18"/>
      <c r="G256" s="13"/>
      <c r="H256" s="16"/>
      <c r="I256" s="16"/>
      <c r="J256" s="16"/>
    </row>
  </sheetData>
  <autoFilter ref="B2:L254"/>
  <conditionalFormatting sqref="H3:H254">
    <cfRule type="colorScale" priority="2">
      <colorScale>
        <cfvo type="min" val="0"/>
        <cfvo type="max" val="0"/>
        <color rgb="FFFFFFFF"/>
        <color rgb="FF5A8AC6"/>
      </colorScale>
    </cfRule>
  </conditionalFormatting>
  <conditionalFormatting sqref="I3:I254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3:J254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K3:K254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L3:L254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sheetData>
    <row r="1" customFormat="false" ht="15.75" hidden="false" customHeight="false" outlineLevel="0" collapsed="false">
      <c r="A1" s="19" t="s">
        <v>301</v>
      </c>
      <c r="B1" s="20" t="s">
        <v>302</v>
      </c>
      <c r="C1" s="20" t="s">
        <v>303</v>
      </c>
    </row>
    <row r="2" customFormat="false" ht="15.75" hidden="false" customHeight="false" outlineLevel="0" collapsed="false">
      <c r="A2" s="21" t="s">
        <v>173</v>
      </c>
      <c r="B2" s="22" t="s">
        <v>304</v>
      </c>
      <c r="C2" s="23" t="s">
        <v>305</v>
      </c>
    </row>
    <row r="3" customFormat="false" ht="15.75" hidden="false" customHeight="false" outlineLevel="0" collapsed="false">
      <c r="A3" s="21" t="s">
        <v>159</v>
      </c>
      <c r="B3" s="22" t="s">
        <v>304</v>
      </c>
      <c r="C3" s="23" t="s">
        <v>305</v>
      </c>
    </row>
    <row r="4" customFormat="false" ht="15.75" hidden="false" customHeight="false" outlineLevel="0" collapsed="false">
      <c r="A4" s="21" t="s">
        <v>145</v>
      </c>
      <c r="B4" s="22" t="s">
        <v>304</v>
      </c>
      <c r="C4" s="23" t="s">
        <v>305</v>
      </c>
    </row>
    <row r="5" customFormat="false" ht="15.75" hidden="false" customHeight="false" outlineLevel="0" collapsed="false">
      <c r="A5" s="21" t="s">
        <v>258</v>
      </c>
      <c r="B5" s="22" t="s">
        <v>306</v>
      </c>
      <c r="C5" s="23" t="s">
        <v>305</v>
      </c>
    </row>
    <row r="6" customFormat="false" ht="15.75" hidden="false" customHeight="false" outlineLevel="0" collapsed="false">
      <c r="A6" s="21" t="s">
        <v>220</v>
      </c>
      <c r="B6" s="22" t="s">
        <v>306</v>
      </c>
      <c r="C6" s="23" t="s">
        <v>305</v>
      </c>
    </row>
    <row r="7" customFormat="false" ht="15.75" hidden="false" customHeight="false" outlineLevel="0" collapsed="false">
      <c r="A7" s="21" t="s">
        <v>216</v>
      </c>
      <c r="B7" s="22" t="s">
        <v>304</v>
      </c>
      <c r="C7" s="23" t="s">
        <v>305</v>
      </c>
    </row>
    <row r="8" customFormat="false" ht="15.75" hidden="false" customHeight="false" outlineLevel="0" collapsed="false">
      <c r="A8" s="21" t="s">
        <v>73</v>
      </c>
      <c r="B8" s="22" t="s">
        <v>307</v>
      </c>
      <c r="C8" s="23" t="s">
        <v>305</v>
      </c>
    </row>
    <row r="9" customFormat="false" ht="15.75" hidden="false" customHeight="false" outlineLevel="0" collapsed="false">
      <c r="A9" s="21" t="s">
        <v>167</v>
      </c>
      <c r="B9" s="22" t="s">
        <v>307</v>
      </c>
      <c r="C9" s="23" t="s">
        <v>305</v>
      </c>
    </row>
    <row r="10" customFormat="false" ht="15.75" hidden="false" customHeight="false" outlineLevel="0" collapsed="false">
      <c r="A10" s="21" t="s">
        <v>29</v>
      </c>
      <c r="B10" s="22" t="s">
        <v>307</v>
      </c>
      <c r="C10" s="23" t="s">
        <v>305</v>
      </c>
    </row>
    <row r="11" customFormat="false" ht="15.75" hidden="false" customHeight="false" outlineLevel="0" collapsed="false">
      <c r="A11" s="21" t="s">
        <v>127</v>
      </c>
      <c r="B11" s="22" t="s">
        <v>307</v>
      </c>
      <c r="C11" s="23" t="s">
        <v>305</v>
      </c>
    </row>
    <row r="12" customFormat="false" ht="15.75" hidden="false" customHeight="false" outlineLevel="0" collapsed="false">
      <c r="A12" s="21" t="s">
        <v>65</v>
      </c>
      <c r="B12" s="22" t="s">
        <v>307</v>
      </c>
      <c r="C12" s="23" t="s">
        <v>305</v>
      </c>
    </row>
    <row r="13" customFormat="false" ht="15.75" hidden="false" customHeight="false" outlineLevel="0" collapsed="false">
      <c r="A13" s="21" t="s">
        <v>141</v>
      </c>
      <c r="B13" s="22" t="s">
        <v>307</v>
      </c>
      <c r="C13" s="23" t="s">
        <v>305</v>
      </c>
    </row>
    <row r="14" customFormat="false" ht="15.75" hidden="false" customHeight="false" outlineLevel="0" collapsed="false">
      <c r="A14" s="21" t="s">
        <v>99</v>
      </c>
      <c r="B14" s="22" t="s">
        <v>307</v>
      </c>
      <c r="C14" s="23" t="s">
        <v>305</v>
      </c>
    </row>
    <row r="15" customFormat="false" ht="15.75" hidden="false" customHeight="false" outlineLevel="0" collapsed="false">
      <c r="A15" s="21" t="s">
        <v>96</v>
      </c>
      <c r="B15" s="24" t="s">
        <v>308</v>
      </c>
      <c r="C15" s="23" t="s">
        <v>305</v>
      </c>
    </row>
    <row r="16" customFormat="false" ht="15.75" hidden="false" customHeight="false" outlineLevel="0" collapsed="false">
      <c r="A16" s="21" t="s">
        <v>190</v>
      </c>
      <c r="B16" s="22" t="s">
        <v>308</v>
      </c>
      <c r="C16" s="23" t="s">
        <v>305</v>
      </c>
    </row>
    <row r="17" customFormat="false" ht="15.75" hidden="false" customHeight="false" outlineLevel="0" collapsed="false">
      <c r="A17" s="21" t="s">
        <v>215</v>
      </c>
      <c r="B17" s="22" t="s">
        <v>308</v>
      </c>
      <c r="C17" s="23" t="s">
        <v>305</v>
      </c>
    </row>
    <row r="18" customFormat="false" ht="15.75" hidden="false" customHeight="false" outlineLevel="0" collapsed="false">
      <c r="A18" s="21" t="s">
        <v>198</v>
      </c>
      <c r="B18" s="22" t="s">
        <v>308</v>
      </c>
      <c r="C18" s="23" t="s">
        <v>305</v>
      </c>
    </row>
    <row r="19" customFormat="false" ht="15.75" hidden="false" customHeight="false" outlineLevel="0" collapsed="false">
      <c r="A19" s="21" t="s">
        <v>142</v>
      </c>
      <c r="B19" s="22" t="s">
        <v>308</v>
      </c>
      <c r="C19" s="23" t="s">
        <v>305</v>
      </c>
    </row>
    <row r="20" customFormat="false" ht="15.75" hidden="false" customHeight="false" outlineLevel="0" collapsed="false">
      <c r="A20" s="21" t="s">
        <v>253</v>
      </c>
      <c r="B20" s="22" t="s">
        <v>308</v>
      </c>
      <c r="C20" s="23" t="s">
        <v>305</v>
      </c>
    </row>
    <row r="21" customFormat="false" ht="15.75" hidden="false" customHeight="false" outlineLevel="0" collapsed="false">
      <c r="A21" s="21" t="s">
        <v>149</v>
      </c>
      <c r="B21" s="22" t="s">
        <v>309</v>
      </c>
      <c r="C21" s="23" t="s">
        <v>305</v>
      </c>
    </row>
    <row r="22" customFormat="false" ht="15.75" hidden="false" customHeight="false" outlineLevel="0" collapsed="false">
      <c r="A22" s="21" t="s">
        <v>251</v>
      </c>
      <c r="B22" s="22" t="s">
        <v>309</v>
      </c>
      <c r="C22" s="23" t="s">
        <v>305</v>
      </c>
    </row>
    <row r="23" customFormat="false" ht="15.75" hidden="false" customHeight="false" outlineLevel="0" collapsed="false">
      <c r="A23" s="21" t="s">
        <v>151</v>
      </c>
      <c r="B23" s="22" t="s">
        <v>309</v>
      </c>
      <c r="C23" s="23" t="s">
        <v>305</v>
      </c>
    </row>
    <row r="24" customFormat="false" ht="15.75" hidden="false" customHeight="false" outlineLevel="0" collapsed="false">
      <c r="A24" s="21" t="s">
        <v>276</v>
      </c>
      <c r="B24" s="22" t="s">
        <v>309</v>
      </c>
      <c r="C24" s="23" t="s">
        <v>305</v>
      </c>
    </row>
    <row r="25" customFormat="false" ht="15.75" hidden="false" customHeight="false" outlineLevel="0" collapsed="false">
      <c r="A25" s="21" t="s">
        <v>247</v>
      </c>
      <c r="B25" s="22" t="s">
        <v>309</v>
      </c>
      <c r="C25" s="23" t="s">
        <v>305</v>
      </c>
    </row>
    <row r="26" customFormat="false" ht="15.75" hidden="false" customHeight="false" outlineLevel="0" collapsed="false">
      <c r="A26" s="21" t="s">
        <v>188</v>
      </c>
      <c r="B26" s="22" t="s">
        <v>309</v>
      </c>
      <c r="C26" s="23" t="s">
        <v>305</v>
      </c>
    </row>
    <row r="27" customFormat="false" ht="15.75" hidden="false" customHeight="false" outlineLevel="0" collapsed="false">
      <c r="A27" s="21" t="s">
        <v>35</v>
      </c>
      <c r="B27" s="22" t="s">
        <v>309</v>
      </c>
      <c r="C27" s="23" t="s">
        <v>305</v>
      </c>
    </row>
    <row r="28" customFormat="false" ht="15.75" hidden="false" customHeight="false" outlineLevel="0" collapsed="false">
      <c r="A28" s="21" t="s">
        <v>77</v>
      </c>
      <c r="B28" s="22" t="s">
        <v>309</v>
      </c>
      <c r="C28" s="23" t="s">
        <v>305</v>
      </c>
    </row>
    <row r="29" customFormat="false" ht="15.75" hidden="false" customHeight="false" outlineLevel="0" collapsed="false">
      <c r="A29" s="21" t="s">
        <v>199</v>
      </c>
      <c r="B29" s="22" t="s">
        <v>309</v>
      </c>
      <c r="C29" s="23" t="s">
        <v>305</v>
      </c>
    </row>
    <row r="30" customFormat="false" ht="15.75" hidden="false" customHeight="false" outlineLevel="0" collapsed="false">
      <c r="A30" s="21" t="s">
        <v>175</v>
      </c>
      <c r="B30" s="22" t="s">
        <v>309</v>
      </c>
      <c r="C30" s="23" t="s">
        <v>305</v>
      </c>
    </row>
    <row r="31" customFormat="false" ht="15.75" hidden="false" customHeight="false" outlineLevel="0" collapsed="false">
      <c r="A31" s="21" t="s">
        <v>206</v>
      </c>
      <c r="B31" s="22" t="s">
        <v>304</v>
      </c>
      <c r="C31" s="23" t="s">
        <v>305</v>
      </c>
    </row>
    <row r="32" customFormat="false" ht="15.75" hidden="false" customHeight="false" outlineLevel="0" collapsed="false">
      <c r="A32" s="21" t="s">
        <v>36</v>
      </c>
      <c r="B32" s="22" t="s">
        <v>310</v>
      </c>
      <c r="C32" s="23" t="s">
        <v>305</v>
      </c>
    </row>
    <row r="33" customFormat="false" ht="15.75" hidden="false" customHeight="false" outlineLevel="0" collapsed="false">
      <c r="A33" s="21" t="s">
        <v>134</v>
      </c>
      <c r="B33" s="22" t="s">
        <v>310</v>
      </c>
      <c r="C33" s="23" t="s">
        <v>305</v>
      </c>
    </row>
    <row r="34" customFormat="false" ht="15.75" hidden="false" customHeight="false" outlineLevel="0" collapsed="false">
      <c r="A34" s="21" t="s">
        <v>164</v>
      </c>
      <c r="B34" s="22" t="s">
        <v>304</v>
      </c>
      <c r="C34" s="23" t="s">
        <v>305</v>
      </c>
    </row>
    <row r="35" customFormat="false" ht="15.75" hidden="false" customHeight="false" outlineLevel="0" collapsed="false">
      <c r="A35" s="21" t="s">
        <v>205</v>
      </c>
      <c r="B35" s="22" t="s">
        <v>304</v>
      </c>
      <c r="C35" s="23" t="s">
        <v>305</v>
      </c>
    </row>
    <row r="36" customFormat="false" ht="15.75" hidden="false" customHeight="false" outlineLevel="0" collapsed="false">
      <c r="A36" s="21" t="s">
        <v>123</v>
      </c>
      <c r="B36" s="22" t="s">
        <v>304</v>
      </c>
      <c r="C36" s="23" t="s">
        <v>305</v>
      </c>
    </row>
    <row r="37" customFormat="false" ht="15.75" hidden="false" customHeight="false" outlineLevel="0" collapsed="false">
      <c r="A37" s="21" t="s">
        <v>17</v>
      </c>
      <c r="B37" s="22" t="s">
        <v>304</v>
      </c>
      <c r="C37" s="23" t="s">
        <v>305</v>
      </c>
    </row>
    <row r="38" customFormat="false" ht="15.75" hidden="false" customHeight="false" outlineLevel="0" collapsed="false">
      <c r="A38" s="21" t="s">
        <v>117</v>
      </c>
      <c r="B38" s="22" t="s">
        <v>304</v>
      </c>
      <c r="C38" s="23" t="s">
        <v>305</v>
      </c>
    </row>
    <row r="39" customFormat="false" ht="15.75" hidden="false" customHeight="false" outlineLevel="0" collapsed="false">
      <c r="A39" s="21" t="s">
        <v>38</v>
      </c>
      <c r="B39" s="22" t="s">
        <v>304</v>
      </c>
      <c r="C39" s="23" t="s">
        <v>305</v>
      </c>
    </row>
    <row r="40" customFormat="false" ht="15.75" hidden="false" customHeight="false" outlineLevel="0" collapsed="false">
      <c r="A40" s="21" t="s">
        <v>102</v>
      </c>
      <c r="B40" s="22" t="s">
        <v>304</v>
      </c>
      <c r="C40" s="23" t="s">
        <v>305</v>
      </c>
    </row>
    <row r="41" customFormat="false" ht="15.75" hidden="false" customHeight="false" outlineLevel="0" collapsed="false">
      <c r="A41" s="21" t="s">
        <v>222</v>
      </c>
      <c r="B41" s="22" t="s">
        <v>306</v>
      </c>
      <c r="C41" s="23" t="s">
        <v>305</v>
      </c>
    </row>
    <row r="42" customFormat="false" ht="15.75" hidden="false" customHeight="false" outlineLevel="0" collapsed="false">
      <c r="A42" s="21" t="s">
        <v>125</v>
      </c>
      <c r="B42" s="22" t="s">
        <v>306</v>
      </c>
      <c r="C42" s="23" t="s">
        <v>305</v>
      </c>
    </row>
    <row r="43" customFormat="false" ht="15.75" hidden="false" customHeight="false" outlineLevel="0" collapsed="false">
      <c r="A43" s="21" t="s">
        <v>248</v>
      </c>
      <c r="B43" s="22" t="s">
        <v>306</v>
      </c>
      <c r="C43" s="23" t="s">
        <v>305</v>
      </c>
    </row>
    <row r="44" customFormat="false" ht="15.75" hidden="false" customHeight="false" outlineLevel="0" collapsed="false">
      <c r="A44" s="21" t="s">
        <v>181</v>
      </c>
      <c r="B44" s="22" t="s">
        <v>306</v>
      </c>
      <c r="C44" s="23" t="s">
        <v>305</v>
      </c>
    </row>
    <row r="45" customFormat="false" ht="15.75" hidden="false" customHeight="false" outlineLevel="0" collapsed="false">
      <c r="A45" s="21" t="s">
        <v>200</v>
      </c>
      <c r="B45" s="22" t="s">
        <v>306</v>
      </c>
      <c r="C45" s="23" t="s">
        <v>305</v>
      </c>
    </row>
    <row r="46" customFormat="false" ht="15.75" hidden="false" customHeight="false" outlineLevel="0" collapsed="false">
      <c r="A46" s="21" t="s">
        <v>25</v>
      </c>
      <c r="B46" s="22" t="s">
        <v>306</v>
      </c>
      <c r="C46" s="23" t="s">
        <v>305</v>
      </c>
    </row>
    <row r="47" customFormat="false" ht="15.75" hidden="false" customHeight="false" outlineLevel="0" collapsed="false">
      <c r="A47" s="25" t="s">
        <v>232</v>
      </c>
      <c r="B47" s="23" t="s">
        <v>306</v>
      </c>
      <c r="C47" s="23" t="s">
        <v>305</v>
      </c>
    </row>
    <row r="48" customFormat="false" ht="15.75" hidden="false" customHeight="false" outlineLevel="0" collapsed="false">
      <c r="A48" s="25" t="s">
        <v>121</v>
      </c>
      <c r="B48" s="23" t="s">
        <v>306</v>
      </c>
      <c r="C48" s="23" t="s">
        <v>305</v>
      </c>
    </row>
    <row r="49" customFormat="false" ht="15.75" hidden="false" customHeight="false" outlineLevel="0" collapsed="false">
      <c r="A49" s="21" t="s">
        <v>311</v>
      </c>
      <c r="B49" s="22" t="s">
        <v>306</v>
      </c>
      <c r="C49" s="23" t="s">
        <v>305</v>
      </c>
    </row>
    <row r="50" customFormat="false" ht="15.75" hidden="false" customHeight="false" outlineLevel="0" collapsed="false">
      <c r="A50" s="21" t="s">
        <v>81</v>
      </c>
      <c r="B50" s="22" t="s">
        <v>306</v>
      </c>
      <c r="C50" s="23" t="s">
        <v>305</v>
      </c>
    </row>
    <row r="51" customFormat="false" ht="15.75" hidden="false" customHeight="false" outlineLevel="0" collapsed="false">
      <c r="A51" s="21" t="s">
        <v>166</v>
      </c>
      <c r="B51" s="22" t="s">
        <v>306</v>
      </c>
      <c r="C51" s="23" t="s">
        <v>305</v>
      </c>
    </row>
    <row r="52" customFormat="false" ht="15.75" hidden="false" customHeight="false" outlineLevel="0" collapsed="false">
      <c r="A52" s="25" t="s">
        <v>62</v>
      </c>
      <c r="B52" s="23" t="s">
        <v>306</v>
      </c>
      <c r="C52" s="23" t="s">
        <v>305</v>
      </c>
    </row>
    <row r="53" customFormat="false" ht="15.75" hidden="false" customHeight="false" outlineLevel="0" collapsed="false">
      <c r="A53" s="21" t="s">
        <v>114</v>
      </c>
      <c r="B53" s="22" t="s">
        <v>312</v>
      </c>
      <c r="C53" s="22" t="s">
        <v>313</v>
      </c>
    </row>
    <row r="54" customFormat="false" ht="15.75" hidden="false" customHeight="false" outlineLevel="0" collapsed="false">
      <c r="A54" s="21" t="s">
        <v>75</v>
      </c>
      <c r="B54" s="22" t="s">
        <v>312</v>
      </c>
      <c r="C54" s="22" t="s">
        <v>313</v>
      </c>
    </row>
    <row r="55" customFormat="false" ht="15.75" hidden="false" customHeight="false" outlineLevel="0" collapsed="false">
      <c r="A55" s="21" t="s">
        <v>165</v>
      </c>
      <c r="B55" s="22" t="s">
        <v>312</v>
      </c>
      <c r="C55" s="22" t="s">
        <v>313</v>
      </c>
    </row>
    <row r="56" customFormat="false" ht="15.75" hidden="false" customHeight="false" outlineLevel="0" collapsed="false">
      <c r="A56" s="21" t="s">
        <v>79</v>
      </c>
      <c r="B56" s="22" t="s">
        <v>312</v>
      </c>
      <c r="C56" s="22" t="s">
        <v>313</v>
      </c>
    </row>
    <row r="57" customFormat="false" ht="15.75" hidden="false" customHeight="false" outlineLevel="0" collapsed="false">
      <c r="A57" s="21" t="s">
        <v>124</v>
      </c>
      <c r="B57" s="24" t="s">
        <v>312</v>
      </c>
      <c r="C57" s="22" t="s">
        <v>313</v>
      </c>
    </row>
    <row r="58" customFormat="false" ht="15.75" hidden="false" customHeight="false" outlineLevel="0" collapsed="false">
      <c r="A58" s="21" t="s">
        <v>64</v>
      </c>
      <c r="B58" s="22" t="s">
        <v>312</v>
      </c>
      <c r="C58" s="22" t="s">
        <v>313</v>
      </c>
    </row>
    <row r="59" customFormat="false" ht="15.75" hidden="false" customHeight="false" outlineLevel="0" collapsed="false">
      <c r="A59" s="21" t="s">
        <v>50</v>
      </c>
      <c r="B59" s="22" t="s">
        <v>312</v>
      </c>
      <c r="C59" s="22" t="s">
        <v>313</v>
      </c>
    </row>
    <row r="60" customFormat="false" ht="15.75" hidden="false" customHeight="false" outlineLevel="0" collapsed="false">
      <c r="A60" s="21" t="s">
        <v>155</v>
      </c>
      <c r="B60" s="22" t="s">
        <v>312</v>
      </c>
      <c r="C60" s="22" t="s">
        <v>313</v>
      </c>
    </row>
    <row r="61" customFormat="false" ht="15.75" hidden="false" customHeight="false" outlineLevel="0" collapsed="false">
      <c r="A61" s="21" t="s">
        <v>187</v>
      </c>
      <c r="B61" s="22" t="s">
        <v>312</v>
      </c>
      <c r="C61" s="22" t="s">
        <v>313</v>
      </c>
    </row>
    <row r="62" customFormat="false" ht="15.75" hidden="false" customHeight="false" outlineLevel="0" collapsed="false">
      <c r="A62" s="21" t="s">
        <v>252</v>
      </c>
      <c r="B62" s="22" t="s">
        <v>312</v>
      </c>
      <c r="C62" s="22" t="s">
        <v>313</v>
      </c>
    </row>
    <row r="63" customFormat="false" ht="15.75" hidden="false" customHeight="false" outlineLevel="0" collapsed="false">
      <c r="A63" s="21" t="s">
        <v>249</v>
      </c>
      <c r="B63" s="22" t="s">
        <v>314</v>
      </c>
      <c r="C63" s="22" t="s">
        <v>313</v>
      </c>
    </row>
    <row r="64" customFormat="false" ht="15.75" hidden="false" customHeight="false" outlineLevel="0" collapsed="false">
      <c r="A64" s="21" t="s">
        <v>150</v>
      </c>
      <c r="B64" s="22" t="s">
        <v>314</v>
      </c>
      <c r="C64" s="22" t="s">
        <v>313</v>
      </c>
    </row>
    <row r="65" customFormat="false" ht="15.75" hidden="false" customHeight="false" outlineLevel="0" collapsed="false">
      <c r="A65" s="21" t="s">
        <v>91</v>
      </c>
      <c r="B65" s="24" t="s">
        <v>314</v>
      </c>
      <c r="C65" s="22" t="s">
        <v>313</v>
      </c>
    </row>
    <row r="66" customFormat="false" ht="15.75" hidden="false" customHeight="false" outlineLevel="0" collapsed="false">
      <c r="A66" s="21" t="s">
        <v>154</v>
      </c>
      <c r="B66" s="22" t="s">
        <v>314</v>
      </c>
      <c r="C66" s="22" t="s">
        <v>313</v>
      </c>
    </row>
    <row r="67" customFormat="false" ht="15.75" hidden="false" customHeight="false" outlineLevel="0" collapsed="false">
      <c r="A67" s="21" t="s">
        <v>54</v>
      </c>
      <c r="B67" s="22" t="s">
        <v>314</v>
      </c>
      <c r="C67" s="22" t="s">
        <v>313</v>
      </c>
    </row>
    <row r="68" customFormat="false" ht="15.75" hidden="false" customHeight="false" outlineLevel="0" collapsed="false">
      <c r="A68" s="21" t="s">
        <v>71</v>
      </c>
      <c r="B68" s="22" t="s">
        <v>314</v>
      </c>
      <c r="C68" s="22" t="s">
        <v>313</v>
      </c>
    </row>
    <row r="69" customFormat="false" ht="15.75" hidden="false" customHeight="false" outlineLevel="0" collapsed="false">
      <c r="A69" s="21" t="s">
        <v>69</v>
      </c>
      <c r="B69" s="22" t="s">
        <v>312</v>
      </c>
      <c r="C69" s="22" t="s">
        <v>313</v>
      </c>
    </row>
    <row r="70" customFormat="false" ht="15.75" hidden="false" customHeight="false" outlineLevel="0" collapsed="false">
      <c r="A70" s="21" t="s">
        <v>144</v>
      </c>
      <c r="B70" s="22" t="s">
        <v>312</v>
      </c>
      <c r="C70" s="22" t="s">
        <v>313</v>
      </c>
    </row>
    <row r="71" customFormat="false" ht="15.75" hidden="false" customHeight="false" outlineLevel="0" collapsed="false">
      <c r="A71" s="21" t="s">
        <v>23</v>
      </c>
      <c r="B71" s="22" t="s">
        <v>312</v>
      </c>
      <c r="C71" s="23" t="s">
        <v>313</v>
      </c>
    </row>
    <row r="72" customFormat="false" ht="15.75" hidden="false" customHeight="false" outlineLevel="0" collapsed="false">
      <c r="A72" s="21" t="s">
        <v>109</v>
      </c>
      <c r="B72" s="22" t="s">
        <v>312</v>
      </c>
      <c r="C72" s="22" t="s">
        <v>313</v>
      </c>
    </row>
    <row r="73" customFormat="false" ht="15.75" hidden="false" customHeight="false" outlineLevel="0" collapsed="false">
      <c r="A73" s="21" t="s">
        <v>59</v>
      </c>
      <c r="B73" s="22" t="s">
        <v>314</v>
      </c>
      <c r="C73" s="22" t="s">
        <v>313</v>
      </c>
    </row>
    <row r="74" customFormat="false" ht="15.75" hidden="false" customHeight="false" outlineLevel="0" collapsed="false">
      <c r="A74" s="25" t="s">
        <v>204</v>
      </c>
      <c r="B74" s="23" t="s">
        <v>314</v>
      </c>
      <c r="C74" s="23" t="s">
        <v>313</v>
      </c>
    </row>
    <row r="75" customFormat="false" ht="15.75" hidden="false" customHeight="false" outlineLevel="0" collapsed="false">
      <c r="A75" s="25" t="s">
        <v>218</v>
      </c>
      <c r="B75" s="23" t="s">
        <v>312</v>
      </c>
      <c r="C75" s="23" t="s">
        <v>313</v>
      </c>
    </row>
    <row r="76" customFormat="false" ht="15.75" hidden="false" customHeight="false" outlineLevel="0" collapsed="false">
      <c r="A76" s="21" t="s">
        <v>51</v>
      </c>
      <c r="B76" s="22" t="s">
        <v>315</v>
      </c>
      <c r="C76" s="22" t="s">
        <v>316</v>
      </c>
    </row>
    <row r="77" customFormat="false" ht="15.75" hidden="false" customHeight="false" outlineLevel="0" collapsed="false">
      <c r="A77" s="21" t="s">
        <v>39</v>
      </c>
      <c r="B77" s="22" t="s">
        <v>315</v>
      </c>
      <c r="C77" s="22" t="s">
        <v>316</v>
      </c>
    </row>
    <row r="78" customFormat="false" ht="15.75" hidden="false" customHeight="false" outlineLevel="0" collapsed="false">
      <c r="A78" s="21" t="s">
        <v>101</v>
      </c>
      <c r="B78" s="22" t="s">
        <v>315</v>
      </c>
      <c r="C78" s="22" t="s">
        <v>316</v>
      </c>
    </row>
    <row r="79" customFormat="false" ht="15.75" hidden="false" customHeight="false" outlineLevel="0" collapsed="false">
      <c r="A79" s="21" t="s">
        <v>131</v>
      </c>
      <c r="B79" s="22" t="s">
        <v>315</v>
      </c>
      <c r="C79" s="22" t="s">
        <v>316</v>
      </c>
    </row>
    <row r="80" customFormat="false" ht="15.75" hidden="false" customHeight="false" outlineLevel="0" collapsed="false">
      <c r="A80" s="21" t="s">
        <v>21</v>
      </c>
      <c r="B80" s="22" t="s">
        <v>315</v>
      </c>
      <c r="C80" s="22" t="s">
        <v>316</v>
      </c>
    </row>
    <row r="81" customFormat="false" ht="15.75" hidden="false" customHeight="false" outlineLevel="0" collapsed="false">
      <c r="A81" s="21" t="s">
        <v>130</v>
      </c>
      <c r="B81" s="22" t="s">
        <v>315</v>
      </c>
      <c r="C81" s="22" t="s">
        <v>316</v>
      </c>
    </row>
    <row r="82" customFormat="false" ht="15.75" hidden="false" customHeight="false" outlineLevel="0" collapsed="false">
      <c r="A82" s="21" t="s">
        <v>233</v>
      </c>
      <c r="B82" s="22" t="s">
        <v>315</v>
      </c>
      <c r="C82" s="23" t="s">
        <v>316</v>
      </c>
    </row>
    <row r="83" customFormat="false" ht="15.75" hidden="false" customHeight="false" outlineLevel="0" collapsed="false">
      <c r="A83" s="21" t="s">
        <v>241</v>
      </c>
      <c r="B83" s="22" t="s">
        <v>315</v>
      </c>
      <c r="C83" s="22" t="s">
        <v>316</v>
      </c>
    </row>
    <row r="84" customFormat="false" ht="15.75" hidden="false" customHeight="false" outlineLevel="0" collapsed="false">
      <c r="A84" s="21" t="s">
        <v>112</v>
      </c>
      <c r="B84" s="22" t="s">
        <v>315</v>
      </c>
      <c r="C84" s="22" t="s">
        <v>316</v>
      </c>
    </row>
    <row r="85" customFormat="false" ht="15.75" hidden="false" customHeight="false" outlineLevel="0" collapsed="false">
      <c r="A85" s="21" t="s">
        <v>265</v>
      </c>
      <c r="B85" s="22" t="s">
        <v>315</v>
      </c>
      <c r="C85" s="22" t="s">
        <v>316</v>
      </c>
    </row>
    <row r="86" customFormat="false" ht="15.75" hidden="false" customHeight="false" outlineLevel="0" collapsed="false">
      <c r="A86" s="21" t="s">
        <v>70</v>
      </c>
      <c r="B86" s="22" t="s">
        <v>315</v>
      </c>
      <c r="C86" s="22" t="s">
        <v>316</v>
      </c>
    </row>
    <row r="87" customFormat="false" ht="15.75" hidden="false" customHeight="false" outlineLevel="0" collapsed="false">
      <c r="A87" s="21" t="s">
        <v>268</v>
      </c>
      <c r="B87" s="22" t="s">
        <v>315</v>
      </c>
      <c r="C87" s="22" t="s">
        <v>316</v>
      </c>
    </row>
    <row r="88" customFormat="false" ht="15.75" hidden="false" customHeight="false" outlineLevel="0" collapsed="false">
      <c r="A88" s="21" t="s">
        <v>157</v>
      </c>
      <c r="B88" s="22" t="s">
        <v>315</v>
      </c>
      <c r="C88" s="22" t="s">
        <v>316</v>
      </c>
    </row>
    <row r="89" customFormat="false" ht="15.75" hidden="false" customHeight="false" outlineLevel="0" collapsed="false">
      <c r="A89" s="21" t="s">
        <v>226</v>
      </c>
      <c r="B89" s="22" t="s">
        <v>315</v>
      </c>
      <c r="C89" s="22" t="s">
        <v>316</v>
      </c>
    </row>
    <row r="90" customFormat="false" ht="15.75" hidden="false" customHeight="false" outlineLevel="0" collapsed="false">
      <c r="A90" s="21" t="s">
        <v>184</v>
      </c>
      <c r="B90" s="22" t="s">
        <v>315</v>
      </c>
      <c r="C90" s="22" t="s">
        <v>316</v>
      </c>
    </row>
    <row r="91" customFormat="false" ht="15.75" hidden="false" customHeight="false" outlineLevel="0" collapsed="false">
      <c r="A91" s="21" t="s">
        <v>168</v>
      </c>
      <c r="B91" s="22" t="s">
        <v>315</v>
      </c>
      <c r="C91" s="22" t="s">
        <v>316</v>
      </c>
    </row>
    <row r="92" customFormat="false" ht="15.75" hidden="false" customHeight="false" outlineLevel="0" collapsed="false">
      <c r="A92" s="21" t="s">
        <v>120</v>
      </c>
      <c r="B92" s="22" t="s">
        <v>315</v>
      </c>
      <c r="C92" s="22" t="s">
        <v>316</v>
      </c>
    </row>
    <row r="93" customFormat="false" ht="15.75" hidden="false" customHeight="false" outlineLevel="0" collapsed="false">
      <c r="A93" s="21" t="s">
        <v>97</v>
      </c>
      <c r="B93" s="22" t="s">
        <v>315</v>
      </c>
      <c r="C93" s="22" t="s">
        <v>316</v>
      </c>
    </row>
    <row r="94" customFormat="false" ht="15.75" hidden="false" customHeight="false" outlineLevel="0" collapsed="false">
      <c r="A94" s="21" t="s">
        <v>132</v>
      </c>
      <c r="B94" s="22" t="s">
        <v>315</v>
      </c>
      <c r="C94" s="24" t="s">
        <v>316</v>
      </c>
    </row>
    <row r="95" customFormat="false" ht="15.75" hidden="false" customHeight="false" outlineLevel="0" collapsed="false">
      <c r="A95" s="21" t="s">
        <v>119</v>
      </c>
      <c r="B95" s="22" t="s">
        <v>315</v>
      </c>
      <c r="C95" s="22" t="s">
        <v>316</v>
      </c>
    </row>
    <row r="96" customFormat="false" ht="15.75" hidden="false" customHeight="false" outlineLevel="0" collapsed="false">
      <c r="A96" s="21" t="s">
        <v>272</v>
      </c>
      <c r="B96" s="22" t="s">
        <v>315</v>
      </c>
      <c r="C96" s="22" t="s">
        <v>316</v>
      </c>
    </row>
    <row r="97" customFormat="false" ht="15.75" hidden="false" customHeight="false" outlineLevel="0" collapsed="false">
      <c r="A97" s="21" t="s">
        <v>300</v>
      </c>
      <c r="B97" s="22" t="s">
        <v>315</v>
      </c>
      <c r="C97" s="22" t="s">
        <v>316</v>
      </c>
    </row>
    <row r="98" customFormat="false" ht="15.75" hidden="false" customHeight="false" outlineLevel="0" collapsed="false">
      <c r="A98" s="21" t="s">
        <v>213</v>
      </c>
      <c r="B98" s="22" t="s">
        <v>315</v>
      </c>
      <c r="C98" s="22" t="s">
        <v>316</v>
      </c>
    </row>
    <row r="99" customFormat="false" ht="15.75" hidden="false" customHeight="false" outlineLevel="0" collapsed="false">
      <c r="A99" s="21" t="s">
        <v>95</v>
      </c>
      <c r="B99" s="22" t="s">
        <v>315</v>
      </c>
      <c r="C99" s="22" t="s">
        <v>316</v>
      </c>
    </row>
    <row r="100" customFormat="false" ht="15.75" hidden="false" customHeight="false" outlineLevel="0" collapsed="false">
      <c r="A100" s="25" t="s">
        <v>196</v>
      </c>
      <c r="B100" s="23" t="s">
        <v>315</v>
      </c>
      <c r="C100" s="23" t="s">
        <v>316</v>
      </c>
    </row>
    <row r="101" customFormat="false" ht="15.75" hidden="false" customHeight="false" outlineLevel="0" collapsed="false">
      <c r="A101" s="21" t="s">
        <v>27</v>
      </c>
      <c r="B101" s="22" t="s">
        <v>315</v>
      </c>
      <c r="C101" s="22" t="s">
        <v>316</v>
      </c>
    </row>
    <row r="102" customFormat="false" ht="15.75" hidden="false" customHeight="false" outlineLevel="0" collapsed="false">
      <c r="A102" s="21" t="s">
        <v>147</v>
      </c>
      <c r="B102" s="22" t="s">
        <v>315</v>
      </c>
      <c r="C102" s="22" t="s">
        <v>316</v>
      </c>
    </row>
    <row r="103" customFormat="false" ht="15.75" hidden="false" customHeight="false" outlineLevel="0" collapsed="false">
      <c r="A103" s="21" t="s">
        <v>147</v>
      </c>
      <c r="B103" s="22" t="s">
        <v>315</v>
      </c>
      <c r="C103" s="22" t="s">
        <v>316</v>
      </c>
    </row>
    <row r="104" customFormat="false" ht="15.75" hidden="false" customHeight="false" outlineLevel="0" collapsed="false">
      <c r="A104" s="21" t="s">
        <v>147</v>
      </c>
      <c r="B104" s="22" t="s">
        <v>315</v>
      </c>
      <c r="C104" s="22" t="s">
        <v>316</v>
      </c>
    </row>
    <row r="105" customFormat="false" ht="15.75" hidden="false" customHeight="false" outlineLevel="0" collapsed="false">
      <c r="A105" s="21" t="s">
        <v>147</v>
      </c>
      <c r="B105" s="22" t="s">
        <v>315</v>
      </c>
      <c r="C105" s="22" t="s">
        <v>316</v>
      </c>
    </row>
    <row r="106" customFormat="false" ht="15.75" hidden="false" customHeight="false" outlineLevel="0" collapsed="false">
      <c r="A106" s="25" t="s">
        <v>300</v>
      </c>
      <c r="B106" s="24" t="s">
        <v>315</v>
      </c>
      <c r="C106" s="22" t="s">
        <v>316</v>
      </c>
    </row>
    <row r="107" customFormat="false" ht="15.75" hidden="false" customHeight="false" outlineLevel="0" collapsed="false">
      <c r="A107" s="21" t="s">
        <v>193</v>
      </c>
      <c r="B107" s="22" t="s">
        <v>317</v>
      </c>
      <c r="C107" s="22" t="s">
        <v>318</v>
      </c>
    </row>
    <row r="108" customFormat="false" ht="15.75" hidden="false" customHeight="false" outlineLevel="0" collapsed="false">
      <c r="A108" s="21" t="s">
        <v>61</v>
      </c>
      <c r="B108" s="22" t="s">
        <v>317</v>
      </c>
      <c r="C108" s="22" t="s">
        <v>318</v>
      </c>
    </row>
    <row r="109" customFormat="false" ht="15.75" hidden="false" customHeight="false" outlineLevel="0" collapsed="false">
      <c r="A109" s="21" t="s">
        <v>299</v>
      </c>
      <c r="B109" s="22" t="s">
        <v>317</v>
      </c>
      <c r="C109" s="22" t="s">
        <v>318</v>
      </c>
    </row>
    <row r="110" customFormat="false" ht="15.75" hidden="false" customHeight="false" outlineLevel="0" collapsed="false">
      <c r="A110" s="21" t="s">
        <v>146</v>
      </c>
      <c r="B110" s="22" t="s">
        <v>317</v>
      </c>
      <c r="C110" s="22" t="s">
        <v>318</v>
      </c>
    </row>
    <row r="111" customFormat="false" ht="15.75" hidden="false" customHeight="false" outlineLevel="0" collapsed="false">
      <c r="A111" s="21" t="s">
        <v>264</v>
      </c>
      <c r="B111" s="22" t="s">
        <v>317</v>
      </c>
      <c r="C111" s="22" t="s">
        <v>318</v>
      </c>
    </row>
    <row r="112" customFormat="false" ht="15.75" hidden="false" customHeight="false" outlineLevel="0" collapsed="false">
      <c r="A112" s="21" t="s">
        <v>60</v>
      </c>
      <c r="B112" s="22" t="s">
        <v>317</v>
      </c>
      <c r="C112" s="22" t="s">
        <v>318</v>
      </c>
    </row>
    <row r="113" customFormat="false" ht="15.75" hidden="false" customHeight="false" outlineLevel="0" collapsed="false">
      <c r="A113" s="21" t="s">
        <v>245</v>
      </c>
      <c r="B113" s="22" t="s">
        <v>307</v>
      </c>
      <c r="C113" s="22" t="s">
        <v>318</v>
      </c>
    </row>
    <row r="114" customFormat="false" ht="15.75" hidden="false" customHeight="false" outlineLevel="0" collapsed="false">
      <c r="A114" s="21" t="s">
        <v>176</v>
      </c>
      <c r="B114" s="22" t="s">
        <v>319</v>
      </c>
      <c r="C114" s="22" t="s">
        <v>318</v>
      </c>
    </row>
    <row r="115" customFormat="false" ht="15.75" hidden="false" customHeight="false" outlineLevel="0" collapsed="false">
      <c r="A115" s="21" t="s">
        <v>320</v>
      </c>
      <c r="B115" s="22" t="s">
        <v>319</v>
      </c>
      <c r="C115" s="22" t="s">
        <v>318</v>
      </c>
    </row>
    <row r="116" customFormat="false" ht="15.75" hidden="false" customHeight="false" outlineLevel="0" collapsed="false">
      <c r="A116" s="21" t="s">
        <v>161</v>
      </c>
      <c r="B116" s="22" t="s">
        <v>319</v>
      </c>
      <c r="C116" s="22" t="s">
        <v>318</v>
      </c>
    </row>
    <row r="117" customFormat="false" ht="15.75" hidden="false" customHeight="false" outlineLevel="0" collapsed="false">
      <c r="A117" s="21" t="s">
        <v>262</v>
      </c>
      <c r="B117" s="23" t="s">
        <v>319</v>
      </c>
      <c r="C117" s="22" t="s">
        <v>318</v>
      </c>
    </row>
    <row r="118" customFormat="false" ht="15.75" hidden="false" customHeight="false" outlineLevel="0" collapsed="false">
      <c r="A118" s="21" t="s">
        <v>78</v>
      </c>
      <c r="B118" s="22" t="s">
        <v>319</v>
      </c>
      <c r="C118" s="22" t="s">
        <v>318</v>
      </c>
    </row>
    <row r="119" customFormat="false" ht="15.75" hidden="false" customHeight="false" outlineLevel="0" collapsed="false">
      <c r="A119" s="21" t="s">
        <v>191</v>
      </c>
      <c r="B119" s="22" t="s">
        <v>319</v>
      </c>
      <c r="C119" s="22" t="s">
        <v>318</v>
      </c>
    </row>
    <row r="120" customFormat="false" ht="15.75" hidden="false" customHeight="false" outlineLevel="0" collapsed="false">
      <c r="A120" s="21" t="s">
        <v>126</v>
      </c>
      <c r="B120" s="22" t="s">
        <v>319</v>
      </c>
      <c r="C120" s="22" t="s">
        <v>318</v>
      </c>
    </row>
    <row r="121" customFormat="false" ht="15.75" hidden="false" customHeight="false" outlineLevel="0" collapsed="false">
      <c r="A121" s="21" t="s">
        <v>256</v>
      </c>
      <c r="B121" s="22" t="s">
        <v>319</v>
      </c>
      <c r="C121" s="22" t="s">
        <v>318</v>
      </c>
    </row>
    <row r="122" customFormat="false" ht="15.75" hidden="false" customHeight="false" outlineLevel="0" collapsed="false">
      <c r="A122" s="21" t="s">
        <v>94</v>
      </c>
      <c r="B122" s="22" t="s">
        <v>319</v>
      </c>
      <c r="C122" s="22" t="s">
        <v>318</v>
      </c>
    </row>
    <row r="123" customFormat="false" ht="15.75" hidden="false" customHeight="false" outlineLevel="0" collapsed="false">
      <c r="A123" s="21" t="s">
        <v>137</v>
      </c>
      <c r="B123" s="22" t="s">
        <v>319</v>
      </c>
      <c r="C123" s="22" t="s">
        <v>318</v>
      </c>
    </row>
    <row r="124" customFormat="false" ht="15.75" hidden="false" customHeight="false" outlineLevel="0" collapsed="false">
      <c r="A124" s="21" t="s">
        <v>192</v>
      </c>
      <c r="B124" s="22" t="s">
        <v>319</v>
      </c>
      <c r="C124" s="22" t="s">
        <v>318</v>
      </c>
    </row>
    <row r="125" customFormat="false" ht="15.75" hidden="false" customHeight="false" outlineLevel="0" collapsed="false">
      <c r="A125" s="21" t="s">
        <v>72</v>
      </c>
      <c r="B125" s="22" t="s">
        <v>317</v>
      </c>
      <c r="C125" s="22" t="s">
        <v>318</v>
      </c>
    </row>
    <row r="126" customFormat="false" ht="15.75" hidden="false" customHeight="false" outlineLevel="0" collapsed="false">
      <c r="A126" s="21" t="s">
        <v>116</v>
      </c>
      <c r="B126" s="22" t="s">
        <v>319</v>
      </c>
      <c r="C126" s="22" t="s">
        <v>318</v>
      </c>
    </row>
    <row r="127" customFormat="false" ht="15.75" hidden="false" customHeight="false" outlineLevel="0" collapsed="false">
      <c r="A127" s="24" t="s">
        <v>67</v>
      </c>
      <c r="B127" s="22" t="s">
        <v>319</v>
      </c>
      <c r="C127" s="22" t="s">
        <v>318</v>
      </c>
    </row>
    <row r="128" customFormat="false" ht="15.75" hidden="false" customHeight="false" outlineLevel="0" collapsed="false">
      <c r="A128" s="21" t="s">
        <v>270</v>
      </c>
      <c r="B128" s="22" t="s">
        <v>321</v>
      </c>
      <c r="C128" s="22" t="s">
        <v>322</v>
      </c>
    </row>
    <row r="129" customFormat="false" ht="15.75" hidden="false" customHeight="false" outlineLevel="0" collapsed="false">
      <c r="A129" s="21" t="s">
        <v>246</v>
      </c>
      <c r="B129" s="22" t="s">
        <v>321</v>
      </c>
      <c r="C129" s="22" t="s">
        <v>322</v>
      </c>
    </row>
    <row r="130" customFormat="false" ht="15.75" hidden="false" customHeight="false" outlineLevel="0" collapsed="false">
      <c r="A130" s="21" t="s">
        <v>122</v>
      </c>
      <c r="B130" s="22" t="s">
        <v>321</v>
      </c>
      <c r="C130" s="22" t="s">
        <v>322</v>
      </c>
    </row>
    <row r="131" customFormat="false" ht="15.75" hidden="false" customHeight="false" outlineLevel="0" collapsed="false">
      <c r="A131" s="21" t="s">
        <v>86</v>
      </c>
      <c r="B131" s="22" t="s">
        <v>321</v>
      </c>
      <c r="C131" s="22" t="s">
        <v>322</v>
      </c>
    </row>
    <row r="132" customFormat="false" ht="15.75" hidden="false" customHeight="false" outlineLevel="0" collapsed="false">
      <c r="A132" s="21" t="s">
        <v>100</v>
      </c>
      <c r="B132" s="22" t="s">
        <v>321</v>
      </c>
      <c r="C132" s="22" t="s">
        <v>322</v>
      </c>
    </row>
    <row r="133" customFormat="false" ht="15.75" hidden="false" customHeight="false" outlineLevel="0" collapsed="false">
      <c r="A133" s="21" t="s">
        <v>278</v>
      </c>
      <c r="B133" s="22" t="s">
        <v>321</v>
      </c>
      <c r="C133" s="22" t="s">
        <v>322</v>
      </c>
    </row>
    <row r="134" customFormat="false" ht="15.75" hidden="false" customHeight="false" outlineLevel="0" collapsed="false">
      <c r="A134" s="21" t="s">
        <v>275</v>
      </c>
      <c r="B134" s="22" t="s">
        <v>321</v>
      </c>
      <c r="C134" s="22" t="s">
        <v>322</v>
      </c>
    </row>
    <row r="135" customFormat="false" ht="15.75" hidden="false" customHeight="false" outlineLevel="0" collapsed="false">
      <c r="A135" s="21" t="s">
        <v>197</v>
      </c>
      <c r="B135" s="22" t="s">
        <v>323</v>
      </c>
      <c r="C135" s="22" t="s">
        <v>322</v>
      </c>
    </row>
    <row r="136" customFormat="false" ht="15.75" hidden="false" customHeight="false" outlineLevel="0" collapsed="false">
      <c r="A136" s="21" t="s">
        <v>257</v>
      </c>
      <c r="B136" s="22" t="s">
        <v>323</v>
      </c>
      <c r="C136" s="22" t="s">
        <v>322</v>
      </c>
    </row>
    <row r="137" customFormat="false" ht="15.75" hidden="false" customHeight="false" outlineLevel="0" collapsed="false">
      <c r="A137" s="21" t="s">
        <v>236</v>
      </c>
      <c r="B137" s="22" t="s">
        <v>323</v>
      </c>
      <c r="C137" s="22" t="s">
        <v>322</v>
      </c>
    </row>
    <row r="138" customFormat="false" ht="15.75" hidden="false" customHeight="false" outlineLevel="0" collapsed="false">
      <c r="A138" s="21" t="s">
        <v>224</v>
      </c>
      <c r="B138" s="22" t="s">
        <v>323</v>
      </c>
      <c r="C138" s="22" t="s">
        <v>322</v>
      </c>
    </row>
    <row r="139" customFormat="false" ht="15.75" hidden="false" customHeight="false" outlineLevel="0" collapsed="false">
      <c r="A139" s="21" t="s">
        <v>37</v>
      </c>
      <c r="B139" s="22" t="s">
        <v>323</v>
      </c>
      <c r="C139" s="22" t="s">
        <v>322</v>
      </c>
    </row>
    <row r="140" customFormat="false" ht="15.75" hidden="false" customHeight="false" outlineLevel="0" collapsed="false">
      <c r="A140" s="21" t="s">
        <v>221</v>
      </c>
      <c r="B140" s="22" t="s">
        <v>323</v>
      </c>
      <c r="C140" s="22" t="s">
        <v>322</v>
      </c>
    </row>
    <row r="141" customFormat="false" ht="15.75" hidden="false" customHeight="false" outlineLevel="0" collapsed="false">
      <c r="A141" s="21" t="s">
        <v>182</v>
      </c>
      <c r="B141" s="22" t="s">
        <v>323</v>
      </c>
      <c r="C141" s="22" t="s">
        <v>322</v>
      </c>
    </row>
    <row r="142" customFormat="false" ht="15.75" hidden="false" customHeight="false" outlineLevel="0" collapsed="false">
      <c r="A142" s="21" t="s">
        <v>74</v>
      </c>
      <c r="B142" s="22" t="s">
        <v>323</v>
      </c>
      <c r="C142" s="22" t="s">
        <v>322</v>
      </c>
    </row>
    <row r="143" customFormat="false" ht="15.75" hidden="false" customHeight="false" outlineLevel="0" collapsed="false">
      <c r="A143" s="21" t="s">
        <v>178</v>
      </c>
      <c r="B143" s="22" t="s">
        <v>323</v>
      </c>
      <c r="C143" s="22" t="s">
        <v>322</v>
      </c>
    </row>
    <row r="144" customFormat="false" ht="15.75" hidden="false" customHeight="false" outlineLevel="0" collapsed="false">
      <c r="A144" s="21" t="s">
        <v>324</v>
      </c>
      <c r="B144" s="22" t="s">
        <v>323</v>
      </c>
      <c r="C144" s="22" t="s">
        <v>322</v>
      </c>
    </row>
    <row r="145" customFormat="false" ht="15.75" hidden="false" customHeight="false" outlineLevel="0" collapsed="false">
      <c r="A145" s="21" t="s">
        <v>118</v>
      </c>
      <c r="B145" s="22" t="s">
        <v>323</v>
      </c>
      <c r="C145" s="22" t="s">
        <v>322</v>
      </c>
    </row>
    <row r="146" customFormat="false" ht="15.75" hidden="false" customHeight="false" outlineLevel="0" collapsed="false">
      <c r="A146" s="21" t="s">
        <v>261</v>
      </c>
      <c r="B146" s="22" t="s">
        <v>323</v>
      </c>
      <c r="C146" s="22" t="s">
        <v>322</v>
      </c>
    </row>
    <row r="147" customFormat="false" ht="15.75" hidden="false" customHeight="false" outlineLevel="0" collapsed="false">
      <c r="A147" s="21" t="s">
        <v>279</v>
      </c>
      <c r="B147" s="22" t="s">
        <v>323</v>
      </c>
      <c r="C147" s="22" t="s">
        <v>322</v>
      </c>
    </row>
    <row r="148" customFormat="false" ht="15.75" hidden="false" customHeight="false" outlineLevel="0" collapsed="false">
      <c r="A148" s="21" t="s">
        <v>207</v>
      </c>
      <c r="B148" s="22" t="s">
        <v>310</v>
      </c>
      <c r="C148" s="22" t="s">
        <v>322</v>
      </c>
    </row>
    <row r="149" customFormat="false" ht="15.75" hidden="false" customHeight="false" outlineLevel="0" collapsed="false">
      <c r="A149" s="21" t="s">
        <v>186</v>
      </c>
      <c r="B149" s="22" t="s">
        <v>323</v>
      </c>
      <c r="C149" s="22" t="s">
        <v>322</v>
      </c>
    </row>
    <row r="150" customFormat="false" ht="15.75" hidden="false" customHeight="false" outlineLevel="0" collapsed="false">
      <c r="A150" s="21" t="s">
        <v>84</v>
      </c>
      <c r="B150" s="22" t="s">
        <v>325</v>
      </c>
      <c r="C150" s="22" t="s">
        <v>322</v>
      </c>
    </row>
    <row r="151" customFormat="false" ht="15.75" hidden="false" customHeight="false" outlineLevel="0" collapsed="false">
      <c r="A151" s="21" t="s">
        <v>210</v>
      </c>
      <c r="B151" s="22" t="s">
        <v>325</v>
      </c>
      <c r="C151" s="22" t="s">
        <v>322</v>
      </c>
    </row>
    <row r="152" customFormat="false" ht="15.75" hidden="false" customHeight="false" outlineLevel="0" collapsed="false">
      <c r="A152" s="21" t="s">
        <v>140</v>
      </c>
      <c r="B152" s="22" t="s">
        <v>325</v>
      </c>
      <c r="C152" s="22" t="s">
        <v>322</v>
      </c>
    </row>
    <row r="153" customFormat="false" ht="15.75" hidden="false" customHeight="false" outlineLevel="0" collapsed="false">
      <c r="A153" s="21" t="s">
        <v>56</v>
      </c>
      <c r="B153" s="22" t="s">
        <v>323</v>
      </c>
      <c r="C153" s="22" t="s">
        <v>322</v>
      </c>
    </row>
    <row r="154" customFormat="false" ht="15.75" hidden="false" customHeight="false" outlineLevel="0" collapsed="false">
      <c r="A154" s="21" t="s">
        <v>56</v>
      </c>
      <c r="B154" s="22" t="s">
        <v>323</v>
      </c>
      <c r="C154" s="22" t="s">
        <v>322</v>
      </c>
    </row>
    <row r="155" customFormat="false" ht="15.75" hidden="false" customHeight="false" outlineLevel="0" collapsed="false">
      <c r="A155" s="21" t="s">
        <v>214</v>
      </c>
      <c r="B155" s="22" t="s">
        <v>323</v>
      </c>
      <c r="C155" s="22" t="s">
        <v>322</v>
      </c>
    </row>
    <row r="156" customFormat="false" ht="15.75" hidden="false" customHeight="false" outlineLevel="0" collapsed="false">
      <c r="A156" s="25" t="s">
        <v>227</v>
      </c>
      <c r="B156" s="23" t="s">
        <v>325</v>
      </c>
      <c r="C156" s="23" t="s">
        <v>322</v>
      </c>
    </row>
    <row r="157" customFormat="false" ht="15.75" hidden="false" customHeight="false" outlineLevel="0" collapsed="false">
      <c r="A157" s="25" t="s">
        <v>24</v>
      </c>
      <c r="B157" s="23" t="s">
        <v>323</v>
      </c>
      <c r="C157" s="23" t="s">
        <v>322</v>
      </c>
    </row>
    <row r="158" customFormat="false" ht="15.75" hidden="false" customHeight="false" outlineLevel="0" collapsed="false">
      <c r="A158" s="25" t="s">
        <v>244</v>
      </c>
      <c r="B158" s="23" t="s">
        <v>323</v>
      </c>
      <c r="C158" s="23" t="s">
        <v>322</v>
      </c>
    </row>
    <row r="159" customFormat="false" ht="15.75" hidden="false" customHeight="false" outlineLevel="0" collapsed="false">
      <c r="A159" s="26" t="s">
        <v>280</v>
      </c>
      <c r="B159" s="22" t="s">
        <v>321</v>
      </c>
      <c r="C159" s="22" t="s">
        <v>322</v>
      </c>
    </row>
    <row r="160" customFormat="false" ht="15.75" hidden="false" customHeight="false" outlineLevel="0" collapsed="false">
      <c r="A160" s="21" t="s">
        <v>153</v>
      </c>
      <c r="B160" s="22" t="s">
        <v>326</v>
      </c>
      <c r="C160" s="22" t="s">
        <v>326</v>
      </c>
    </row>
    <row r="161" customFormat="false" ht="15.75" hidden="false" customHeight="false" outlineLevel="0" collapsed="false">
      <c r="A161" s="21" t="s">
        <v>162</v>
      </c>
      <c r="B161" s="22" t="s">
        <v>326</v>
      </c>
      <c r="C161" s="22" t="s">
        <v>326</v>
      </c>
    </row>
    <row r="162" customFormat="false" ht="15.75" hidden="false" customHeight="false" outlineLevel="0" collapsed="false">
      <c r="A162" s="21" t="s">
        <v>238</v>
      </c>
      <c r="B162" s="22" t="s">
        <v>327</v>
      </c>
      <c r="C162" s="22" t="s">
        <v>328</v>
      </c>
    </row>
    <row r="163" customFormat="false" ht="15.75" hidden="false" customHeight="false" outlineLevel="0" collapsed="false">
      <c r="A163" s="21" t="s">
        <v>229</v>
      </c>
      <c r="B163" s="22" t="s">
        <v>327</v>
      </c>
      <c r="C163" s="22" t="s">
        <v>328</v>
      </c>
    </row>
    <row r="164" customFormat="false" ht="15.75" hidden="false" customHeight="false" outlineLevel="0" collapsed="false">
      <c r="A164" s="21" t="s">
        <v>208</v>
      </c>
      <c r="B164" s="22" t="s">
        <v>327</v>
      </c>
      <c r="C164" s="22" t="s">
        <v>328</v>
      </c>
    </row>
    <row r="165" customFormat="false" ht="15.75" hidden="false" customHeight="false" outlineLevel="0" collapsed="false">
      <c r="A165" s="21" t="s">
        <v>115</v>
      </c>
      <c r="B165" s="22" t="s">
        <v>327</v>
      </c>
      <c r="C165" s="22" t="s">
        <v>328</v>
      </c>
    </row>
    <row r="166" customFormat="false" ht="15.75" hidden="false" customHeight="false" outlineLevel="0" collapsed="false">
      <c r="A166" s="21" t="s">
        <v>93</v>
      </c>
      <c r="B166" s="22" t="s">
        <v>327</v>
      </c>
      <c r="C166" s="22" t="s">
        <v>328</v>
      </c>
    </row>
    <row r="167" customFormat="false" ht="15.75" hidden="false" customHeight="false" outlineLevel="0" collapsed="false">
      <c r="A167" s="21" t="s">
        <v>212</v>
      </c>
      <c r="B167" s="22" t="s">
        <v>329</v>
      </c>
      <c r="C167" s="22" t="s">
        <v>328</v>
      </c>
    </row>
    <row r="168" customFormat="false" ht="15.75" hidden="false" customHeight="false" outlineLevel="0" collapsed="false">
      <c r="A168" s="21" t="s">
        <v>30</v>
      </c>
      <c r="B168" s="22" t="s">
        <v>330</v>
      </c>
      <c r="C168" s="22" t="s">
        <v>328</v>
      </c>
    </row>
    <row r="169" customFormat="false" ht="15.75" hidden="false" customHeight="false" outlineLevel="0" collapsed="false">
      <c r="A169" s="21" t="s">
        <v>129</v>
      </c>
      <c r="B169" s="22" t="s">
        <v>330</v>
      </c>
      <c r="C169" s="22" t="s">
        <v>328</v>
      </c>
    </row>
    <row r="170" customFormat="false" ht="15.75" hidden="false" customHeight="false" outlineLevel="0" collapsed="false">
      <c r="A170" s="21" t="s">
        <v>63</v>
      </c>
      <c r="B170" s="22" t="s">
        <v>330</v>
      </c>
      <c r="C170" s="22" t="s">
        <v>328</v>
      </c>
    </row>
    <row r="171" customFormat="false" ht="15.75" hidden="false" customHeight="false" outlineLevel="0" collapsed="false">
      <c r="A171" s="21" t="s">
        <v>28</v>
      </c>
      <c r="B171" s="22" t="s">
        <v>330</v>
      </c>
      <c r="C171" s="22" t="s">
        <v>328</v>
      </c>
    </row>
    <row r="172" customFormat="false" ht="15.75" hidden="false" customHeight="false" outlineLevel="0" collapsed="false">
      <c r="A172" s="21" t="s">
        <v>195</v>
      </c>
      <c r="B172" s="22" t="s">
        <v>330</v>
      </c>
      <c r="C172" s="22" t="s">
        <v>328</v>
      </c>
    </row>
    <row r="173" customFormat="false" ht="15.75" hidden="false" customHeight="false" outlineLevel="0" collapsed="false">
      <c r="A173" s="21" t="s">
        <v>237</v>
      </c>
      <c r="B173" s="22" t="s">
        <v>330</v>
      </c>
      <c r="C173" s="22" t="s">
        <v>328</v>
      </c>
    </row>
    <row r="174" customFormat="false" ht="15.75" hidden="false" customHeight="false" outlineLevel="0" collapsed="false">
      <c r="A174" s="21" t="s">
        <v>235</v>
      </c>
      <c r="B174" s="22" t="s">
        <v>330</v>
      </c>
      <c r="C174" s="22" t="s">
        <v>328</v>
      </c>
    </row>
    <row r="175" customFormat="false" ht="15.75" hidden="false" customHeight="false" outlineLevel="0" collapsed="false">
      <c r="A175" s="21" t="s">
        <v>156</v>
      </c>
      <c r="B175" s="22" t="s">
        <v>331</v>
      </c>
      <c r="C175" s="22" t="s">
        <v>328</v>
      </c>
    </row>
    <row r="176" customFormat="false" ht="15.75" hidden="false" customHeight="false" outlineLevel="0" collapsed="false">
      <c r="A176" s="21" t="s">
        <v>139</v>
      </c>
      <c r="B176" s="22" t="s">
        <v>331</v>
      </c>
      <c r="C176" s="22" t="s">
        <v>328</v>
      </c>
    </row>
    <row r="177" customFormat="false" ht="15.75" hidden="false" customHeight="false" outlineLevel="0" collapsed="false">
      <c r="A177" s="21" t="s">
        <v>66</v>
      </c>
      <c r="B177" s="22" t="s">
        <v>329</v>
      </c>
      <c r="C177" s="22" t="s">
        <v>328</v>
      </c>
    </row>
    <row r="178" customFormat="false" ht="15.75" hidden="false" customHeight="false" outlineLevel="0" collapsed="false">
      <c r="A178" s="21" t="s">
        <v>274</v>
      </c>
      <c r="B178" s="22" t="s">
        <v>329</v>
      </c>
      <c r="C178" s="22" t="s">
        <v>328</v>
      </c>
    </row>
    <row r="179" customFormat="false" ht="15.75" hidden="false" customHeight="false" outlineLevel="0" collapsed="false">
      <c r="A179" s="21" t="s">
        <v>82</v>
      </c>
      <c r="B179" s="22" t="s">
        <v>329</v>
      </c>
      <c r="C179" s="22" t="s">
        <v>328</v>
      </c>
    </row>
    <row r="180" customFormat="false" ht="15.75" hidden="false" customHeight="false" outlineLevel="0" collapsed="false">
      <c r="A180" s="21" t="s">
        <v>85</v>
      </c>
      <c r="B180" s="22" t="s">
        <v>329</v>
      </c>
      <c r="C180" s="22" t="s">
        <v>328</v>
      </c>
    </row>
    <row r="181" customFormat="false" ht="15.75" hidden="false" customHeight="false" outlineLevel="0" collapsed="false">
      <c r="A181" s="21" t="s">
        <v>169</v>
      </c>
      <c r="B181" s="24" t="s">
        <v>329</v>
      </c>
      <c r="C181" s="24" t="s">
        <v>328</v>
      </c>
    </row>
    <row r="182" customFormat="false" ht="15.75" hidden="false" customHeight="false" outlineLevel="0" collapsed="false">
      <c r="A182" s="21" t="s">
        <v>231</v>
      </c>
      <c r="B182" s="24" t="s">
        <v>329</v>
      </c>
      <c r="C182" s="24" t="s">
        <v>328</v>
      </c>
    </row>
    <row r="183" customFormat="false" ht="15.75" hidden="false" customHeight="false" outlineLevel="0" collapsed="false">
      <c r="A183" s="21" t="s">
        <v>40</v>
      </c>
      <c r="B183" s="24" t="s">
        <v>329</v>
      </c>
      <c r="C183" s="24" t="s">
        <v>328</v>
      </c>
    </row>
    <row r="184" customFormat="false" ht="15.75" hidden="false" customHeight="false" outlineLevel="0" collapsed="false">
      <c r="A184" s="21" t="s">
        <v>87</v>
      </c>
      <c r="B184" s="22" t="s">
        <v>332</v>
      </c>
      <c r="C184" s="22" t="s">
        <v>333</v>
      </c>
    </row>
    <row r="185" customFormat="false" ht="15.75" hidden="false" customHeight="false" outlineLevel="0" collapsed="false">
      <c r="A185" s="21" t="s">
        <v>160</v>
      </c>
      <c r="B185" s="22" t="s">
        <v>332</v>
      </c>
      <c r="C185" s="22" t="s">
        <v>333</v>
      </c>
    </row>
    <row r="186" customFormat="false" ht="15.75" hidden="false" customHeight="false" outlineLevel="0" collapsed="false">
      <c r="A186" s="21" t="s">
        <v>180</v>
      </c>
      <c r="B186" s="22" t="s">
        <v>332</v>
      </c>
      <c r="C186" s="22" t="s">
        <v>333</v>
      </c>
    </row>
    <row r="187" customFormat="false" ht="15.75" hidden="false" customHeight="false" outlineLevel="0" collapsed="false">
      <c r="A187" s="21" t="s">
        <v>174</v>
      </c>
      <c r="B187" s="22" t="s">
        <v>332</v>
      </c>
      <c r="C187" s="22" t="s">
        <v>333</v>
      </c>
    </row>
    <row r="188" customFormat="false" ht="15.75" hidden="false" customHeight="false" outlineLevel="0" collapsed="false">
      <c r="A188" s="21" t="s">
        <v>240</v>
      </c>
      <c r="B188" s="22" t="s">
        <v>332</v>
      </c>
      <c r="C188" s="22" t="s">
        <v>333</v>
      </c>
    </row>
    <row r="189" customFormat="false" ht="15.75" hidden="false" customHeight="false" outlineLevel="0" collapsed="false">
      <c r="A189" s="21" t="s">
        <v>53</v>
      </c>
      <c r="B189" s="22" t="s">
        <v>334</v>
      </c>
      <c r="C189" s="22" t="s">
        <v>333</v>
      </c>
    </row>
    <row r="190" customFormat="false" ht="15.75" hidden="false" customHeight="false" outlineLevel="0" collapsed="false">
      <c r="A190" s="21" t="s">
        <v>202</v>
      </c>
      <c r="B190" s="22" t="s">
        <v>334</v>
      </c>
      <c r="C190" s="22" t="s">
        <v>333</v>
      </c>
    </row>
    <row r="191" customFormat="false" ht="15.75" hidden="false" customHeight="false" outlineLevel="0" collapsed="false">
      <c r="A191" s="21" t="s">
        <v>143</v>
      </c>
      <c r="B191" s="22" t="s">
        <v>334</v>
      </c>
      <c r="C191" s="22" t="s">
        <v>333</v>
      </c>
    </row>
    <row r="192" customFormat="false" ht="15.75" hidden="false" customHeight="false" outlineLevel="0" collapsed="false">
      <c r="A192" s="21" t="s">
        <v>111</v>
      </c>
      <c r="B192" s="22" t="s">
        <v>334</v>
      </c>
      <c r="C192" s="22" t="s">
        <v>333</v>
      </c>
    </row>
    <row r="193" customFormat="false" ht="15.75" hidden="false" customHeight="false" outlineLevel="0" collapsed="false">
      <c r="A193" s="21" t="s">
        <v>113</v>
      </c>
      <c r="B193" s="22" t="s">
        <v>334</v>
      </c>
      <c r="C193" s="22" t="s">
        <v>333</v>
      </c>
    </row>
    <row r="194" customFormat="false" ht="15.75" hidden="false" customHeight="false" outlineLevel="0" collapsed="false">
      <c r="A194" s="21" t="s">
        <v>19</v>
      </c>
      <c r="B194" s="22" t="s">
        <v>334</v>
      </c>
      <c r="C194" s="22" t="s">
        <v>333</v>
      </c>
    </row>
    <row r="195" customFormat="false" ht="15.75" hidden="false" customHeight="false" outlineLevel="0" collapsed="false">
      <c r="A195" s="21" t="s">
        <v>189</v>
      </c>
      <c r="B195" s="22" t="s">
        <v>334</v>
      </c>
      <c r="C195" s="22" t="s">
        <v>333</v>
      </c>
    </row>
    <row r="196" customFormat="false" ht="15.75" hidden="false" customHeight="false" outlineLevel="0" collapsed="false">
      <c r="A196" s="21" t="s">
        <v>58</v>
      </c>
      <c r="B196" s="22" t="s">
        <v>334</v>
      </c>
      <c r="C196" s="22" t="s">
        <v>333</v>
      </c>
    </row>
    <row r="197" customFormat="false" ht="15.75" hidden="false" customHeight="false" outlineLevel="0" collapsed="false">
      <c r="A197" s="21" t="s">
        <v>242</v>
      </c>
      <c r="B197" s="22" t="s">
        <v>334</v>
      </c>
      <c r="C197" s="22" t="s">
        <v>333</v>
      </c>
    </row>
    <row r="198" customFormat="false" ht="15.75" hidden="false" customHeight="false" outlineLevel="0" collapsed="false">
      <c r="A198" s="21" t="s">
        <v>183</v>
      </c>
      <c r="B198" s="22" t="s">
        <v>334</v>
      </c>
      <c r="C198" s="22" t="s">
        <v>333</v>
      </c>
    </row>
    <row r="199" customFormat="false" ht="15.75" hidden="false" customHeight="false" outlineLevel="0" collapsed="false">
      <c r="A199" s="21" t="s">
        <v>271</v>
      </c>
      <c r="B199" s="22" t="s">
        <v>334</v>
      </c>
      <c r="C199" s="22" t="s">
        <v>333</v>
      </c>
    </row>
    <row r="200" customFormat="false" ht="15.75" hidden="false" customHeight="false" outlineLevel="0" collapsed="false">
      <c r="A200" s="21" t="s">
        <v>211</v>
      </c>
      <c r="B200" s="22" t="s">
        <v>334</v>
      </c>
      <c r="C200" s="22" t="s">
        <v>333</v>
      </c>
    </row>
    <row r="201" customFormat="false" ht="15.75" hidden="false" customHeight="false" outlineLevel="0" collapsed="false">
      <c r="A201" s="21" t="s">
        <v>133</v>
      </c>
      <c r="B201" s="22" t="s">
        <v>334</v>
      </c>
      <c r="C201" s="22" t="s">
        <v>333</v>
      </c>
    </row>
    <row r="202" customFormat="false" ht="15.75" hidden="false" customHeight="false" outlineLevel="0" collapsed="false">
      <c r="A202" s="21" t="s">
        <v>90</v>
      </c>
      <c r="B202" s="22" t="s">
        <v>334</v>
      </c>
      <c r="C202" s="22" t="s">
        <v>333</v>
      </c>
    </row>
    <row r="203" customFormat="false" ht="15.75" hidden="false" customHeight="false" outlineLevel="0" collapsed="false">
      <c r="A203" s="21" t="s">
        <v>105</v>
      </c>
      <c r="B203" s="22" t="s">
        <v>335</v>
      </c>
      <c r="C203" s="22" t="s">
        <v>333</v>
      </c>
    </row>
    <row r="204" customFormat="false" ht="15.75" hidden="false" customHeight="false" outlineLevel="0" collapsed="false">
      <c r="A204" s="21" t="s">
        <v>336</v>
      </c>
      <c r="B204" s="22" t="s">
        <v>335</v>
      </c>
      <c r="C204" s="22" t="s">
        <v>333</v>
      </c>
    </row>
    <row r="205" customFormat="false" ht="15.75" hidden="false" customHeight="false" outlineLevel="0" collapsed="false">
      <c r="A205" s="21" t="s">
        <v>104</v>
      </c>
      <c r="B205" s="22" t="s">
        <v>335</v>
      </c>
      <c r="C205" s="22" t="s">
        <v>333</v>
      </c>
    </row>
    <row r="206" customFormat="false" ht="15.75" hidden="false" customHeight="false" outlineLevel="0" collapsed="false">
      <c r="A206" s="21" t="s">
        <v>337</v>
      </c>
      <c r="B206" s="22" t="s">
        <v>335</v>
      </c>
      <c r="C206" s="22" t="s">
        <v>333</v>
      </c>
    </row>
    <row r="207" customFormat="false" ht="15.75" hidden="false" customHeight="false" outlineLevel="0" collapsed="false">
      <c r="A207" s="21" t="s">
        <v>42</v>
      </c>
      <c r="B207" s="22" t="s">
        <v>335</v>
      </c>
      <c r="C207" s="22" t="s">
        <v>333</v>
      </c>
    </row>
    <row r="208" customFormat="false" ht="15.75" hidden="false" customHeight="false" outlineLevel="0" collapsed="false">
      <c r="A208" s="21" t="s">
        <v>43</v>
      </c>
      <c r="B208" s="22" t="s">
        <v>335</v>
      </c>
      <c r="C208" s="22" t="s">
        <v>333</v>
      </c>
    </row>
    <row r="209" customFormat="false" ht="15.75" hidden="false" customHeight="false" outlineLevel="0" collapsed="false">
      <c r="A209" s="25" t="s">
        <v>46</v>
      </c>
      <c r="B209" s="22" t="s">
        <v>334</v>
      </c>
      <c r="C209" s="23" t="s">
        <v>333</v>
      </c>
    </row>
    <row r="210" customFormat="false" ht="15.75" hidden="false" customHeight="false" outlineLevel="0" collapsed="false">
      <c r="A210" s="21" t="s">
        <v>41</v>
      </c>
      <c r="B210" s="22" t="s">
        <v>338</v>
      </c>
      <c r="C210" s="22" t="s">
        <v>339</v>
      </c>
    </row>
    <row r="211" customFormat="false" ht="15.75" hidden="false" customHeight="false" outlineLevel="0" collapsed="false">
      <c r="A211" s="21" t="s">
        <v>98</v>
      </c>
      <c r="B211" s="22" t="s">
        <v>338</v>
      </c>
      <c r="C211" s="22" t="s">
        <v>339</v>
      </c>
    </row>
    <row r="212" customFormat="false" ht="15.75" hidden="false" customHeight="false" outlineLevel="0" collapsed="false">
      <c r="A212" s="21" t="s">
        <v>263</v>
      </c>
      <c r="B212" s="22" t="s">
        <v>338</v>
      </c>
      <c r="C212" s="22" t="s">
        <v>339</v>
      </c>
    </row>
    <row r="213" customFormat="false" ht="15.75" hidden="false" customHeight="false" outlineLevel="0" collapsed="false">
      <c r="A213" s="21" t="s">
        <v>128</v>
      </c>
      <c r="B213" s="22" t="s">
        <v>338</v>
      </c>
      <c r="C213" s="22" t="s">
        <v>339</v>
      </c>
    </row>
    <row r="214" customFormat="false" ht="15.75" hidden="false" customHeight="false" outlineLevel="0" collapsed="false">
      <c r="A214" s="21" t="s">
        <v>68</v>
      </c>
      <c r="B214" s="22" t="s">
        <v>338</v>
      </c>
      <c r="C214" s="22" t="s">
        <v>339</v>
      </c>
    </row>
    <row r="215" customFormat="false" ht="15.75" hidden="false" customHeight="false" outlineLevel="0" collapsed="false">
      <c r="A215" s="21" t="s">
        <v>277</v>
      </c>
      <c r="B215" s="22" t="s">
        <v>338</v>
      </c>
      <c r="C215" s="22" t="s">
        <v>339</v>
      </c>
    </row>
    <row r="216" customFormat="false" ht="15.75" hidden="false" customHeight="false" outlineLevel="0" collapsed="false">
      <c r="A216" s="21" t="s">
        <v>239</v>
      </c>
      <c r="B216" s="22" t="s">
        <v>338</v>
      </c>
      <c r="C216" s="22" t="s">
        <v>339</v>
      </c>
    </row>
    <row r="217" customFormat="false" ht="15.75" hidden="false" customHeight="false" outlineLevel="0" collapsed="false">
      <c r="A217" s="21" t="s">
        <v>234</v>
      </c>
      <c r="B217" s="22" t="s">
        <v>338</v>
      </c>
      <c r="C217" s="22" t="s">
        <v>339</v>
      </c>
    </row>
    <row r="218" customFormat="false" ht="15.75" hidden="false" customHeight="false" outlineLevel="0" collapsed="false">
      <c r="A218" s="21" t="s">
        <v>76</v>
      </c>
      <c r="B218" s="22" t="s">
        <v>338</v>
      </c>
      <c r="C218" s="22" t="s">
        <v>339</v>
      </c>
    </row>
    <row r="219" customFormat="false" ht="15.75" hidden="false" customHeight="false" outlineLevel="0" collapsed="false">
      <c r="A219" s="25" t="s">
        <v>171</v>
      </c>
      <c r="B219" s="23" t="s">
        <v>340</v>
      </c>
      <c r="C219" s="23" t="s">
        <v>339</v>
      </c>
    </row>
    <row r="220" customFormat="false" ht="15.75" hidden="false" customHeight="false" outlineLevel="0" collapsed="false">
      <c r="A220" s="25" t="s">
        <v>80</v>
      </c>
      <c r="B220" s="23" t="s">
        <v>340</v>
      </c>
      <c r="C220" s="23" t="s">
        <v>339</v>
      </c>
    </row>
    <row r="221" customFormat="false" ht="15.75" hidden="false" customHeight="false" outlineLevel="0" collapsed="false">
      <c r="A221" s="25" t="s">
        <v>49</v>
      </c>
      <c r="B221" s="23" t="s">
        <v>340</v>
      </c>
      <c r="C221" s="23" t="s">
        <v>339</v>
      </c>
    </row>
    <row r="222" customFormat="false" ht="15.75" hidden="false" customHeight="false" outlineLevel="0" collapsed="false">
      <c r="A222" s="25" t="s">
        <v>230</v>
      </c>
      <c r="B222" s="23" t="s">
        <v>340</v>
      </c>
      <c r="C222" s="23" t="s">
        <v>339</v>
      </c>
    </row>
    <row r="223" customFormat="false" ht="15.75" hidden="false" customHeight="false" outlineLevel="0" collapsed="false">
      <c r="A223" s="25" t="s">
        <v>83</v>
      </c>
      <c r="B223" s="23" t="s">
        <v>340</v>
      </c>
      <c r="C223" s="23" t="s">
        <v>339</v>
      </c>
    </row>
    <row r="224" customFormat="false" ht="15.75" hidden="false" customHeight="false" outlineLevel="0" collapsed="false">
      <c r="A224" s="25" t="s">
        <v>209</v>
      </c>
      <c r="B224" s="23" t="s">
        <v>340</v>
      </c>
      <c r="C224" s="23" t="s">
        <v>339</v>
      </c>
    </row>
    <row r="225" customFormat="false" ht="15.75" hidden="false" customHeight="false" outlineLevel="0" collapsed="false">
      <c r="A225" s="25" t="s">
        <v>34</v>
      </c>
      <c r="B225" s="23" t="s">
        <v>340</v>
      </c>
      <c r="C225" s="23" t="s">
        <v>339</v>
      </c>
    </row>
    <row r="226" customFormat="false" ht="15.75" hidden="false" customHeight="false" outlineLevel="0" collapsed="false">
      <c r="A226" s="21" t="s">
        <v>201</v>
      </c>
      <c r="B226" s="22" t="s">
        <v>340</v>
      </c>
      <c r="C226" s="23" t="s">
        <v>339</v>
      </c>
    </row>
    <row r="227" customFormat="false" ht="15.75" hidden="false" customHeight="false" outlineLevel="0" collapsed="false">
      <c r="A227" s="21" t="s">
        <v>266</v>
      </c>
      <c r="B227" s="22" t="s">
        <v>340</v>
      </c>
      <c r="C227" s="23" t="s">
        <v>339</v>
      </c>
    </row>
    <row r="228" customFormat="false" ht="15.75" hidden="false" customHeight="false" outlineLevel="0" collapsed="false">
      <c r="A228" s="21" t="s">
        <v>185</v>
      </c>
      <c r="B228" s="24" t="s">
        <v>340</v>
      </c>
      <c r="C228" s="23" t="s">
        <v>339</v>
      </c>
    </row>
    <row r="229" customFormat="false" ht="15.75" hidden="false" customHeight="false" outlineLevel="0" collapsed="false">
      <c r="A229" s="21" t="s">
        <v>136</v>
      </c>
      <c r="B229" s="22" t="s">
        <v>340</v>
      </c>
      <c r="C229" s="22" t="s">
        <v>339</v>
      </c>
    </row>
    <row r="230" customFormat="false" ht="15.75" hidden="false" customHeight="false" outlineLevel="0" collapsed="false">
      <c r="A230" s="21" t="s">
        <v>281</v>
      </c>
      <c r="B230" s="22" t="s">
        <v>340</v>
      </c>
      <c r="C230" s="22" t="s">
        <v>339</v>
      </c>
    </row>
    <row r="231" customFormat="false" ht="15.75" hidden="false" customHeight="false" outlineLevel="0" collapsed="false">
      <c r="A231" s="21" t="s">
        <v>255</v>
      </c>
      <c r="B231" s="22" t="s">
        <v>340</v>
      </c>
      <c r="C231" s="22" t="s">
        <v>339</v>
      </c>
    </row>
    <row r="232" customFormat="false" ht="15.75" hidden="false" customHeight="false" outlineLevel="0" collapsed="false">
      <c r="A232" s="21" t="s">
        <v>52</v>
      </c>
      <c r="B232" s="22" t="s">
        <v>340</v>
      </c>
      <c r="C232" s="22" t="s">
        <v>339</v>
      </c>
    </row>
    <row r="233" customFormat="false" ht="15.75" hidden="false" customHeight="false" outlineLevel="0" collapsed="false">
      <c r="A233" s="21" t="s">
        <v>45</v>
      </c>
      <c r="B233" s="22" t="s">
        <v>340</v>
      </c>
      <c r="C233" s="22" t="s">
        <v>339</v>
      </c>
    </row>
    <row r="234" customFormat="false" ht="15.75" hidden="false" customHeight="false" outlineLevel="0" collapsed="false">
      <c r="A234" s="21" t="s">
        <v>89</v>
      </c>
      <c r="B234" s="22" t="s">
        <v>340</v>
      </c>
      <c r="C234" s="22" t="s">
        <v>339</v>
      </c>
    </row>
    <row r="235" customFormat="false" ht="15.75" hidden="false" customHeight="false" outlineLevel="0" collapsed="false">
      <c r="A235" s="25" t="s">
        <v>83</v>
      </c>
      <c r="B235" s="23" t="s">
        <v>340</v>
      </c>
      <c r="C235" s="23" t="s">
        <v>339</v>
      </c>
    </row>
    <row r="236" customFormat="false" ht="15.75" hidden="false" customHeight="false" outlineLevel="0" collapsed="false">
      <c r="A236" s="21" t="s">
        <v>267</v>
      </c>
      <c r="B236" s="22" t="s">
        <v>341</v>
      </c>
      <c r="C236" s="22" t="s">
        <v>342</v>
      </c>
    </row>
    <row r="237" customFormat="false" ht="15.75" hidden="false" customHeight="false" outlineLevel="0" collapsed="false">
      <c r="A237" s="21" t="s">
        <v>135</v>
      </c>
      <c r="B237" s="22" t="s">
        <v>343</v>
      </c>
      <c r="C237" s="22" t="s">
        <v>342</v>
      </c>
    </row>
    <row r="238" customFormat="false" ht="15.75" hidden="false" customHeight="false" outlineLevel="0" collapsed="false">
      <c r="A238" s="25" t="s">
        <v>152</v>
      </c>
      <c r="B238" s="23" t="s">
        <v>343</v>
      </c>
      <c r="C238" s="23" t="s">
        <v>342</v>
      </c>
    </row>
    <row r="239" customFormat="false" ht="15.75" hidden="false" customHeight="false" outlineLevel="0" collapsed="false">
      <c r="A239" s="25" t="s">
        <v>88</v>
      </c>
      <c r="B239" s="23" t="s">
        <v>343</v>
      </c>
      <c r="C239" s="23" t="s">
        <v>342</v>
      </c>
    </row>
    <row r="240" customFormat="false" ht="15.75" hidden="false" customHeight="false" outlineLevel="0" collapsed="false">
      <c r="A240" s="25" t="s">
        <v>217</v>
      </c>
      <c r="B240" s="23" t="s">
        <v>343</v>
      </c>
      <c r="C240" s="23" t="s">
        <v>342</v>
      </c>
    </row>
    <row r="241" customFormat="false" ht="15.75" hidden="false" customHeight="false" outlineLevel="0" collapsed="false">
      <c r="A241" s="25" t="s">
        <v>259</v>
      </c>
      <c r="B241" s="23" t="s">
        <v>343</v>
      </c>
      <c r="C241" s="23" t="s">
        <v>342</v>
      </c>
    </row>
    <row r="242" customFormat="false" ht="15.75" hidden="false" customHeight="false" outlineLevel="0" collapsed="false">
      <c r="A242" s="21" t="s">
        <v>219</v>
      </c>
      <c r="B242" s="22" t="s">
        <v>343</v>
      </c>
      <c r="C242" s="22" t="s">
        <v>342</v>
      </c>
    </row>
    <row r="243" customFormat="false" ht="15.75" hidden="false" customHeight="false" outlineLevel="0" collapsed="false">
      <c r="A243" s="21" t="s">
        <v>48</v>
      </c>
      <c r="B243" s="22" t="s">
        <v>343</v>
      </c>
      <c r="C243" s="22" t="s">
        <v>342</v>
      </c>
    </row>
    <row r="244" customFormat="false" ht="15.75" hidden="false" customHeight="false" outlineLevel="0" collapsed="false">
      <c r="A244" s="21" t="s">
        <v>250</v>
      </c>
      <c r="B244" s="22" t="s">
        <v>343</v>
      </c>
      <c r="C244" s="22" t="s">
        <v>342</v>
      </c>
    </row>
    <row r="245" customFormat="false" ht="15.75" hidden="false" customHeight="false" outlineLevel="0" collapsed="false">
      <c r="A245" s="21" t="s">
        <v>170</v>
      </c>
      <c r="B245" s="22" t="s">
        <v>343</v>
      </c>
      <c r="C245" s="22" t="s">
        <v>342</v>
      </c>
    </row>
    <row r="246" customFormat="false" ht="15.75" hidden="false" customHeight="false" outlineLevel="0" collapsed="false">
      <c r="A246" s="21" t="s">
        <v>148</v>
      </c>
      <c r="B246" s="22" t="s">
        <v>344</v>
      </c>
      <c r="C246" s="22" t="s">
        <v>342</v>
      </c>
    </row>
    <row r="247" customFormat="false" ht="15.75" hidden="false" customHeight="false" outlineLevel="0" collapsed="false">
      <c r="A247" s="21" t="s">
        <v>172</v>
      </c>
      <c r="B247" s="22" t="s">
        <v>344</v>
      </c>
      <c r="C247" s="22" t="s">
        <v>342</v>
      </c>
    </row>
    <row r="248" customFormat="false" ht="15.75" hidden="false" customHeight="false" outlineLevel="0" collapsed="false">
      <c r="A248" s="21" t="s">
        <v>269</v>
      </c>
      <c r="B248" s="22" t="s">
        <v>344</v>
      </c>
      <c r="C248" s="22" t="s">
        <v>342</v>
      </c>
    </row>
    <row r="249" customFormat="false" ht="15.75" hidden="false" customHeight="false" outlineLevel="0" collapsed="false">
      <c r="A249" s="21" t="s">
        <v>158</v>
      </c>
      <c r="B249" s="22" t="s">
        <v>344</v>
      </c>
      <c r="C249" s="22" t="s">
        <v>342</v>
      </c>
    </row>
    <row r="250" customFormat="false" ht="15.75" hidden="false" customHeight="false" outlineLevel="0" collapsed="false">
      <c r="A250" s="21" t="s">
        <v>194</v>
      </c>
      <c r="B250" s="22" t="s">
        <v>344</v>
      </c>
      <c r="C250" s="22" t="s">
        <v>342</v>
      </c>
    </row>
    <row r="251" customFormat="false" ht="15.75" hidden="false" customHeight="false" outlineLevel="0" collapsed="false">
      <c r="A251" s="21" t="s">
        <v>177</v>
      </c>
      <c r="B251" s="22" t="s">
        <v>344</v>
      </c>
      <c r="C251" s="22" t="s">
        <v>342</v>
      </c>
    </row>
    <row r="252" customFormat="false" ht="15.75" hidden="false" customHeight="false" outlineLevel="0" collapsed="false">
      <c r="A252" s="25" t="s">
        <v>32</v>
      </c>
      <c r="B252" s="23" t="s">
        <v>344</v>
      </c>
      <c r="C252" s="23" t="s">
        <v>342</v>
      </c>
    </row>
    <row r="253" customFormat="false" ht="15.75" hidden="false" customHeight="false" outlineLevel="0" collapsed="false">
      <c r="A253" s="25" t="s">
        <v>282</v>
      </c>
      <c r="B253" s="23" t="s">
        <v>344</v>
      </c>
      <c r="C253" s="23" t="s">
        <v>342</v>
      </c>
    </row>
    <row r="254" customFormat="false" ht="15.75" hidden="false" customHeight="false" outlineLevel="0" collapsed="false">
      <c r="A254" s="25" t="s">
        <v>243</v>
      </c>
      <c r="B254" s="23" t="s">
        <v>344</v>
      </c>
      <c r="C254" s="23" t="s">
        <v>342</v>
      </c>
    </row>
    <row r="255" customFormat="false" ht="15.75" hidden="false" customHeight="false" outlineLevel="0" collapsed="false">
      <c r="A255" s="25" t="s">
        <v>203</v>
      </c>
      <c r="B255" s="23" t="s">
        <v>341</v>
      </c>
      <c r="C255" s="23" t="s">
        <v>342</v>
      </c>
    </row>
    <row r="256" customFormat="false" ht="15.75" hidden="false" customHeight="false" outlineLevel="0" collapsed="false">
      <c r="A256" s="25" t="s">
        <v>345</v>
      </c>
      <c r="B256" s="23" t="s">
        <v>341</v>
      </c>
      <c r="C256" s="23" t="s">
        <v>342</v>
      </c>
    </row>
    <row r="257" customFormat="false" ht="15.75" hidden="false" customHeight="false" outlineLevel="0" collapsed="false">
      <c r="A257" s="21" t="s">
        <v>254</v>
      </c>
      <c r="B257" s="22" t="s">
        <v>341</v>
      </c>
      <c r="C257" s="23" t="s">
        <v>342</v>
      </c>
    </row>
    <row r="258" customFormat="false" ht="15.75" hidden="false" customHeight="false" outlineLevel="0" collapsed="false">
      <c r="A258" s="21" t="s">
        <v>26</v>
      </c>
      <c r="B258" s="22" t="s">
        <v>341</v>
      </c>
      <c r="C258" s="22" t="s">
        <v>342</v>
      </c>
    </row>
    <row r="259" customFormat="false" ht="15.75" hidden="false" customHeight="false" outlineLevel="0" collapsed="false">
      <c r="A259" s="21" t="s">
        <v>110</v>
      </c>
      <c r="B259" s="22" t="s">
        <v>341</v>
      </c>
      <c r="C259" s="22" t="s">
        <v>342</v>
      </c>
    </row>
    <row r="260" customFormat="false" ht="15.75" hidden="false" customHeight="false" outlineLevel="0" collapsed="false">
      <c r="A260" s="21" t="s">
        <v>223</v>
      </c>
      <c r="B260" s="22" t="s">
        <v>341</v>
      </c>
      <c r="C260" s="22" t="s">
        <v>342</v>
      </c>
    </row>
    <row r="261" customFormat="false" ht="15.75" hidden="false" customHeight="false" outlineLevel="0" collapsed="false">
      <c r="A261" s="25" t="s">
        <v>55</v>
      </c>
      <c r="B261" s="23" t="s">
        <v>341</v>
      </c>
      <c r="C261" s="23" t="s">
        <v>342</v>
      </c>
    </row>
    <row r="262" customFormat="false" ht="15.75" hidden="false" customHeight="false" outlineLevel="0" collapsed="false">
      <c r="A262" s="25" t="s">
        <v>57</v>
      </c>
      <c r="B262" s="23" t="s">
        <v>341</v>
      </c>
      <c r="C262" s="23" t="s">
        <v>342</v>
      </c>
    </row>
    <row r="263" customFormat="false" ht="15.75" hidden="false" customHeight="false" outlineLevel="0" collapsed="false">
      <c r="A263" s="25" t="s">
        <v>163</v>
      </c>
      <c r="B263" s="23" t="s">
        <v>341</v>
      </c>
      <c r="C263" s="23" t="s">
        <v>342</v>
      </c>
    </row>
    <row r="264" customFormat="false" ht="15.75" hidden="false" customHeight="false" outlineLevel="0" collapsed="false">
      <c r="A264" s="27" t="s">
        <v>179</v>
      </c>
      <c r="B264" s="24" t="s">
        <v>343</v>
      </c>
      <c r="C264" s="24" t="s">
        <v>342</v>
      </c>
    </row>
    <row r="265" customFormat="false" ht="15.75" hidden="false" customHeight="false" outlineLevel="0" collapsed="false">
      <c r="A265" s="28" t="s">
        <v>285</v>
      </c>
      <c r="B265" s="24" t="s">
        <v>321</v>
      </c>
      <c r="C265" s="24" t="s">
        <v>322</v>
      </c>
    </row>
    <row r="266" customFormat="false" ht="15.75" hidden="false" customHeight="false" outlineLevel="0" collapsed="false">
      <c r="A266" s="28" t="s">
        <v>107</v>
      </c>
      <c r="B266" s="24" t="s">
        <v>321</v>
      </c>
      <c r="C266" s="24" t="s">
        <v>322</v>
      </c>
    </row>
    <row r="267" customFormat="false" ht="15.75" hidden="false" customHeight="false" outlineLevel="0" collapsed="false">
      <c r="A267" s="28" t="s">
        <v>106</v>
      </c>
      <c r="B267" s="24" t="s">
        <v>327</v>
      </c>
      <c r="C267" s="24" t="s">
        <v>328</v>
      </c>
    </row>
    <row r="268" customFormat="false" ht="15.75" hidden="false" customHeight="false" outlineLevel="0" collapsed="false">
      <c r="A268" s="28" t="s">
        <v>284</v>
      </c>
      <c r="B268" s="23" t="s">
        <v>340</v>
      </c>
      <c r="C268" s="23" t="s">
        <v>339</v>
      </c>
    </row>
    <row r="269" customFormat="false" ht="15.75" hidden="false" customHeight="false" outlineLevel="0" collapsed="false">
      <c r="A269" s="28" t="s">
        <v>346</v>
      </c>
      <c r="B269" s="22" t="s">
        <v>343</v>
      </c>
      <c r="C269" s="22" t="s">
        <v>342</v>
      </c>
    </row>
    <row r="270" customFormat="false" ht="15.75" hidden="false" customHeight="false" outlineLevel="0" collapsed="false">
      <c r="A270" s="29" t="s">
        <v>347</v>
      </c>
      <c r="B270" s="22" t="s">
        <v>343</v>
      </c>
      <c r="C270" s="22" t="s">
        <v>342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L9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B4" activeCellId="0" sqref="B4"/>
    </sheetView>
  </sheetViews>
  <sheetFormatPr defaultColWidth="12.6328125" defaultRowHeight="15.75" zeroHeight="false" outlineLevelRow="0" outlineLevelCol="0"/>
  <cols>
    <col collapsed="false" customWidth="true" hidden="false" outlineLevel="0" max="2" min="2" style="0" width="38.25"/>
    <col collapsed="false" customWidth="true" hidden="false" outlineLevel="0" max="4" min="3" style="0" width="18"/>
    <col collapsed="false" customWidth="true" hidden="false" outlineLevel="0" max="5" min="5" style="0" width="12.25"/>
    <col collapsed="false" customWidth="true" hidden="false" outlineLevel="0" max="6" min="6" style="0" width="10.75"/>
    <col collapsed="false" customWidth="true" hidden="false" outlineLevel="0" max="7" min="7" style="0" width="12.25"/>
    <col collapsed="false" customWidth="true" hidden="false" outlineLevel="0" max="8" min="8" style="0" width="26"/>
    <col collapsed="false" customWidth="true" hidden="false" outlineLevel="0" max="9" min="9" style="0" width="25.88"/>
    <col collapsed="false" customWidth="true" hidden="false" outlineLevel="0" max="10" min="10" style="0" width="10.63"/>
    <col collapsed="false" customWidth="true" hidden="false" outlineLevel="0" max="11" min="11" style="0" width="11.12"/>
    <col collapsed="false" customWidth="true" hidden="false" outlineLevel="0" max="12" min="12" style="0" width="21.12"/>
  </cols>
  <sheetData>
    <row r="1" customFormat="false" ht="15.75" hidden="false" customHeight="false" outlineLevel="0" collapsed="false">
      <c r="B1" s="30"/>
      <c r="E1" s="30"/>
      <c r="F1" s="30"/>
      <c r="G1" s="30"/>
      <c r="H1" s="30"/>
      <c r="I1" s="30"/>
      <c r="J1" s="30"/>
      <c r="K1" s="30"/>
      <c r="L1" s="30"/>
    </row>
    <row r="2" customFormat="false" ht="15.75" hidden="false" customHeight="false" outlineLevel="0" collapsed="false">
      <c r="B2" s="31" t="s">
        <v>348</v>
      </c>
      <c r="C2" s="31" t="s">
        <v>3</v>
      </c>
      <c r="D2" s="31" t="s">
        <v>4</v>
      </c>
      <c r="E2" s="31" t="s">
        <v>349</v>
      </c>
      <c r="F2" s="31" t="s">
        <v>350</v>
      </c>
      <c r="G2" s="31" t="s">
        <v>351</v>
      </c>
      <c r="H2" s="31" t="s">
        <v>352</v>
      </c>
      <c r="I2" s="31" t="s">
        <v>353</v>
      </c>
      <c r="J2" s="31" t="s">
        <v>354</v>
      </c>
      <c r="K2" s="31" t="s">
        <v>355</v>
      </c>
      <c r="L2" s="31" t="s">
        <v>356</v>
      </c>
    </row>
    <row r="3" customFormat="false" ht="15.75" hidden="false" customHeight="false" outlineLevel="0" collapsed="false">
      <c r="B3" s="18" t="s">
        <v>171</v>
      </c>
      <c r="C3" s="14" t="str">
        <f aca="false">IF(B3="","",IFERROR(INDEX('CLM &amp; IM Mapping'!$B$2:$B$270,MATCH(TRIM(B3),'CLM &amp; IM Mapping'!$A$2:$A$270,0)),"Not Mapped"))</f>
        <v>Vishnu V</v>
      </c>
      <c r="D3" s="14" t="str">
        <f aca="false">IF(B3="","",IFERROR(INDEX('CLM &amp; IM Mapping'!$C$2:$C$270,MATCH(TRIM(B3),'CLM &amp; IM Mapping'!$A$2:$A$270,0)),"Not Mapped"))</f>
        <v>Arivind S</v>
      </c>
      <c r="E3" s="18" t="n">
        <v>100</v>
      </c>
      <c r="F3" s="18" t="n">
        <v>1694</v>
      </c>
      <c r="G3" s="18" t="n">
        <v>31</v>
      </c>
      <c r="H3" s="18" t="n">
        <v>8</v>
      </c>
      <c r="I3" s="18" t="n">
        <v>0</v>
      </c>
      <c r="J3" s="18" t="n">
        <v>24</v>
      </c>
      <c r="K3" s="18" t="n">
        <v>1857</v>
      </c>
      <c r="L3" s="18" t="n">
        <v>69</v>
      </c>
    </row>
    <row r="4" customFormat="false" ht="15.75" hidden="false" customHeight="false" outlineLevel="0" collapsed="false">
      <c r="B4" s="18" t="s">
        <v>105</v>
      </c>
      <c r="C4" s="14" t="str">
        <f aca="false">IF(B4="","",IFERROR(INDEX('CLM &amp; IM Mapping'!$B$2:$B$270,MATCH(TRIM(B4),'CLM &amp; IM Mapping'!$A$2:$A$270,0)),"Not Mapped"))</f>
        <v>Vijay M</v>
      </c>
      <c r="D4" s="14" t="str">
        <f aca="false">IF(B4="","",IFERROR(INDEX('CLM &amp; IM Mapping'!$C$2:$C$270,MATCH(TRIM(B4),'CLM &amp; IM Mapping'!$A$2:$A$270,0)),"Not Mapped"))</f>
        <v>Kantha Kumar</v>
      </c>
      <c r="E4" s="18" t="n">
        <v>0</v>
      </c>
      <c r="F4" s="18" t="n">
        <v>11</v>
      </c>
      <c r="G4" s="18" t="n">
        <v>0</v>
      </c>
      <c r="H4" s="18" t="n">
        <v>167</v>
      </c>
      <c r="I4" s="18" t="n">
        <v>830</v>
      </c>
      <c r="J4" s="18" t="n">
        <v>44</v>
      </c>
      <c r="K4" s="18" t="n">
        <v>1052</v>
      </c>
      <c r="L4" s="18" t="n">
        <v>655</v>
      </c>
    </row>
    <row r="5" customFormat="false" ht="15.75" hidden="false" customHeight="false" outlineLevel="0" collapsed="false">
      <c r="B5" s="18" t="s">
        <v>86</v>
      </c>
      <c r="C5" s="14" t="str">
        <f aca="false">IF(B5="","",IFERROR(INDEX('CLM &amp; IM Mapping'!$B$2:$B$270,MATCH(TRIM(B5),'CLM &amp; IM Mapping'!$A$2:$A$270,0)),"Not Mapped"))</f>
        <v>Adhavan Subramani</v>
      </c>
      <c r="D5" s="14" t="str">
        <f aca="false">IF(B5="","",IFERROR(INDEX('CLM &amp; IM Mapping'!$C$2:$C$270,MATCH(TRIM(B5),'CLM &amp; IM Mapping'!$A$2:$A$270,0)),"Not Mapped"))</f>
        <v>Mohammed Akbar</v>
      </c>
      <c r="E5" s="18" t="n">
        <v>48</v>
      </c>
      <c r="F5" s="18" t="n">
        <v>594</v>
      </c>
      <c r="G5" s="18" t="n">
        <v>2</v>
      </c>
      <c r="H5" s="18" t="n">
        <v>2</v>
      </c>
      <c r="I5" s="18" t="n">
        <v>12</v>
      </c>
      <c r="J5" s="18" t="n">
        <v>23</v>
      </c>
      <c r="K5" s="18" t="n">
        <v>681</v>
      </c>
      <c r="L5" s="18" t="n">
        <v>681</v>
      </c>
    </row>
    <row r="6" customFormat="false" ht="15.75" hidden="false" customHeight="false" outlineLevel="0" collapsed="false">
      <c r="B6" s="18" t="s">
        <v>242</v>
      </c>
      <c r="C6" s="14" t="str">
        <f aca="false">IF(B6="","",IFERROR(INDEX('CLM &amp; IM Mapping'!$B$2:$B$270,MATCH(TRIM(B6),'CLM &amp; IM Mapping'!$A$2:$A$270,0)),"Not Mapped"))</f>
        <v>Ashwath S</v>
      </c>
      <c r="D6" s="14" t="str">
        <f aca="false">IF(B6="","",IFERROR(INDEX('CLM &amp; IM Mapping'!$C$2:$C$270,MATCH(TRIM(B6),'CLM &amp; IM Mapping'!$A$2:$A$270,0)),"Not Mapped"))</f>
        <v>Kantha Kumar</v>
      </c>
      <c r="E6" s="18" t="n">
        <v>74</v>
      </c>
      <c r="F6" s="18" t="n">
        <v>398</v>
      </c>
      <c r="G6" s="18" t="n">
        <v>7</v>
      </c>
      <c r="H6" s="18" t="n">
        <v>3</v>
      </c>
      <c r="I6" s="18" t="n">
        <v>0</v>
      </c>
      <c r="J6" s="18" t="n">
        <v>191</v>
      </c>
      <c r="K6" s="18" t="n">
        <v>673</v>
      </c>
      <c r="L6" s="18" t="n">
        <v>429</v>
      </c>
    </row>
    <row r="7" customFormat="false" ht="15.75" hidden="false" customHeight="false" outlineLevel="0" collapsed="false">
      <c r="B7" s="18" t="s">
        <v>41</v>
      </c>
      <c r="C7" s="14" t="str">
        <f aca="false">IF(B7="","",IFERROR(INDEX('CLM &amp; IM Mapping'!$B$2:$B$270,MATCH(TRIM(B7),'CLM &amp; IM Mapping'!$A$2:$A$270,0)),"Not Mapped"))</f>
        <v>Silambarasan E</v>
      </c>
      <c r="D7" s="14" t="str">
        <f aca="false">IF(B7="","",IFERROR(INDEX('CLM &amp; IM Mapping'!$C$2:$C$270,MATCH(TRIM(B7),'CLM &amp; IM Mapping'!$A$2:$A$270,0)),"Not Mapped"))</f>
        <v>Arivind S</v>
      </c>
      <c r="E7" s="18" t="n">
        <v>172</v>
      </c>
      <c r="F7" s="18" t="n">
        <v>430</v>
      </c>
      <c r="G7" s="18" t="n">
        <v>11</v>
      </c>
      <c r="H7" s="18" t="n">
        <v>0</v>
      </c>
      <c r="I7" s="18" t="n">
        <v>15</v>
      </c>
      <c r="J7" s="18" t="n">
        <v>35</v>
      </c>
      <c r="K7" s="18" t="n">
        <v>663</v>
      </c>
      <c r="L7" s="18" t="n">
        <v>240</v>
      </c>
    </row>
    <row r="8" customFormat="false" ht="15.75" hidden="false" customHeight="false" outlineLevel="0" collapsed="false">
      <c r="B8" s="18" t="s">
        <v>212</v>
      </c>
      <c r="C8" s="14" t="str">
        <f aca="false">IF(B8="","",IFERROR(INDEX('CLM &amp; IM Mapping'!$B$2:$B$270,MATCH(TRIM(B8),'CLM &amp; IM Mapping'!$A$2:$A$270,0)),"Not Mapped"))</f>
        <v>Narasimhamurthy R</v>
      </c>
      <c r="D8" s="14" t="str">
        <f aca="false">IF(B8="","",IFERROR(INDEX('CLM &amp; IM Mapping'!$C$2:$C$270,MATCH(TRIM(B8),'CLM &amp; IM Mapping'!$A$2:$A$270,0)),"Not Mapped"))</f>
        <v>Kishor K</v>
      </c>
      <c r="E8" s="18" t="n">
        <v>85</v>
      </c>
      <c r="F8" s="18" t="n">
        <v>401</v>
      </c>
      <c r="G8" s="18" t="n">
        <v>93</v>
      </c>
      <c r="H8" s="18" t="n">
        <v>3</v>
      </c>
      <c r="I8" s="18" t="n">
        <v>0</v>
      </c>
      <c r="J8" s="18" t="n">
        <v>76</v>
      </c>
      <c r="K8" s="18" t="n">
        <v>658</v>
      </c>
      <c r="L8" s="18" t="n">
        <v>399</v>
      </c>
    </row>
    <row r="9" customFormat="false" ht="15.75" hidden="false" customHeight="false" outlineLevel="0" collapsed="false">
      <c r="B9" s="18" t="s">
        <v>160</v>
      </c>
      <c r="C9" s="14" t="str">
        <f aca="false">IF(B9="","",IFERROR(INDEX('CLM &amp; IM Mapping'!$B$2:$B$270,MATCH(TRIM(B9),'CLM &amp; IM Mapping'!$A$2:$A$270,0)),"Not Mapped"))</f>
        <v>Richard Harris</v>
      </c>
      <c r="D9" s="14" t="str">
        <f aca="false">IF(B9="","",IFERROR(INDEX('CLM &amp; IM Mapping'!$C$2:$C$270,MATCH(TRIM(B9),'CLM &amp; IM Mapping'!$A$2:$A$270,0)),"Not Mapped"))</f>
        <v>Kantha Kumar</v>
      </c>
      <c r="E9" s="18" t="n">
        <v>21</v>
      </c>
      <c r="F9" s="18" t="n">
        <v>85</v>
      </c>
      <c r="G9" s="18" t="n">
        <v>3</v>
      </c>
      <c r="H9" s="18" t="n">
        <v>377</v>
      </c>
      <c r="I9" s="18" t="n">
        <v>100</v>
      </c>
      <c r="J9" s="18" t="n">
        <v>42</v>
      </c>
      <c r="K9" s="18" t="n">
        <v>628</v>
      </c>
      <c r="L9" s="18" t="n">
        <v>203</v>
      </c>
    </row>
    <row r="10" customFormat="false" ht="15.75" hidden="false" customHeight="false" outlineLevel="0" collapsed="false">
      <c r="B10" s="18" t="s">
        <v>117</v>
      </c>
      <c r="C10" s="14" t="str">
        <f aca="false">IF(B10="","",IFERROR(INDEX('CLM &amp; IM Mapping'!$B$2:$B$270,MATCH(TRIM(B10),'CLM &amp; IM Mapping'!$A$2:$A$270,0)),"Not Mapped"))</f>
        <v>Saddam Hussain</v>
      </c>
      <c r="D10" s="14" t="str">
        <f aca="false">IF(B10="","",IFERROR(INDEX('CLM &amp; IM Mapping'!$C$2:$C$270,MATCH(TRIM(B10),'CLM &amp; IM Mapping'!$A$2:$A$270,0)),"Not Mapped"))</f>
        <v>Un Mapped</v>
      </c>
      <c r="E10" s="18" t="n">
        <v>0</v>
      </c>
      <c r="F10" s="18" t="n">
        <v>86</v>
      </c>
      <c r="G10" s="18" t="n">
        <v>2</v>
      </c>
      <c r="H10" s="18" t="n">
        <v>60</v>
      </c>
      <c r="I10" s="18" t="n">
        <v>429</v>
      </c>
      <c r="J10" s="18" t="n">
        <v>0</v>
      </c>
      <c r="K10" s="18" t="n">
        <v>577</v>
      </c>
      <c r="L10" s="18" t="n">
        <v>356</v>
      </c>
    </row>
    <row r="11" customFormat="false" ht="15.75" hidden="false" customHeight="false" outlineLevel="0" collapsed="false">
      <c r="B11" s="18" t="s">
        <v>207</v>
      </c>
      <c r="C11" s="14" t="str">
        <f aca="false">IF(B11="","",IFERROR(INDEX('CLM &amp; IM Mapping'!$B$2:$B$270,MATCH(TRIM(B11),'CLM &amp; IM Mapping'!$A$2:$A$270,0)),"Not Mapped"))</f>
        <v>Keshav G</v>
      </c>
      <c r="D11" s="14" t="str">
        <f aca="false">IF(B11="","",IFERROR(INDEX('CLM &amp; IM Mapping'!$C$2:$C$270,MATCH(TRIM(B11),'CLM &amp; IM Mapping'!$A$2:$A$270,0)),"Not Mapped"))</f>
        <v>Mohammed Akbar</v>
      </c>
      <c r="E11" s="18" t="n">
        <v>1</v>
      </c>
      <c r="F11" s="18" t="n">
        <v>196</v>
      </c>
      <c r="G11" s="18" t="n">
        <v>261</v>
      </c>
      <c r="H11" s="18" t="n">
        <v>78</v>
      </c>
      <c r="I11" s="18" t="n">
        <v>28</v>
      </c>
      <c r="J11" s="18" t="n">
        <v>2</v>
      </c>
      <c r="K11" s="18" t="n">
        <v>566</v>
      </c>
      <c r="L11" s="18" t="n">
        <v>475</v>
      </c>
    </row>
    <row r="12" customFormat="false" ht="15.75" hidden="false" customHeight="false" outlineLevel="0" collapsed="false">
      <c r="B12" s="18" t="s">
        <v>175</v>
      </c>
      <c r="C12" s="14" t="str">
        <f aca="false">IF(B12="","",IFERROR(INDEX('CLM &amp; IM Mapping'!$B$2:$B$270,MATCH(TRIM(B12),'CLM &amp; IM Mapping'!$A$2:$A$270,0)),"Not Mapped"))</f>
        <v>Manjunatha V</v>
      </c>
      <c r="D12" s="14" t="str">
        <f aca="false">IF(B12="","",IFERROR(INDEX('CLM &amp; IM Mapping'!$C$2:$C$270,MATCH(TRIM(B12),'CLM &amp; IM Mapping'!$A$2:$A$270,0)),"Not Mapped"))</f>
        <v>Un Mapped</v>
      </c>
      <c r="E12" s="18" t="n">
        <v>25</v>
      </c>
      <c r="F12" s="18" t="n">
        <v>181</v>
      </c>
      <c r="G12" s="18" t="n">
        <v>304</v>
      </c>
      <c r="H12" s="18" t="n">
        <v>0</v>
      </c>
      <c r="I12" s="18" t="n">
        <v>0</v>
      </c>
      <c r="J12" s="18" t="n">
        <v>50</v>
      </c>
      <c r="K12" s="18" t="n">
        <v>560</v>
      </c>
      <c r="L12" s="18" t="n">
        <v>560</v>
      </c>
    </row>
    <row r="13" customFormat="false" ht="15.75" hidden="false" customHeight="false" outlineLevel="0" collapsed="false">
      <c r="B13" s="18" t="s">
        <v>42</v>
      </c>
      <c r="C13" s="14" t="str">
        <f aca="false">IF(B13="","",IFERROR(INDEX('CLM &amp; IM Mapping'!$B$2:$B$270,MATCH(TRIM(B13),'CLM &amp; IM Mapping'!$A$2:$A$270,0)),"Not Mapped"))</f>
        <v>Vijay M</v>
      </c>
      <c r="D13" s="14" t="str">
        <f aca="false">IF(B13="","",IFERROR(INDEX('CLM &amp; IM Mapping'!$C$2:$C$270,MATCH(TRIM(B13),'CLM &amp; IM Mapping'!$A$2:$A$270,0)),"Not Mapped"))</f>
        <v>Kantha Kumar</v>
      </c>
      <c r="E13" s="18" t="n">
        <v>56</v>
      </c>
      <c r="F13" s="18" t="n">
        <v>76</v>
      </c>
      <c r="G13" s="18" t="n">
        <v>96</v>
      </c>
      <c r="H13" s="18" t="n">
        <v>123</v>
      </c>
      <c r="I13" s="18" t="n">
        <v>64</v>
      </c>
      <c r="J13" s="18" t="n">
        <v>112</v>
      </c>
      <c r="K13" s="18" t="n">
        <v>527</v>
      </c>
      <c r="L13" s="18" t="n">
        <v>437</v>
      </c>
    </row>
    <row r="14" customFormat="false" ht="15.75" hidden="false" customHeight="false" outlineLevel="0" collapsed="false">
      <c r="B14" s="18" t="s">
        <v>188</v>
      </c>
      <c r="C14" s="14" t="str">
        <f aca="false">IF(B14="","",IFERROR(INDEX('CLM &amp; IM Mapping'!$B$2:$B$270,MATCH(TRIM(B14),'CLM &amp; IM Mapping'!$A$2:$A$270,0)),"Not Mapped"))</f>
        <v>Manjunatha V</v>
      </c>
      <c r="D14" s="14" t="str">
        <f aca="false">IF(B14="","",IFERROR(INDEX('CLM &amp; IM Mapping'!$C$2:$C$270,MATCH(TRIM(B14),'CLM &amp; IM Mapping'!$A$2:$A$270,0)),"Not Mapped"))</f>
        <v>Un Mapped</v>
      </c>
      <c r="E14" s="18" t="n">
        <v>15</v>
      </c>
      <c r="F14" s="18" t="n">
        <v>229</v>
      </c>
      <c r="G14" s="18" t="n">
        <v>104</v>
      </c>
      <c r="H14" s="18" t="n">
        <v>14</v>
      </c>
      <c r="I14" s="18" t="n">
        <v>44</v>
      </c>
      <c r="J14" s="18" t="n">
        <v>92</v>
      </c>
      <c r="K14" s="18" t="n">
        <v>498</v>
      </c>
      <c r="L14" s="18" t="n">
        <v>448</v>
      </c>
    </row>
    <row r="15" customFormat="false" ht="15.75" hidden="false" customHeight="false" outlineLevel="0" collapsed="false">
      <c r="B15" s="18" t="s">
        <v>107</v>
      </c>
      <c r="C15" s="14" t="str">
        <f aca="false">IF(B15="","",IFERROR(INDEX('CLM &amp; IM Mapping'!$B$2:$B$270,MATCH(TRIM(B15),'CLM &amp; IM Mapping'!$A$2:$A$270,0)),"Not Mapped"))</f>
        <v>Adhavan Subramani</v>
      </c>
      <c r="D15" s="14" t="str">
        <f aca="false">IF(B15="","",IFERROR(INDEX('CLM &amp; IM Mapping'!$C$2:$C$270,MATCH(TRIM(B15),'CLM &amp; IM Mapping'!$A$2:$A$270,0)),"Not Mapped"))</f>
        <v>Mohammed Akbar</v>
      </c>
      <c r="E15" s="18"/>
      <c r="F15" s="18" t="n">
        <v>84</v>
      </c>
      <c r="G15" s="18"/>
      <c r="H15" s="18" t="n">
        <v>194</v>
      </c>
      <c r="I15" s="18" t="n">
        <v>166</v>
      </c>
      <c r="J15" s="18" t="n">
        <v>44</v>
      </c>
      <c r="K15" s="18" t="n">
        <v>488</v>
      </c>
      <c r="L15" s="18" t="n">
        <v>219</v>
      </c>
    </row>
    <row r="16" customFormat="false" ht="15.75" hidden="false" customHeight="false" outlineLevel="0" collapsed="false">
      <c r="B16" s="18" t="s">
        <v>36</v>
      </c>
      <c r="C16" s="14" t="str">
        <f aca="false">IF(B16="","",IFERROR(INDEX('CLM &amp; IM Mapping'!$B$2:$B$270,MATCH(TRIM(B16),'CLM &amp; IM Mapping'!$A$2:$A$270,0)),"Not Mapped"))</f>
        <v>Keshav G</v>
      </c>
      <c r="D16" s="14" t="str">
        <f aca="false">IF(B16="","",IFERROR(INDEX('CLM &amp; IM Mapping'!$C$2:$C$270,MATCH(TRIM(B16),'CLM &amp; IM Mapping'!$A$2:$A$270,0)),"Not Mapped"))</f>
        <v>Un Mapped</v>
      </c>
      <c r="E16" s="18" t="n">
        <v>24</v>
      </c>
      <c r="F16" s="18" t="n">
        <v>168</v>
      </c>
      <c r="G16" s="18" t="n">
        <v>114</v>
      </c>
      <c r="H16" s="18" t="n">
        <v>146</v>
      </c>
      <c r="I16" s="18" t="n">
        <v>0</v>
      </c>
      <c r="J16" s="18" t="n">
        <v>2</v>
      </c>
      <c r="K16" s="18" t="n">
        <v>454</v>
      </c>
      <c r="L16" s="18" t="n">
        <v>262</v>
      </c>
    </row>
    <row r="17" customFormat="false" ht="15.75" hidden="false" customHeight="false" outlineLevel="0" collapsed="false">
      <c r="B17" s="18" t="s">
        <v>176</v>
      </c>
      <c r="C17" s="14" t="str">
        <f aca="false">IF(B17="","",IFERROR(INDEX('CLM &amp; IM Mapping'!$B$2:$B$270,MATCH(TRIM(B17),'CLM &amp; IM Mapping'!$A$2:$A$270,0)),"Not Mapped"))</f>
        <v>Raghavendra Vernekar</v>
      </c>
      <c r="D17" s="14" t="str">
        <f aca="false">IF(B17="","",IFERROR(INDEX('CLM &amp; IM Mapping'!$C$2:$C$270,MATCH(TRIM(B17),'CLM &amp; IM Mapping'!$A$2:$A$270,0)),"Not Mapped"))</f>
        <v>Prakash BS</v>
      </c>
      <c r="E17" s="18" t="n">
        <v>30</v>
      </c>
      <c r="F17" s="18" t="n">
        <v>256</v>
      </c>
      <c r="G17" s="18" t="n">
        <v>42</v>
      </c>
      <c r="H17" s="18" t="n">
        <v>16</v>
      </c>
      <c r="I17" s="18" t="n">
        <v>97</v>
      </c>
      <c r="J17" s="18" t="n">
        <v>7</v>
      </c>
      <c r="K17" s="18" t="n">
        <v>448</v>
      </c>
      <c r="L17" s="18" t="n">
        <v>448</v>
      </c>
    </row>
    <row r="18" customFormat="false" ht="15.75" hidden="false" customHeight="false" outlineLevel="0" collapsed="false">
      <c r="B18" s="18" t="s">
        <v>26</v>
      </c>
      <c r="C18" s="14" t="str">
        <f aca="false">IF(B18="","",IFERROR(INDEX('CLM &amp; IM Mapping'!$B$2:$B$270,MATCH(TRIM(B18),'CLM &amp; IM Mapping'!$A$2:$A$270,0)),"Not Mapped"))</f>
        <v>Suhas N</v>
      </c>
      <c r="D18" s="14" t="str">
        <f aca="false">IF(B18="","",IFERROR(INDEX('CLM &amp; IM Mapping'!$C$2:$C$270,MATCH(TRIM(B18),'CLM &amp; IM Mapping'!$A$2:$A$270,0)),"Not Mapped"))</f>
        <v>Aravind S</v>
      </c>
      <c r="E18" s="18" t="n">
        <v>6</v>
      </c>
      <c r="F18" s="18" t="n">
        <v>130</v>
      </c>
      <c r="G18" s="18" t="n">
        <v>21</v>
      </c>
      <c r="H18" s="18" t="n">
        <v>123</v>
      </c>
      <c r="I18" s="18" t="n">
        <v>80</v>
      </c>
      <c r="J18" s="18" t="n">
        <v>85</v>
      </c>
      <c r="K18" s="18" t="n">
        <v>445</v>
      </c>
      <c r="L18" s="18" t="n">
        <v>361</v>
      </c>
    </row>
    <row r="19" customFormat="false" ht="15.75" hidden="false" customHeight="false" outlineLevel="0" collapsed="false">
      <c r="B19" s="18" t="s">
        <v>127</v>
      </c>
      <c r="C19" s="14" t="str">
        <f aca="false">IF(B19="","",IFERROR(INDEX('CLM &amp; IM Mapping'!$B$2:$B$270,MATCH(TRIM(B19),'CLM &amp; IM Mapping'!$A$2:$A$270,0)),"Not Mapped"))</f>
        <v>Rizwan Ahmed</v>
      </c>
      <c r="D19" s="14" t="str">
        <f aca="false">IF(B19="","",IFERROR(INDEX('CLM &amp; IM Mapping'!$C$2:$C$270,MATCH(TRIM(B19),'CLM &amp; IM Mapping'!$A$2:$A$270,0)),"Not Mapped"))</f>
        <v>Un Mapped</v>
      </c>
      <c r="E19" s="18" t="n">
        <v>0</v>
      </c>
      <c r="F19" s="18" t="n">
        <v>211</v>
      </c>
      <c r="G19" s="18"/>
      <c r="H19" s="18" t="n">
        <v>122</v>
      </c>
      <c r="I19" s="18" t="n">
        <v>61</v>
      </c>
      <c r="J19" s="18" t="n">
        <v>47</v>
      </c>
      <c r="K19" s="18" t="n">
        <v>441</v>
      </c>
      <c r="L19" s="18" t="n">
        <v>330</v>
      </c>
    </row>
    <row r="20" customFormat="false" ht="15.75" hidden="false" customHeight="false" outlineLevel="0" collapsed="false">
      <c r="B20" s="18" t="s">
        <v>125</v>
      </c>
      <c r="C20" s="14" t="str">
        <f aca="false">IF(B20="","",IFERROR(INDEX('CLM &amp; IM Mapping'!$B$2:$B$270,MATCH(TRIM(B20),'CLM &amp; IM Mapping'!$A$2:$A$270,0)),"Not Mapped"))</f>
        <v>Sundaresh S</v>
      </c>
      <c r="D20" s="14" t="str">
        <f aca="false">IF(B20="","",IFERROR(INDEX('CLM &amp; IM Mapping'!$C$2:$C$270,MATCH(TRIM(B20),'CLM &amp; IM Mapping'!$A$2:$A$270,0)),"Not Mapped"))</f>
        <v>Un Mapped</v>
      </c>
      <c r="E20" s="18" t="n">
        <v>26</v>
      </c>
      <c r="F20" s="18" t="n">
        <v>173</v>
      </c>
      <c r="G20" s="18" t="n">
        <v>88</v>
      </c>
      <c r="H20" s="18" t="n">
        <v>23</v>
      </c>
      <c r="I20" s="18" t="n">
        <v>73</v>
      </c>
      <c r="J20" s="18" t="n">
        <v>18</v>
      </c>
      <c r="K20" s="18" t="n">
        <v>401</v>
      </c>
      <c r="L20" s="18" t="n">
        <v>324</v>
      </c>
    </row>
    <row r="21" customFormat="false" ht="15.75" hidden="false" customHeight="false" outlineLevel="0" collapsed="false">
      <c r="B21" s="18" t="s">
        <v>60</v>
      </c>
      <c r="C21" s="14" t="str">
        <f aca="false">IF(B21="","",IFERROR(INDEX('CLM &amp; IM Mapping'!$B$2:$B$270,MATCH(TRIM(B21),'CLM &amp; IM Mapping'!$A$2:$A$270,0)),"Not Mapped"))</f>
        <v>Basil Scariya</v>
      </c>
      <c r="D21" s="14" t="str">
        <f aca="false">IF(B21="","",IFERROR(INDEX('CLM &amp; IM Mapping'!$C$2:$C$270,MATCH(TRIM(B21),'CLM &amp; IM Mapping'!$A$2:$A$270,0)),"Not Mapped"))</f>
        <v>Prakash BS</v>
      </c>
      <c r="E21" s="18" t="n">
        <v>35</v>
      </c>
      <c r="F21" s="18" t="n">
        <v>56</v>
      </c>
      <c r="G21" s="18" t="n">
        <v>102</v>
      </c>
      <c r="H21" s="18" t="n">
        <v>17</v>
      </c>
      <c r="I21" s="18" t="n">
        <v>0</v>
      </c>
      <c r="J21" s="18" t="n">
        <v>177</v>
      </c>
      <c r="K21" s="18" t="n">
        <v>387</v>
      </c>
      <c r="L21" s="18" t="n">
        <v>364</v>
      </c>
    </row>
    <row r="22" customFormat="false" ht="15.75" hidden="false" customHeight="false" outlineLevel="0" collapsed="false">
      <c r="B22" s="18" t="s">
        <v>126</v>
      </c>
      <c r="C22" s="14" t="str">
        <f aca="false">IF(B22="","",IFERROR(INDEX('CLM &amp; IM Mapping'!$B$2:$B$270,MATCH(TRIM(B22),'CLM &amp; IM Mapping'!$A$2:$A$270,0)),"Not Mapped"))</f>
        <v>Raghavendra Vernekar</v>
      </c>
      <c r="D22" s="14" t="str">
        <f aca="false">IF(B22="","",IFERROR(INDEX('CLM &amp; IM Mapping'!$C$2:$C$270,MATCH(TRIM(B22),'CLM &amp; IM Mapping'!$A$2:$A$270,0)),"Not Mapped"))</f>
        <v>Prakash BS</v>
      </c>
      <c r="E22" s="18" t="n">
        <v>34</v>
      </c>
      <c r="F22" s="18" t="n">
        <v>71</v>
      </c>
      <c r="G22" s="18" t="n">
        <v>13</v>
      </c>
      <c r="H22" s="18" t="n">
        <v>240</v>
      </c>
      <c r="I22" s="18" t="n">
        <v>0</v>
      </c>
      <c r="J22" s="18" t="n">
        <v>28</v>
      </c>
      <c r="K22" s="18" t="n">
        <v>386</v>
      </c>
      <c r="L22" s="18" t="n">
        <v>372</v>
      </c>
    </row>
    <row r="23" customFormat="false" ht="15.75" hidden="false" customHeight="false" outlineLevel="0" collapsed="false">
      <c r="B23" s="18" t="s">
        <v>210</v>
      </c>
      <c r="C23" s="14" t="str">
        <f aca="false">IF(B23="","",IFERROR(INDEX('CLM &amp; IM Mapping'!$B$2:$B$270,MATCH(TRIM(B23),'CLM &amp; IM Mapping'!$A$2:$A$270,0)),"Not Mapped"))</f>
        <v>Mohaideen DH</v>
      </c>
      <c r="D23" s="14" t="str">
        <f aca="false">IF(B23="","",IFERROR(INDEX('CLM &amp; IM Mapping'!$C$2:$C$270,MATCH(TRIM(B23),'CLM &amp; IM Mapping'!$A$2:$A$270,0)),"Not Mapped"))</f>
        <v>Mohammed Akbar</v>
      </c>
      <c r="E23" s="18" t="n">
        <v>0</v>
      </c>
      <c r="F23" s="18" t="n">
        <v>1</v>
      </c>
      <c r="G23" s="18" t="n">
        <v>0</v>
      </c>
      <c r="H23" s="18" t="n">
        <v>247</v>
      </c>
      <c r="I23" s="18" t="n">
        <v>121</v>
      </c>
      <c r="J23" s="18" t="n">
        <v>13</v>
      </c>
      <c r="K23" s="18" t="n">
        <v>382</v>
      </c>
      <c r="L23" s="18" t="n">
        <v>88</v>
      </c>
    </row>
    <row r="24" customFormat="false" ht="15.75" hidden="false" customHeight="false" outlineLevel="0" collapsed="false">
      <c r="B24" s="18" t="s">
        <v>137</v>
      </c>
      <c r="C24" s="14" t="str">
        <f aca="false">IF(B24="","",IFERROR(INDEX('CLM &amp; IM Mapping'!$B$2:$B$270,MATCH(TRIM(B24),'CLM &amp; IM Mapping'!$A$2:$A$270,0)),"Not Mapped"))</f>
        <v>Raghavendra Vernekar</v>
      </c>
      <c r="D24" s="14" t="str">
        <f aca="false">IF(B24="","",IFERROR(INDEX('CLM &amp; IM Mapping'!$C$2:$C$270,MATCH(TRIM(B24),'CLM &amp; IM Mapping'!$A$2:$A$270,0)),"Not Mapped"))</f>
        <v>Prakash BS</v>
      </c>
      <c r="E24" s="18" t="n">
        <v>68</v>
      </c>
      <c r="F24" s="18" t="n">
        <v>201</v>
      </c>
      <c r="G24" s="18" t="n">
        <v>74</v>
      </c>
      <c r="H24" s="18" t="n">
        <v>2</v>
      </c>
      <c r="I24" s="18" t="n">
        <v>6</v>
      </c>
      <c r="J24" s="18" t="n">
        <v>31</v>
      </c>
      <c r="K24" s="18" t="n">
        <v>382</v>
      </c>
      <c r="L24" s="18" t="n">
        <v>377</v>
      </c>
    </row>
    <row r="25" customFormat="false" ht="15.75" hidden="false" customHeight="false" outlineLevel="0" collapsed="false">
      <c r="B25" s="18" t="s">
        <v>206</v>
      </c>
      <c r="C25" s="14" t="str">
        <f aca="false">IF(B25="","",IFERROR(INDEX('CLM &amp; IM Mapping'!$B$2:$B$270,MATCH(TRIM(B25),'CLM &amp; IM Mapping'!$A$2:$A$270,0)),"Not Mapped"))</f>
        <v>Saddam Hussain</v>
      </c>
      <c r="D25" s="14" t="str">
        <f aca="false">IF(B25="","",IFERROR(INDEX('CLM &amp; IM Mapping'!$C$2:$C$270,MATCH(TRIM(B25),'CLM &amp; IM Mapping'!$A$2:$A$270,0)),"Not Mapped"))</f>
        <v>Un Mapped</v>
      </c>
      <c r="E25" s="18" t="n">
        <v>10</v>
      </c>
      <c r="F25" s="18" t="n">
        <v>3</v>
      </c>
      <c r="G25" s="18" t="n">
        <v>123</v>
      </c>
      <c r="H25" s="18" t="n">
        <v>51</v>
      </c>
      <c r="I25" s="18" t="n">
        <v>88</v>
      </c>
      <c r="J25" s="18" t="n">
        <v>107</v>
      </c>
      <c r="K25" s="18" t="n">
        <v>382</v>
      </c>
      <c r="L25" s="18" t="n">
        <v>339</v>
      </c>
    </row>
    <row r="26" customFormat="false" ht="15.75" hidden="false" customHeight="false" outlineLevel="0" collapsed="false">
      <c r="B26" s="18" t="s">
        <v>259</v>
      </c>
      <c r="C26" s="14" t="str">
        <f aca="false">IF(B26="","",IFERROR(INDEX('CLM &amp; IM Mapping'!$B$2:$B$270,MATCH(TRIM(B26),'CLM &amp; IM Mapping'!$A$2:$A$270,0)),"Not Mapped"))</f>
        <v>John Britto</v>
      </c>
      <c r="D26" s="14" t="str">
        <f aca="false">IF(B26="","",IFERROR(INDEX('CLM &amp; IM Mapping'!$C$2:$C$270,MATCH(TRIM(B26),'CLM &amp; IM Mapping'!$A$2:$A$270,0)),"Not Mapped"))</f>
        <v>Aravind S</v>
      </c>
      <c r="E26" s="18" t="n">
        <v>78</v>
      </c>
      <c r="F26" s="18" t="n">
        <v>125</v>
      </c>
      <c r="G26" s="18" t="n">
        <v>119</v>
      </c>
      <c r="H26" s="18" t="n">
        <v>9</v>
      </c>
      <c r="I26" s="18" t="n">
        <v>2</v>
      </c>
      <c r="J26" s="18" t="n">
        <v>34</v>
      </c>
      <c r="K26" s="18" t="n">
        <v>367</v>
      </c>
      <c r="L26" s="18" t="n">
        <v>157</v>
      </c>
    </row>
    <row r="27" customFormat="false" ht="15.75" hidden="false" customHeight="false" outlineLevel="0" collapsed="false">
      <c r="B27" s="18" t="s">
        <v>140</v>
      </c>
      <c r="C27" s="14" t="str">
        <f aca="false">IF(B27="","",IFERROR(INDEX('CLM &amp; IM Mapping'!$B$2:$B$270,MATCH(TRIM(B27),'CLM &amp; IM Mapping'!$A$2:$A$270,0)),"Not Mapped"))</f>
        <v>Mohaideen DH</v>
      </c>
      <c r="D27" s="14" t="str">
        <f aca="false">IF(B27="","",IFERROR(INDEX('CLM &amp; IM Mapping'!$C$2:$C$270,MATCH(TRIM(B27),'CLM &amp; IM Mapping'!$A$2:$A$270,0)),"Not Mapped"))</f>
        <v>Mohammed Akbar</v>
      </c>
      <c r="E27" s="18" t="n">
        <v>0</v>
      </c>
      <c r="F27" s="18" t="n">
        <v>16</v>
      </c>
      <c r="G27" s="18" t="n">
        <v>0</v>
      </c>
      <c r="H27" s="18" t="n">
        <v>103</v>
      </c>
      <c r="I27" s="18" t="n">
        <v>179</v>
      </c>
      <c r="J27" s="18" t="n">
        <v>65</v>
      </c>
      <c r="K27" s="18" t="n">
        <v>363</v>
      </c>
      <c r="L27" s="18" t="n">
        <v>171</v>
      </c>
    </row>
    <row r="28" customFormat="false" ht="15.75" hidden="false" customHeight="false" outlineLevel="0" collapsed="false">
      <c r="B28" s="18" t="s">
        <v>276</v>
      </c>
      <c r="C28" s="14" t="str">
        <f aca="false">IF(B28="","",IFERROR(INDEX('CLM &amp; IM Mapping'!$B$2:$B$270,MATCH(TRIM(B28),'CLM &amp; IM Mapping'!$A$2:$A$270,0)),"Not Mapped"))</f>
        <v>Manjunatha V</v>
      </c>
      <c r="D28" s="14" t="str">
        <f aca="false">IF(B28="","",IFERROR(INDEX('CLM &amp; IM Mapping'!$C$2:$C$270,MATCH(TRIM(B28),'CLM &amp; IM Mapping'!$A$2:$A$270,0)),"Not Mapped"))</f>
        <v>Un Mapped</v>
      </c>
      <c r="E28" s="18" t="n">
        <v>37</v>
      </c>
      <c r="F28" s="18" t="n">
        <v>48</v>
      </c>
      <c r="G28" s="18"/>
      <c r="H28" s="18" t="n">
        <v>88</v>
      </c>
      <c r="I28" s="18" t="n">
        <v>50</v>
      </c>
      <c r="J28" s="18" t="n">
        <v>133</v>
      </c>
      <c r="K28" s="18" t="n">
        <v>356</v>
      </c>
      <c r="L28" s="18" t="n">
        <v>263</v>
      </c>
    </row>
    <row r="29" customFormat="false" ht="15.75" hidden="false" customHeight="false" outlineLevel="0" collapsed="false">
      <c r="B29" s="18" t="s">
        <v>193</v>
      </c>
      <c r="C29" s="14" t="str">
        <f aca="false">IF(B29="","",IFERROR(INDEX('CLM &amp; IM Mapping'!$B$2:$B$270,MATCH(TRIM(B29),'CLM &amp; IM Mapping'!$A$2:$A$270,0)),"Not Mapped"))</f>
        <v>Basil Scariya</v>
      </c>
      <c r="D29" s="14" t="str">
        <f aca="false">IF(B29="","",IFERROR(INDEX('CLM &amp; IM Mapping'!$C$2:$C$270,MATCH(TRIM(B29),'CLM &amp; IM Mapping'!$A$2:$A$270,0)),"Not Mapped"))</f>
        <v>Prakash BS</v>
      </c>
      <c r="E29" s="18" t="n">
        <v>77</v>
      </c>
      <c r="F29" s="18" t="n">
        <v>102</v>
      </c>
      <c r="G29" s="18" t="n">
        <v>16</v>
      </c>
      <c r="H29" s="18" t="n">
        <v>80</v>
      </c>
      <c r="I29" s="18" t="n">
        <v>26</v>
      </c>
      <c r="J29" s="18" t="n">
        <v>54</v>
      </c>
      <c r="K29" s="18" t="n">
        <v>355</v>
      </c>
      <c r="L29" s="18" t="n">
        <v>351</v>
      </c>
    </row>
    <row r="30" customFormat="false" ht="15.75" hidden="false" customHeight="false" outlineLevel="0" collapsed="false">
      <c r="B30" s="18" t="s">
        <v>251</v>
      </c>
      <c r="C30" s="14" t="str">
        <f aca="false">IF(B30="","",IFERROR(INDEX('CLM &amp; IM Mapping'!$B$2:$B$270,MATCH(TRIM(B30),'CLM &amp; IM Mapping'!$A$2:$A$270,0)),"Not Mapped"))</f>
        <v>Manjunatha V</v>
      </c>
      <c r="D30" s="14" t="str">
        <f aca="false">IF(B30="","",IFERROR(INDEX('CLM &amp; IM Mapping'!$C$2:$C$270,MATCH(TRIM(B30),'CLM &amp; IM Mapping'!$A$2:$A$270,0)),"Not Mapped"))</f>
        <v>Un Mapped</v>
      </c>
      <c r="E30" s="18" t="n">
        <v>45</v>
      </c>
      <c r="F30" s="18" t="n">
        <v>130</v>
      </c>
      <c r="G30" s="18" t="n">
        <v>12</v>
      </c>
      <c r="H30" s="18" t="n">
        <v>103</v>
      </c>
      <c r="I30" s="18" t="n">
        <v>10</v>
      </c>
      <c r="J30" s="18" t="n">
        <v>50</v>
      </c>
      <c r="K30" s="18" t="n">
        <v>350</v>
      </c>
      <c r="L30" s="18" t="n">
        <v>340</v>
      </c>
    </row>
    <row r="31" customFormat="false" ht="15.75" hidden="false" customHeight="false" outlineLevel="0" collapsed="false">
      <c r="B31" s="18" t="s">
        <v>245</v>
      </c>
      <c r="C31" s="14" t="str">
        <f aca="false">IF(B31="","",IFERROR(INDEX('CLM &amp; IM Mapping'!$B$2:$B$270,MATCH(TRIM(B31),'CLM &amp; IM Mapping'!$A$2:$A$270,0)),"Not Mapped"))</f>
        <v>Rizwan Ahmed</v>
      </c>
      <c r="D31" s="14" t="str">
        <f aca="false">IF(B31="","",IFERROR(INDEX('CLM &amp; IM Mapping'!$C$2:$C$270,MATCH(TRIM(B31),'CLM &amp; IM Mapping'!$A$2:$A$270,0)),"Not Mapped"))</f>
        <v>Prakash BS</v>
      </c>
      <c r="E31" s="18" t="n">
        <v>97</v>
      </c>
      <c r="F31" s="18" t="n">
        <v>127</v>
      </c>
      <c r="G31" s="18" t="n">
        <v>4</v>
      </c>
      <c r="H31" s="18" t="n">
        <v>13</v>
      </c>
      <c r="I31" s="18" t="n">
        <v>31</v>
      </c>
      <c r="J31" s="18" t="n">
        <v>78</v>
      </c>
      <c r="K31" s="18" t="n">
        <v>350</v>
      </c>
      <c r="L31" s="18" t="n">
        <v>328</v>
      </c>
    </row>
    <row r="32" customFormat="false" ht="15.75" hidden="false" customHeight="false" outlineLevel="0" collapsed="false">
      <c r="B32" s="18" t="s">
        <v>124</v>
      </c>
      <c r="C32" s="14" t="str">
        <f aca="false">IF(B32="","",IFERROR(INDEX('CLM &amp; IM Mapping'!$B$2:$B$270,MATCH(TRIM(B32),'CLM &amp; IM Mapping'!$A$2:$A$270,0)),"Not Mapped"))</f>
        <v>Akshay P</v>
      </c>
      <c r="D32" s="14" t="str">
        <f aca="false">IF(B32="","",IFERROR(INDEX('CLM &amp; IM Mapping'!$C$2:$C$270,MATCH(TRIM(B32),'CLM &amp; IM Mapping'!$A$2:$A$270,0)),"Not Mapped"))</f>
        <v>Srittam Dhal</v>
      </c>
      <c r="E32" s="18" t="n">
        <v>68</v>
      </c>
      <c r="F32" s="18" t="n">
        <v>204</v>
      </c>
      <c r="G32" s="18" t="n">
        <v>69</v>
      </c>
      <c r="H32" s="18" t="n">
        <v>4</v>
      </c>
      <c r="I32" s="18" t="n">
        <v>2</v>
      </c>
      <c r="J32" s="18" t="n">
        <v>0</v>
      </c>
      <c r="K32" s="18" t="n">
        <v>347</v>
      </c>
      <c r="L32" s="18" t="n">
        <v>342</v>
      </c>
    </row>
    <row r="33" customFormat="false" ht="15.75" hidden="false" customHeight="false" outlineLevel="0" collapsed="false">
      <c r="B33" s="18" t="s">
        <v>52</v>
      </c>
      <c r="C33" s="14" t="str">
        <f aca="false">IF(B33="","",IFERROR(INDEX('CLM &amp; IM Mapping'!$B$2:$B$270,MATCH(TRIM(B33),'CLM &amp; IM Mapping'!$A$2:$A$270,0)),"Not Mapped"))</f>
        <v>Vishnu V</v>
      </c>
      <c r="D33" s="14" t="str">
        <f aca="false">IF(B33="","",IFERROR(INDEX('CLM &amp; IM Mapping'!$C$2:$C$270,MATCH(TRIM(B33),'CLM &amp; IM Mapping'!$A$2:$A$270,0)),"Not Mapped"))</f>
        <v>Arivind S</v>
      </c>
      <c r="E33" s="18" t="n">
        <v>15</v>
      </c>
      <c r="F33" s="18" t="n">
        <v>240</v>
      </c>
      <c r="G33" s="18" t="n">
        <v>8</v>
      </c>
      <c r="H33" s="18" t="n">
        <v>18</v>
      </c>
      <c r="I33" s="18" t="n">
        <v>21</v>
      </c>
      <c r="J33" s="18" t="n">
        <v>25</v>
      </c>
      <c r="K33" s="18" t="n">
        <v>327</v>
      </c>
      <c r="L33" s="18" t="n">
        <v>225</v>
      </c>
    </row>
    <row r="34" customFormat="false" ht="15.75" hidden="false" customHeight="false" outlineLevel="0" collapsed="false">
      <c r="B34" s="18" t="s">
        <v>113</v>
      </c>
      <c r="C34" s="14" t="str">
        <f aca="false">IF(B34="","",IFERROR(INDEX('CLM &amp; IM Mapping'!$B$2:$B$270,MATCH(TRIM(B34),'CLM &amp; IM Mapping'!$A$2:$A$270,0)),"Not Mapped"))</f>
        <v>Ashwath S</v>
      </c>
      <c r="D34" s="14" t="str">
        <f aca="false">IF(B34="","",IFERROR(INDEX('CLM &amp; IM Mapping'!$C$2:$C$270,MATCH(TRIM(B34),'CLM &amp; IM Mapping'!$A$2:$A$270,0)),"Not Mapped"))</f>
        <v>Kantha Kumar</v>
      </c>
      <c r="E34" s="18" t="n">
        <v>82</v>
      </c>
      <c r="F34" s="18" t="n">
        <v>65</v>
      </c>
      <c r="G34" s="18" t="n">
        <v>18</v>
      </c>
      <c r="H34" s="18" t="n">
        <v>0</v>
      </c>
      <c r="I34" s="18" t="n">
        <v>159</v>
      </c>
      <c r="J34" s="18" t="n">
        <v>0</v>
      </c>
      <c r="K34" s="18" t="n">
        <v>324</v>
      </c>
      <c r="L34" s="18" t="n">
        <v>309</v>
      </c>
    </row>
    <row r="35" customFormat="false" ht="15.75" hidden="false" customHeight="false" outlineLevel="0" collapsed="false">
      <c r="B35" s="18" t="s">
        <v>43</v>
      </c>
      <c r="C35" s="14" t="str">
        <f aca="false">IF(B35="","",IFERROR(INDEX('CLM &amp; IM Mapping'!$B$2:$B$270,MATCH(TRIM(B35),'CLM &amp; IM Mapping'!$A$2:$A$270,0)),"Not Mapped"))</f>
        <v>Vijay M</v>
      </c>
      <c r="D35" s="14" t="str">
        <f aca="false">IF(B35="","",IFERROR(INDEX('CLM &amp; IM Mapping'!$C$2:$C$270,MATCH(TRIM(B35),'CLM &amp; IM Mapping'!$A$2:$A$270,0)),"Not Mapped"))</f>
        <v>Kantha Kumar</v>
      </c>
      <c r="E35" s="18" t="n">
        <v>13</v>
      </c>
      <c r="F35" s="18" t="n">
        <v>36</v>
      </c>
      <c r="G35" s="18" t="n">
        <v>1</v>
      </c>
      <c r="H35" s="18" t="n">
        <v>246</v>
      </c>
      <c r="I35" s="18" t="n">
        <v>26</v>
      </c>
      <c r="J35" s="18" t="n">
        <v>0</v>
      </c>
      <c r="K35" s="18" t="n">
        <v>322</v>
      </c>
      <c r="L35" s="18" t="n">
        <v>170</v>
      </c>
    </row>
    <row r="36" customFormat="false" ht="15.75" hidden="false" customHeight="false" outlineLevel="0" collapsed="false">
      <c r="B36" s="18" t="s">
        <v>255</v>
      </c>
      <c r="C36" s="14" t="str">
        <f aca="false">IF(B36="","",IFERROR(INDEX('CLM &amp; IM Mapping'!$B$2:$B$270,MATCH(TRIM(B36),'CLM &amp; IM Mapping'!$A$2:$A$270,0)),"Not Mapped"))</f>
        <v>Vishnu V</v>
      </c>
      <c r="D36" s="14" t="str">
        <f aca="false">IF(B36="","",IFERROR(INDEX('CLM &amp; IM Mapping'!$C$2:$C$270,MATCH(TRIM(B36),'CLM &amp; IM Mapping'!$A$2:$A$270,0)),"Not Mapped"))</f>
        <v>Arivind S</v>
      </c>
      <c r="E36" s="18" t="n">
        <v>8</v>
      </c>
      <c r="F36" s="18" t="n">
        <v>273</v>
      </c>
      <c r="G36" s="18" t="n">
        <v>0</v>
      </c>
      <c r="H36" s="18" t="n">
        <v>12</v>
      </c>
      <c r="I36" s="18" t="n">
        <v>0</v>
      </c>
      <c r="J36" s="18" t="n">
        <v>22</v>
      </c>
      <c r="K36" s="18" t="n">
        <v>315</v>
      </c>
      <c r="L36" s="18" t="n">
        <v>184</v>
      </c>
    </row>
    <row r="37" customFormat="false" ht="15.75" hidden="false" customHeight="false" outlineLevel="0" collapsed="false">
      <c r="B37" s="18" t="s">
        <v>152</v>
      </c>
      <c r="C37" s="14" t="str">
        <f aca="false">IF(B37="","",IFERROR(INDEX('CLM &amp; IM Mapping'!$B$2:$B$270,MATCH(TRIM(B37),'CLM &amp; IM Mapping'!$A$2:$A$270,0)),"Not Mapped"))</f>
        <v>John Britto</v>
      </c>
      <c r="D37" s="14" t="str">
        <f aca="false">IF(B37="","",IFERROR(INDEX('CLM &amp; IM Mapping'!$C$2:$C$270,MATCH(TRIM(B37),'CLM &amp; IM Mapping'!$A$2:$A$270,0)),"Not Mapped"))</f>
        <v>Aravind S</v>
      </c>
      <c r="E37" s="18" t="n">
        <v>3</v>
      </c>
      <c r="F37" s="18" t="n">
        <v>150</v>
      </c>
      <c r="G37" s="18" t="n">
        <v>5</v>
      </c>
      <c r="H37" s="18" t="n">
        <v>12</v>
      </c>
      <c r="I37" s="18" t="n">
        <v>12</v>
      </c>
      <c r="J37" s="18" t="n">
        <v>126</v>
      </c>
      <c r="K37" s="18" t="n">
        <v>308</v>
      </c>
      <c r="L37" s="18" t="n">
        <v>156</v>
      </c>
    </row>
    <row r="38" customFormat="false" ht="15.75" hidden="false" customHeight="false" outlineLevel="0" collapsed="false">
      <c r="B38" s="18" t="s">
        <v>187</v>
      </c>
      <c r="C38" s="14" t="str">
        <f aca="false">IF(B38="","",IFERROR(INDEX('CLM &amp; IM Mapping'!$B$2:$B$270,MATCH(TRIM(B38),'CLM &amp; IM Mapping'!$A$2:$A$270,0)),"Not Mapped"))</f>
        <v>Akshay P</v>
      </c>
      <c r="D38" s="14" t="str">
        <f aca="false">IF(B38="","",IFERROR(INDEX('CLM &amp; IM Mapping'!$C$2:$C$270,MATCH(TRIM(B38),'CLM &amp; IM Mapping'!$A$2:$A$270,0)),"Not Mapped"))</f>
        <v>Srittam Dhal</v>
      </c>
      <c r="E38" s="18" t="n">
        <v>43</v>
      </c>
      <c r="F38" s="18" t="n">
        <v>30</v>
      </c>
      <c r="G38" s="18" t="n">
        <v>0</v>
      </c>
      <c r="H38" s="18" t="n">
        <v>57</v>
      </c>
      <c r="I38" s="18" t="n">
        <v>121</v>
      </c>
      <c r="J38" s="18" t="n">
        <v>56</v>
      </c>
      <c r="K38" s="18" t="n">
        <v>307</v>
      </c>
      <c r="L38" s="18" t="n">
        <v>253</v>
      </c>
    </row>
    <row r="39" customFormat="false" ht="15.75" hidden="false" customHeight="false" outlineLevel="0" collapsed="false">
      <c r="B39" s="18" t="s">
        <v>102</v>
      </c>
      <c r="C39" s="14" t="str">
        <f aca="false">IF(B39="","",IFERROR(INDEX('CLM &amp; IM Mapping'!$B$2:$B$270,MATCH(TRIM(B39),'CLM &amp; IM Mapping'!$A$2:$A$270,0)),"Not Mapped"))</f>
        <v>Saddam Hussain</v>
      </c>
      <c r="D39" s="14" t="str">
        <f aca="false">IF(B39="","",IFERROR(INDEX('CLM &amp; IM Mapping'!$C$2:$C$270,MATCH(TRIM(B39),'CLM &amp; IM Mapping'!$A$2:$A$270,0)),"Not Mapped"))</f>
        <v>Un Mapped</v>
      </c>
      <c r="E39" s="18" t="n">
        <v>59</v>
      </c>
      <c r="F39" s="18" t="n">
        <v>85</v>
      </c>
      <c r="G39" s="18" t="n">
        <v>4</v>
      </c>
      <c r="H39" s="18" t="n">
        <v>0</v>
      </c>
      <c r="I39" s="18" t="n">
        <v>14</v>
      </c>
      <c r="J39" s="18" t="n">
        <v>142</v>
      </c>
      <c r="K39" s="18" t="n">
        <v>304</v>
      </c>
      <c r="L39" s="18" t="n">
        <v>244</v>
      </c>
    </row>
    <row r="40" customFormat="false" ht="15.75" hidden="false" customHeight="false" outlineLevel="0" collapsed="false">
      <c r="B40" s="18" t="s">
        <v>280</v>
      </c>
      <c r="C40" s="14" t="str">
        <f aca="false">IF(B40="","",IFERROR(INDEX('CLM &amp; IM Mapping'!$B$2:$B$270,MATCH(TRIM(B40),'CLM &amp; IM Mapping'!$A$2:$A$270,0)),"Not Mapped"))</f>
        <v>Adhavan Subramani</v>
      </c>
      <c r="D40" s="14" t="str">
        <f aca="false">IF(B40="","",IFERROR(INDEX('CLM &amp; IM Mapping'!$C$2:$C$270,MATCH(TRIM(B40),'CLM &amp; IM Mapping'!$A$2:$A$270,0)),"Not Mapped"))</f>
        <v>Mohammed Akbar</v>
      </c>
      <c r="E40" s="18" t="n">
        <v>0</v>
      </c>
      <c r="F40" s="18" t="n">
        <v>90</v>
      </c>
      <c r="G40" s="18" t="n">
        <v>19</v>
      </c>
      <c r="H40" s="18" t="n">
        <v>126</v>
      </c>
      <c r="I40" s="18" t="n">
        <v>1</v>
      </c>
      <c r="J40" s="18" t="n">
        <v>66</v>
      </c>
      <c r="K40" s="18" t="n">
        <v>302</v>
      </c>
      <c r="L40" s="18" t="n">
        <v>298</v>
      </c>
    </row>
    <row r="41" customFormat="false" ht="15.75" hidden="false" customHeight="false" outlineLevel="0" collapsed="false">
      <c r="B41" s="18" t="s">
        <v>284</v>
      </c>
      <c r="C41" s="14" t="str">
        <f aca="false">IF(B41="","",IFERROR(INDEX('CLM &amp; IM Mapping'!$B$2:$B$270,MATCH(TRIM(B41),'CLM &amp; IM Mapping'!$A$2:$A$270,0)),"Not Mapped"))</f>
        <v>Vishnu V</v>
      </c>
      <c r="D41" s="14" t="str">
        <f aca="false">IF(B41="","",IFERROR(INDEX('CLM &amp; IM Mapping'!$C$2:$C$270,MATCH(TRIM(B41),'CLM &amp; IM Mapping'!$A$2:$A$270,0)),"Not Mapped"))</f>
        <v>Arivind S</v>
      </c>
      <c r="E41" s="18" t="n">
        <v>1</v>
      </c>
      <c r="F41" s="18" t="n">
        <v>0</v>
      </c>
      <c r="G41" s="18"/>
      <c r="H41" s="18" t="n">
        <v>0</v>
      </c>
      <c r="I41" s="18" t="n">
        <v>4</v>
      </c>
      <c r="J41" s="18" t="n">
        <v>296</v>
      </c>
      <c r="K41" s="18" t="n">
        <v>301</v>
      </c>
      <c r="L41" s="18" t="n">
        <v>300</v>
      </c>
    </row>
    <row r="42" customFormat="false" ht="15.75" hidden="false" customHeight="false" outlineLevel="0" collapsed="false">
      <c r="B42" s="18" t="s">
        <v>261</v>
      </c>
      <c r="C42" s="14" t="str">
        <f aca="false">IF(B42="","",IFERROR(INDEX('CLM &amp; IM Mapping'!$B$2:$B$270,MATCH(TRIM(B42),'CLM &amp; IM Mapping'!$A$2:$A$270,0)),"Not Mapped"))</f>
        <v>Balaji G</v>
      </c>
      <c r="D42" s="14" t="str">
        <f aca="false">IF(B42="","",IFERROR(INDEX('CLM &amp; IM Mapping'!$C$2:$C$270,MATCH(TRIM(B42),'CLM &amp; IM Mapping'!$A$2:$A$270,0)),"Not Mapped"))</f>
        <v>Mohammed Akbar</v>
      </c>
      <c r="E42" s="18" t="n">
        <v>82</v>
      </c>
      <c r="F42" s="18" t="n">
        <v>111</v>
      </c>
      <c r="G42" s="18" t="n">
        <v>4</v>
      </c>
      <c r="H42" s="18" t="n">
        <v>84</v>
      </c>
      <c r="I42" s="18" t="n">
        <v>17</v>
      </c>
      <c r="J42" s="18"/>
      <c r="K42" s="18" t="n">
        <v>298</v>
      </c>
      <c r="L42" s="18" t="n">
        <v>200</v>
      </c>
    </row>
    <row r="43" customFormat="false" ht="15.75" hidden="false" customHeight="false" outlineLevel="0" collapsed="false">
      <c r="B43" s="18" t="s">
        <v>57</v>
      </c>
      <c r="C43" s="14" t="str">
        <f aca="false">IF(B43="","",IFERROR(INDEX('CLM &amp; IM Mapping'!$B$2:$B$270,MATCH(TRIM(B43),'CLM &amp; IM Mapping'!$A$2:$A$270,0)),"Not Mapped"))</f>
        <v>Suhas N</v>
      </c>
      <c r="D43" s="14" t="str">
        <f aca="false">IF(B43="","",IFERROR(INDEX('CLM &amp; IM Mapping'!$C$2:$C$270,MATCH(TRIM(B43),'CLM &amp; IM Mapping'!$A$2:$A$270,0)),"Not Mapped"))</f>
        <v>Aravind S</v>
      </c>
      <c r="E43" s="18" t="n">
        <v>0</v>
      </c>
      <c r="F43" s="18" t="n">
        <v>76</v>
      </c>
      <c r="G43" s="18" t="n">
        <v>0</v>
      </c>
      <c r="H43" s="18" t="n">
        <v>115</v>
      </c>
      <c r="I43" s="18" t="n">
        <v>97</v>
      </c>
      <c r="J43" s="18" t="n">
        <v>3</v>
      </c>
      <c r="K43" s="18" t="n">
        <v>291</v>
      </c>
      <c r="L43" s="18" t="n">
        <v>291</v>
      </c>
    </row>
    <row r="44" customFormat="false" ht="15.75" hidden="false" customHeight="false" outlineLevel="0" collapsed="false">
      <c r="B44" s="18" t="s">
        <v>19</v>
      </c>
      <c r="C44" s="14" t="str">
        <f aca="false">IF(B44="","",IFERROR(INDEX('CLM &amp; IM Mapping'!$B$2:$B$270,MATCH(TRIM(B44),'CLM &amp; IM Mapping'!$A$2:$A$270,0)),"Not Mapped"))</f>
        <v>Ashwath S</v>
      </c>
      <c r="D44" s="14" t="str">
        <f aca="false">IF(B44="","",IFERROR(INDEX('CLM &amp; IM Mapping'!$C$2:$C$270,MATCH(TRIM(B44),'CLM &amp; IM Mapping'!$A$2:$A$270,0)),"Not Mapped"))</f>
        <v>Kantha Kumar</v>
      </c>
      <c r="E44" s="18" t="n">
        <v>0</v>
      </c>
      <c r="F44" s="18" t="n">
        <v>42</v>
      </c>
      <c r="G44" s="18" t="n">
        <v>0</v>
      </c>
      <c r="H44" s="18" t="n">
        <v>81</v>
      </c>
      <c r="I44" s="18" t="n">
        <v>129</v>
      </c>
      <c r="J44" s="18" t="n">
        <v>30</v>
      </c>
      <c r="K44" s="18" t="n">
        <v>282</v>
      </c>
      <c r="L44" s="18" t="n">
        <v>280</v>
      </c>
    </row>
    <row r="45" customFormat="false" ht="15.75" hidden="false" customHeight="false" outlineLevel="0" collapsed="false">
      <c r="B45" s="18" t="s">
        <v>225</v>
      </c>
      <c r="C45" s="14" t="str">
        <f aca="false">IF(B45="","",IFERROR(INDEX('CLM &amp; IM Mapping'!$B$2:$B$270,MATCH(TRIM(B45),'CLM &amp; IM Mapping'!$A$2:$A$270,0)),"Not Mapped"))</f>
        <v>Raghavendra Vernekar</v>
      </c>
      <c r="D45" s="14" t="str">
        <f aca="false">IF(B45="","",IFERROR(INDEX('CLM &amp; IM Mapping'!$C$2:$C$270,MATCH(TRIM(B45),'CLM &amp; IM Mapping'!$A$2:$A$270,0)),"Not Mapped"))</f>
        <v>Prakash BS</v>
      </c>
      <c r="E45" s="18" t="n">
        <v>2</v>
      </c>
      <c r="F45" s="18" t="n">
        <v>61</v>
      </c>
      <c r="G45" s="18"/>
      <c r="H45" s="18" t="n">
        <v>105</v>
      </c>
      <c r="I45" s="18" t="n">
        <v>88</v>
      </c>
      <c r="J45" s="18" t="n">
        <v>26</v>
      </c>
      <c r="K45" s="18" t="n">
        <v>282</v>
      </c>
      <c r="L45" s="18" t="n">
        <v>235</v>
      </c>
    </row>
    <row r="46" customFormat="false" ht="15.75" hidden="false" customHeight="false" outlineLevel="0" collapsed="false">
      <c r="B46" s="18" t="s">
        <v>99</v>
      </c>
      <c r="C46" s="14" t="str">
        <f aca="false">IF(B46="","",IFERROR(INDEX('CLM &amp; IM Mapping'!$B$2:$B$270,MATCH(TRIM(B46),'CLM &amp; IM Mapping'!$A$2:$A$270,0)),"Not Mapped"))</f>
        <v>Rizwan Ahmed</v>
      </c>
      <c r="D46" s="14" t="str">
        <f aca="false">IF(B46="","",IFERROR(INDEX('CLM &amp; IM Mapping'!$C$2:$C$270,MATCH(TRIM(B46),'CLM &amp; IM Mapping'!$A$2:$A$270,0)),"Not Mapped"))</f>
        <v>Un Mapped</v>
      </c>
      <c r="E46" s="18" t="n">
        <v>0</v>
      </c>
      <c r="F46" s="18" t="n">
        <v>29</v>
      </c>
      <c r="G46" s="18" t="n">
        <v>0</v>
      </c>
      <c r="H46" s="18" t="n">
        <v>123</v>
      </c>
      <c r="I46" s="18" t="n">
        <v>123</v>
      </c>
      <c r="J46" s="18" t="n">
        <v>5</v>
      </c>
      <c r="K46" s="18" t="n">
        <v>280</v>
      </c>
      <c r="L46" s="18" t="n">
        <v>280</v>
      </c>
    </row>
    <row r="47" customFormat="false" ht="15.75" hidden="false" customHeight="false" outlineLevel="0" collapsed="false">
      <c r="B47" s="18" t="s">
        <v>249</v>
      </c>
      <c r="C47" s="14" t="str">
        <f aca="false">IF(B47="","",IFERROR(INDEX('CLM &amp; IM Mapping'!$B$2:$B$270,MATCH(TRIM(B47),'CLM &amp; IM Mapping'!$A$2:$A$270,0)),"Not Mapped"))</f>
        <v>Manoj Kj</v>
      </c>
      <c r="D47" s="14" t="str">
        <f aca="false">IF(B47="","",IFERROR(INDEX('CLM &amp; IM Mapping'!$C$2:$C$270,MATCH(TRIM(B47),'CLM &amp; IM Mapping'!$A$2:$A$270,0)),"Not Mapped"))</f>
        <v>Srittam Dhal</v>
      </c>
      <c r="E47" s="18" t="n">
        <v>10</v>
      </c>
      <c r="F47" s="18" t="n">
        <v>69</v>
      </c>
      <c r="G47" s="18" t="n">
        <v>12</v>
      </c>
      <c r="H47" s="18" t="n">
        <v>41</v>
      </c>
      <c r="I47" s="18" t="n">
        <v>2</v>
      </c>
      <c r="J47" s="18" t="n">
        <v>145</v>
      </c>
      <c r="K47" s="18" t="n">
        <v>279</v>
      </c>
      <c r="L47" s="18" t="n">
        <v>266</v>
      </c>
    </row>
    <row r="48" customFormat="false" ht="15.75" hidden="false" customHeight="false" outlineLevel="0" collapsed="false">
      <c r="B48" s="18" t="s">
        <v>266</v>
      </c>
      <c r="C48" s="14" t="str">
        <f aca="false">IF(B48="","",IFERROR(INDEX('CLM &amp; IM Mapping'!$B$2:$B$270,MATCH(TRIM(B48),'CLM &amp; IM Mapping'!$A$2:$A$270,0)),"Not Mapped"))</f>
        <v>Vishnu V</v>
      </c>
      <c r="D48" s="14" t="str">
        <f aca="false">IF(B48="","",IFERROR(INDEX('CLM &amp; IM Mapping'!$C$2:$C$270,MATCH(TRIM(B48),'CLM &amp; IM Mapping'!$A$2:$A$270,0)),"Not Mapped"))</f>
        <v>Arivind S</v>
      </c>
      <c r="E48" s="18" t="n">
        <v>21</v>
      </c>
      <c r="F48" s="18" t="n">
        <v>164</v>
      </c>
      <c r="G48" s="18" t="n">
        <v>60</v>
      </c>
      <c r="H48" s="18" t="n">
        <v>15</v>
      </c>
      <c r="I48" s="18" t="n">
        <v>10</v>
      </c>
      <c r="J48" s="18" t="n">
        <v>5</v>
      </c>
      <c r="K48" s="18" t="n">
        <v>275</v>
      </c>
      <c r="L48" s="18" t="n">
        <v>212</v>
      </c>
    </row>
    <row r="49" customFormat="false" ht="15.75" hidden="false" customHeight="false" outlineLevel="0" collapsed="false">
      <c r="B49" s="18" t="s">
        <v>84</v>
      </c>
      <c r="C49" s="14" t="str">
        <f aca="false">IF(B49="","",IFERROR(INDEX('CLM &amp; IM Mapping'!$B$2:$B$270,MATCH(TRIM(B49),'CLM &amp; IM Mapping'!$A$2:$A$270,0)),"Not Mapped"))</f>
        <v>Mohaideen DH</v>
      </c>
      <c r="D49" s="14" t="str">
        <f aca="false">IF(B49="","",IFERROR(INDEX('CLM &amp; IM Mapping'!$C$2:$C$270,MATCH(TRIM(B49),'CLM &amp; IM Mapping'!$A$2:$A$270,0)),"Not Mapped"))</f>
        <v>Mohammed Akbar</v>
      </c>
      <c r="E49" s="18" t="n">
        <v>6</v>
      </c>
      <c r="F49" s="18" t="n">
        <v>76</v>
      </c>
      <c r="G49" s="18" t="n">
        <v>63</v>
      </c>
      <c r="H49" s="18" t="n">
        <v>48</v>
      </c>
      <c r="I49" s="18" t="n">
        <v>45</v>
      </c>
      <c r="J49" s="18" t="n">
        <v>37</v>
      </c>
      <c r="K49" s="18" t="n">
        <v>275</v>
      </c>
      <c r="L49" s="18" t="n">
        <v>275</v>
      </c>
    </row>
    <row r="50" customFormat="false" ht="15.75" hidden="false" customHeight="false" outlineLevel="0" collapsed="false">
      <c r="B50" s="18" t="s">
        <v>273</v>
      </c>
      <c r="C50" s="14" t="str">
        <f aca="false">IF(B50="","",IFERROR(INDEX('CLM &amp; IM Mapping'!$B$2:$B$270,MATCH(TRIM(B50),'CLM &amp; IM Mapping'!$A$2:$A$270,0)),"Not Mapped"))</f>
        <v>Vijay M</v>
      </c>
      <c r="D50" s="14" t="str">
        <f aca="false">IF(B50="","",IFERROR(INDEX('CLM &amp; IM Mapping'!$C$2:$C$270,MATCH(TRIM(B50),'CLM &amp; IM Mapping'!$A$2:$A$270,0)),"Not Mapped"))</f>
        <v>Kantha Kumar</v>
      </c>
      <c r="E50" s="18" t="n">
        <v>33</v>
      </c>
      <c r="F50" s="18" t="n">
        <v>139</v>
      </c>
      <c r="G50" s="18" t="n">
        <v>7</v>
      </c>
      <c r="H50" s="18" t="n">
        <v>0</v>
      </c>
      <c r="I50" s="18" t="n">
        <v>6</v>
      </c>
      <c r="J50" s="18" t="n">
        <v>87</v>
      </c>
      <c r="K50" s="18" t="n">
        <v>272</v>
      </c>
      <c r="L50" s="18" t="n">
        <v>271</v>
      </c>
    </row>
    <row r="51" customFormat="false" ht="15.75" hidden="false" customHeight="false" outlineLevel="0" collapsed="false">
      <c r="B51" s="18" t="s">
        <v>200</v>
      </c>
      <c r="C51" s="14" t="str">
        <f aca="false">IF(B51="","",IFERROR(INDEX('CLM &amp; IM Mapping'!$B$2:$B$270,MATCH(TRIM(B51),'CLM &amp; IM Mapping'!$A$2:$A$270,0)),"Not Mapped"))</f>
        <v>Sundaresh S</v>
      </c>
      <c r="D51" s="14" t="str">
        <f aca="false">IF(B51="","",IFERROR(INDEX('CLM &amp; IM Mapping'!$C$2:$C$270,MATCH(TRIM(B51),'CLM &amp; IM Mapping'!$A$2:$A$270,0)),"Not Mapped"))</f>
        <v>Un Mapped</v>
      </c>
      <c r="E51" s="18" t="n">
        <v>9</v>
      </c>
      <c r="F51" s="18" t="n">
        <v>28</v>
      </c>
      <c r="G51" s="18" t="n">
        <v>38</v>
      </c>
      <c r="H51" s="18" t="n">
        <v>23</v>
      </c>
      <c r="I51" s="18" t="n">
        <v>131</v>
      </c>
      <c r="J51" s="18" t="n">
        <v>24</v>
      </c>
      <c r="K51" s="18" t="n">
        <v>253</v>
      </c>
      <c r="L51" s="18" t="n">
        <v>252</v>
      </c>
    </row>
    <row r="52" customFormat="false" ht="15.75" hidden="false" customHeight="false" outlineLevel="0" collapsed="false">
      <c r="B52" s="18" t="s">
        <v>239</v>
      </c>
      <c r="C52" s="14" t="str">
        <f aca="false">IF(B52="","",IFERROR(INDEX('CLM &amp; IM Mapping'!$B$2:$B$270,MATCH(TRIM(B52),'CLM &amp; IM Mapping'!$A$2:$A$270,0)),"Not Mapped"))</f>
        <v>Silambarasan E</v>
      </c>
      <c r="D52" s="14" t="str">
        <f aca="false">IF(B52="","",IFERROR(INDEX('CLM &amp; IM Mapping'!$C$2:$C$270,MATCH(TRIM(B52),'CLM &amp; IM Mapping'!$A$2:$A$270,0)),"Not Mapped"))</f>
        <v>Arivind S</v>
      </c>
      <c r="E52" s="18" t="n">
        <v>14</v>
      </c>
      <c r="F52" s="18" t="n">
        <v>166</v>
      </c>
      <c r="G52" s="18" t="n">
        <v>26</v>
      </c>
      <c r="H52" s="18" t="n">
        <v>20</v>
      </c>
      <c r="I52" s="18" t="n">
        <v>7</v>
      </c>
      <c r="J52" s="18" t="n">
        <v>8</v>
      </c>
      <c r="K52" s="18" t="n">
        <v>241</v>
      </c>
      <c r="L52" s="18" t="n">
        <v>241</v>
      </c>
    </row>
    <row r="53" customFormat="false" ht="15.75" hidden="false" customHeight="false" outlineLevel="0" collapsed="false">
      <c r="B53" s="18" t="s">
        <v>28</v>
      </c>
      <c r="C53" s="14" t="str">
        <f aca="false">IF(B53="","",IFERROR(INDEX('CLM &amp; IM Mapping'!$B$2:$B$270,MATCH(TRIM(B53),'CLM &amp; IM Mapping'!$A$2:$A$270,0)),"Not Mapped"))</f>
        <v>Ravishankar gowda</v>
      </c>
      <c r="D53" s="14" t="str">
        <f aca="false">IF(B53="","",IFERROR(INDEX('CLM &amp; IM Mapping'!$C$2:$C$270,MATCH(TRIM(B53),'CLM &amp; IM Mapping'!$A$2:$A$270,0)),"Not Mapped"))</f>
        <v>Kishor K</v>
      </c>
      <c r="E53" s="18" t="n">
        <v>6</v>
      </c>
      <c r="F53" s="18" t="n">
        <v>62</v>
      </c>
      <c r="G53" s="18" t="n">
        <v>0</v>
      </c>
      <c r="H53" s="18" t="n">
        <v>81</v>
      </c>
      <c r="I53" s="18" t="n">
        <v>45</v>
      </c>
      <c r="J53" s="18" t="n">
        <v>46</v>
      </c>
      <c r="K53" s="18" t="n">
        <v>240</v>
      </c>
      <c r="L53" s="18" t="n">
        <v>240</v>
      </c>
    </row>
    <row r="54" customFormat="false" ht="15.75" hidden="false" customHeight="false" outlineLevel="0" collapsed="false">
      <c r="B54" s="18" t="s">
        <v>149</v>
      </c>
      <c r="C54" s="14" t="str">
        <f aca="false">IF(B54="","",IFERROR(INDEX('CLM &amp; IM Mapping'!$B$2:$B$270,MATCH(TRIM(B54),'CLM &amp; IM Mapping'!$A$2:$A$270,0)),"Not Mapped"))</f>
        <v>Manjunatha V</v>
      </c>
      <c r="D54" s="14" t="str">
        <f aca="false">IF(B54="","",IFERROR(INDEX('CLM &amp; IM Mapping'!$C$2:$C$270,MATCH(TRIM(B54),'CLM &amp; IM Mapping'!$A$2:$A$270,0)),"Not Mapped"))</f>
        <v>Un Mapped</v>
      </c>
      <c r="E54" s="18" t="n">
        <v>31</v>
      </c>
      <c r="F54" s="18" t="n">
        <v>79</v>
      </c>
      <c r="G54" s="18" t="n">
        <v>2</v>
      </c>
      <c r="H54" s="18" t="n">
        <v>13</v>
      </c>
      <c r="I54" s="18" t="n">
        <v>41</v>
      </c>
      <c r="J54" s="18" t="n">
        <v>74</v>
      </c>
      <c r="K54" s="18" t="n">
        <v>240</v>
      </c>
      <c r="L54" s="18" t="n">
        <v>142</v>
      </c>
    </row>
    <row r="55" customFormat="false" ht="15.75" hidden="false" customHeight="false" outlineLevel="0" collapsed="false">
      <c r="B55" s="18" t="s">
        <v>258</v>
      </c>
      <c r="C55" s="14" t="str">
        <f aca="false">IF(B55="","",IFERROR(INDEX('CLM &amp; IM Mapping'!$B$2:$B$270,MATCH(TRIM(B55),'CLM &amp; IM Mapping'!$A$2:$A$270,0)),"Not Mapped"))</f>
        <v>Sundaresh S</v>
      </c>
      <c r="D55" s="14" t="str">
        <f aca="false">IF(B55="","",IFERROR(INDEX('CLM &amp; IM Mapping'!$C$2:$C$270,MATCH(TRIM(B55),'CLM &amp; IM Mapping'!$A$2:$A$270,0)),"Not Mapped"))</f>
        <v>Un Mapped</v>
      </c>
      <c r="E55" s="18" t="n">
        <v>13</v>
      </c>
      <c r="F55" s="18" t="n">
        <v>93</v>
      </c>
      <c r="G55" s="18" t="n">
        <v>39</v>
      </c>
      <c r="H55" s="18" t="n">
        <v>0</v>
      </c>
      <c r="I55" s="18" t="n">
        <v>0</v>
      </c>
      <c r="J55" s="18" t="n">
        <v>94</v>
      </c>
      <c r="K55" s="18" t="n">
        <v>239</v>
      </c>
      <c r="L55" s="18" t="n">
        <v>239</v>
      </c>
    </row>
    <row r="56" customFormat="false" ht="15.75" hidden="false" customHeight="false" outlineLevel="0" collapsed="false">
      <c r="B56" s="18" t="s">
        <v>205</v>
      </c>
      <c r="C56" s="14" t="str">
        <f aca="false">IF(B56="","",IFERROR(INDEX('CLM &amp; IM Mapping'!$B$2:$B$270,MATCH(TRIM(B56),'CLM &amp; IM Mapping'!$A$2:$A$270,0)),"Not Mapped"))</f>
        <v>Saddam Hussain</v>
      </c>
      <c r="D56" s="14" t="str">
        <f aca="false">IF(B56="","",IFERROR(INDEX('CLM &amp; IM Mapping'!$C$2:$C$270,MATCH(TRIM(B56),'CLM &amp; IM Mapping'!$A$2:$A$270,0)),"Not Mapped"))</f>
        <v>Un Mapped</v>
      </c>
      <c r="E56" s="18" t="n">
        <v>10</v>
      </c>
      <c r="F56" s="18" t="n">
        <v>137</v>
      </c>
      <c r="G56" s="18" t="n">
        <v>6</v>
      </c>
      <c r="H56" s="18" t="n">
        <v>25</v>
      </c>
      <c r="I56" s="18" t="n">
        <v>23</v>
      </c>
      <c r="J56" s="18" t="n">
        <v>35</v>
      </c>
      <c r="K56" s="18" t="n">
        <v>236</v>
      </c>
      <c r="L56" s="18" t="n">
        <v>97</v>
      </c>
    </row>
    <row r="57" customFormat="false" ht="15.75" hidden="false" customHeight="false" outlineLevel="0" collapsed="false">
      <c r="B57" s="18" t="s">
        <v>145</v>
      </c>
      <c r="C57" s="14" t="str">
        <f aca="false">IF(B57="","",IFERROR(INDEX('CLM &amp; IM Mapping'!$B$2:$B$270,MATCH(TRIM(B57),'CLM &amp; IM Mapping'!$A$2:$A$270,0)),"Not Mapped"))</f>
        <v>Saddam Hussain</v>
      </c>
      <c r="D57" s="14" t="str">
        <f aca="false">IF(B57="","",IFERROR(INDEX('CLM &amp; IM Mapping'!$C$2:$C$270,MATCH(TRIM(B57),'CLM &amp; IM Mapping'!$A$2:$A$270,0)),"Not Mapped"))</f>
        <v>Un Mapped</v>
      </c>
      <c r="E57" s="18" t="n">
        <v>48</v>
      </c>
      <c r="F57" s="18" t="n">
        <v>75</v>
      </c>
      <c r="G57" s="18" t="n">
        <v>78</v>
      </c>
      <c r="H57" s="18" t="n">
        <v>0</v>
      </c>
      <c r="I57" s="18" t="n">
        <v>9</v>
      </c>
      <c r="J57" s="18" t="n">
        <v>19</v>
      </c>
      <c r="K57" s="18" t="n">
        <v>229</v>
      </c>
      <c r="L57" s="18" t="n">
        <v>157</v>
      </c>
    </row>
    <row r="58" customFormat="false" ht="15.75" hidden="false" customHeight="false" outlineLevel="0" collapsed="false">
      <c r="B58" s="18" t="s">
        <v>116</v>
      </c>
      <c r="C58" s="14" t="str">
        <f aca="false">IF(B58="","",IFERROR(INDEX('CLM &amp; IM Mapping'!$B$2:$B$270,MATCH(TRIM(B58),'CLM &amp; IM Mapping'!$A$2:$A$270,0)),"Not Mapped"))</f>
        <v>Raghavendra Vernekar</v>
      </c>
      <c r="D58" s="14" t="str">
        <f aca="false">IF(B58="","",IFERROR(INDEX('CLM &amp; IM Mapping'!$C$2:$C$270,MATCH(TRIM(B58),'CLM &amp; IM Mapping'!$A$2:$A$270,0)),"Not Mapped"))</f>
        <v>Prakash BS</v>
      </c>
      <c r="E58" s="18" t="n">
        <v>53</v>
      </c>
      <c r="F58" s="18" t="n">
        <v>42</v>
      </c>
      <c r="G58" s="18" t="n">
        <v>50</v>
      </c>
      <c r="H58" s="18" t="n">
        <v>12</v>
      </c>
      <c r="I58" s="18" t="n">
        <v>5</v>
      </c>
      <c r="J58" s="18" t="n">
        <v>67</v>
      </c>
      <c r="K58" s="18" t="n">
        <v>229</v>
      </c>
      <c r="L58" s="18" t="n">
        <v>213</v>
      </c>
    </row>
    <row r="59" customFormat="false" ht="15.75" hidden="false" customHeight="false" outlineLevel="0" collapsed="false">
      <c r="B59" s="18" t="s">
        <v>17</v>
      </c>
      <c r="C59" s="14" t="str">
        <f aca="false">IF(B59="","",IFERROR(INDEX('CLM &amp; IM Mapping'!$B$2:$B$270,MATCH(TRIM(B59),'CLM &amp; IM Mapping'!$A$2:$A$270,0)),"Not Mapped"))</f>
        <v>Saddam Hussain</v>
      </c>
      <c r="D59" s="14" t="str">
        <f aca="false">IF(B59="","",IFERROR(INDEX('CLM &amp; IM Mapping'!$C$2:$C$270,MATCH(TRIM(B59),'CLM &amp; IM Mapping'!$A$2:$A$270,0)),"Not Mapped"))</f>
        <v>Un Mapped</v>
      </c>
      <c r="E59" s="18" t="n">
        <v>0</v>
      </c>
      <c r="F59" s="18" t="n">
        <v>58</v>
      </c>
      <c r="G59" s="18" t="n">
        <v>7</v>
      </c>
      <c r="H59" s="18" t="n">
        <v>69</v>
      </c>
      <c r="I59" s="18" t="n">
        <v>59</v>
      </c>
      <c r="J59" s="18" t="n">
        <v>31</v>
      </c>
      <c r="K59" s="18" t="n">
        <v>224</v>
      </c>
      <c r="L59" s="18" t="n">
        <v>187</v>
      </c>
    </row>
    <row r="60" customFormat="false" ht="15.75" hidden="false" customHeight="false" outlineLevel="0" collapsed="false">
      <c r="B60" s="18" t="s">
        <v>134</v>
      </c>
      <c r="C60" s="14" t="str">
        <f aca="false">IF(B60="","",IFERROR(INDEX('CLM &amp; IM Mapping'!$B$2:$B$270,MATCH(TRIM(B60),'CLM &amp; IM Mapping'!$A$2:$A$270,0)),"Not Mapped"))</f>
        <v>Keshav G</v>
      </c>
      <c r="D60" s="14" t="str">
        <f aca="false">IF(B60="","",IFERROR(INDEX('CLM &amp; IM Mapping'!$C$2:$C$270,MATCH(TRIM(B60),'CLM &amp; IM Mapping'!$A$2:$A$270,0)),"Not Mapped"))</f>
        <v>Un Mapped</v>
      </c>
      <c r="E60" s="18" t="n">
        <v>0</v>
      </c>
      <c r="F60" s="18" t="n">
        <v>17</v>
      </c>
      <c r="G60" s="18" t="n">
        <v>0</v>
      </c>
      <c r="H60" s="18" t="n">
        <v>17</v>
      </c>
      <c r="I60" s="18" t="n">
        <v>185</v>
      </c>
      <c r="J60" s="18" t="n">
        <v>0</v>
      </c>
      <c r="K60" s="18" t="n">
        <v>219</v>
      </c>
      <c r="L60" s="18" t="n">
        <v>136</v>
      </c>
    </row>
    <row r="61" customFormat="false" ht="15.75" hidden="false" customHeight="false" outlineLevel="0" collapsed="false">
      <c r="B61" s="18" t="s">
        <v>227</v>
      </c>
      <c r="C61" s="14" t="str">
        <f aca="false">IF(B61="","",IFERROR(INDEX('CLM &amp; IM Mapping'!$B$2:$B$270,MATCH(TRIM(B61),'CLM &amp; IM Mapping'!$A$2:$A$270,0)),"Not Mapped"))</f>
        <v>Mohaideen DH</v>
      </c>
      <c r="D61" s="14" t="str">
        <f aca="false">IF(B61="","",IFERROR(INDEX('CLM &amp; IM Mapping'!$C$2:$C$270,MATCH(TRIM(B61),'CLM &amp; IM Mapping'!$A$2:$A$270,0)),"Not Mapped"))</f>
        <v>Mohammed Akbar</v>
      </c>
      <c r="E61" s="18" t="n">
        <v>98</v>
      </c>
      <c r="F61" s="18" t="n">
        <v>48</v>
      </c>
      <c r="G61" s="18" t="n">
        <v>19</v>
      </c>
      <c r="H61" s="18" t="n">
        <v>3</v>
      </c>
      <c r="I61" s="18" t="n">
        <v>46</v>
      </c>
      <c r="J61" s="18" t="n">
        <v>4</v>
      </c>
      <c r="K61" s="18" t="n">
        <v>218</v>
      </c>
      <c r="L61" s="18" t="n">
        <v>215</v>
      </c>
    </row>
    <row r="62" customFormat="false" ht="15.75" hidden="false" customHeight="false" outlineLevel="0" collapsed="false">
      <c r="B62" s="18" t="s">
        <v>202</v>
      </c>
      <c r="C62" s="14" t="str">
        <f aca="false">IF(B62="","",IFERROR(INDEX('CLM &amp; IM Mapping'!$B$2:$B$270,MATCH(TRIM(B62),'CLM &amp; IM Mapping'!$A$2:$A$270,0)),"Not Mapped"))</f>
        <v>Ashwath S</v>
      </c>
      <c r="D62" s="14" t="str">
        <f aca="false">IF(B62="","",IFERROR(INDEX('CLM &amp; IM Mapping'!$C$2:$C$270,MATCH(TRIM(B62),'CLM &amp; IM Mapping'!$A$2:$A$270,0)),"Not Mapped"))</f>
        <v>Kantha Kumar</v>
      </c>
      <c r="E62" s="18" t="n">
        <v>41</v>
      </c>
      <c r="F62" s="18" t="n">
        <v>111</v>
      </c>
      <c r="G62" s="18" t="n">
        <v>58</v>
      </c>
      <c r="H62" s="18" t="n">
        <v>2</v>
      </c>
      <c r="I62" s="18" t="n">
        <v>6</v>
      </c>
      <c r="J62" s="18" t="n">
        <v>0</v>
      </c>
      <c r="K62" s="18" t="n">
        <v>218</v>
      </c>
      <c r="L62" s="18" t="n">
        <v>212</v>
      </c>
    </row>
    <row r="63" customFormat="false" ht="15.75" hidden="false" customHeight="false" outlineLevel="0" collapsed="false">
      <c r="B63" s="18" t="s">
        <v>24</v>
      </c>
      <c r="C63" s="14" t="str">
        <f aca="false">IF(B63="","",IFERROR(INDEX('CLM &amp; IM Mapping'!$B$2:$B$270,MATCH(TRIM(B63),'CLM &amp; IM Mapping'!$A$2:$A$270,0)),"Not Mapped"))</f>
        <v>Balaji G</v>
      </c>
      <c r="D63" s="14" t="str">
        <f aca="false">IF(B63="","",IFERROR(INDEX('CLM &amp; IM Mapping'!$C$2:$C$270,MATCH(TRIM(B63),'CLM &amp; IM Mapping'!$A$2:$A$270,0)),"Not Mapped"))</f>
        <v>Mohammed Akbar</v>
      </c>
      <c r="E63" s="18" t="n">
        <v>1</v>
      </c>
      <c r="F63" s="18" t="n">
        <v>97</v>
      </c>
      <c r="G63" s="18" t="n">
        <v>0</v>
      </c>
      <c r="H63" s="18" t="n">
        <v>18</v>
      </c>
      <c r="I63" s="18" t="n">
        <v>1</v>
      </c>
      <c r="J63" s="18" t="n">
        <v>91</v>
      </c>
      <c r="K63" s="18" t="n">
        <v>208</v>
      </c>
      <c r="L63" s="18" t="n">
        <v>208</v>
      </c>
    </row>
    <row r="64" customFormat="false" ht="15.75" hidden="false" customHeight="false" outlineLevel="0" collapsed="false">
      <c r="B64" s="18" t="s">
        <v>246</v>
      </c>
      <c r="C64" s="14" t="str">
        <f aca="false">IF(B64="","",IFERROR(INDEX('CLM &amp; IM Mapping'!$B$2:$B$270,MATCH(TRIM(B64),'CLM &amp; IM Mapping'!$A$2:$A$270,0)),"Not Mapped"))</f>
        <v>Adhavan Subramani</v>
      </c>
      <c r="D64" s="14" t="str">
        <f aca="false">IF(B64="","",IFERROR(INDEX('CLM &amp; IM Mapping'!$C$2:$C$270,MATCH(TRIM(B64),'CLM &amp; IM Mapping'!$A$2:$A$270,0)),"Not Mapped"))</f>
        <v>Mohammed Akbar</v>
      </c>
      <c r="E64" s="18" t="n">
        <v>11</v>
      </c>
      <c r="F64" s="18" t="n">
        <v>88</v>
      </c>
      <c r="G64" s="18" t="n">
        <v>34</v>
      </c>
      <c r="H64" s="18" t="n">
        <v>5</v>
      </c>
      <c r="I64" s="18" t="n">
        <v>14</v>
      </c>
      <c r="J64" s="18" t="n">
        <v>55</v>
      </c>
      <c r="K64" s="18" t="n">
        <v>207</v>
      </c>
      <c r="L64" s="18" t="n">
        <v>207</v>
      </c>
    </row>
    <row r="65" customFormat="false" ht="15.75" hidden="false" customHeight="false" outlineLevel="0" collapsed="false">
      <c r="B65" s="18" t="s">
        <v>179</v>
      </c>
      <c r="C65" s="14" t="str">
        <f aca="false">IF(B65="","",IFERROR(INDEX('CLM &amp; IM Mapping'!$B$2:$B$270,MATCH(TRIM(B65),'CLM &amp; IM Mapping'!$A$2:$A$270,0)),"Not Mapped"))</f>
        <v>John Britto</v>
      </c>
      <c r="D65" s="14" t="str">
        <f aca="false">IF(B65="","",IFERROR(INDEX('CLM &amp; IM Mapping'!$C$2:$C$270,MATCH(TRIM(B65),'CLM &amp; IM Mapping'!$A$2:$A$270,0)),"Not Mapped"))</f>
        <v>Aravind S</v>
      </c>
      <c r="E65" s="18" t="n">
        <v>3</v>
      </c>
      <c r="F65" s="18" t="n">
        <v>184</v>
      </c>
      <c r="G65" s="18" t="n">
        <v>10</v>
      </c>
      <c r="H65" s="18" t="n">
        <v>9</v>
      </c>
      <c r="I65" s="18" t="n">
        <v>0</v>
      </c>
      <c r="J65" s="18" t="n">
        <v>0</v>
      </c>
      <c r="K65" s="18" t="n">
        <v>206</v>
      </c>
      <c r="L65" s="18" t="n">
        <v>109</v>
      </c>
    </row>
    <row r="66" customFormat="false" ht="15.75" hidden="false" customHeight="false" outlineLevel="0" collapsed="false">
      <c r="B66" s="18" t="s">
        <v>197</v>
      </c>
      <c r="C66" s="14" t="str">
        <f aca="false">IF(B66="","",IFERROR(INDEX('CLM &amp; IM Mapping'!$B$2:$B$270,MATCH(TRIM(B66),'CLM &amp; IM Mapping'!$A$2:$A$270,0)),"Not Mapped"))</f>
        <v>Balaji G</v>
      </c>
      <c r="D66" s="14" t="str">
        <f aca="false">IF(B66="","",IFERROR(INDEX('CLM &amp; IM Mapping'!$C$2:$C$270,MATCH(TRIM(B66),'CLM &amp; IM Mapping'!$A$2:$A$270,0)),"Not Mapped"))</f>
        <v>Mohammed Akbar</v>
      </c>
      <c r="E66" s="18" t="n">
        <v>37</v>
      </c>
      <c r="F66" s="18" t="n">
        <v>24</v>
      </c>
      <c r="G66" s="18" t="n">
        <v>80</v>
      </c>
      <c r="H66" s="18" t="n">
        <v>0</v>
      </c>
      <c r="I66" s="18" t="n">
        <v>33</v>
      </c>
      <c r="J66" s="18" t="n">
        <v>30</v>
      </c>
      <c r="K66" s="18" t="n">
        <v>204</v>
      </c>
      <c r="L66" s="18" t="n">
        <v>203</v>
      </c>
    </row>
    <row r="67" customFormat="false" ht="15.75" hidden="false" customHeight="false" outlineLevel="0" collapsed="false">
      <c r="B67" s="18" t="s">
        <v>234</v>
      </c>
      <c r="C67" s="14" t="str">
        <f aca="false">IF(B67="","",IFERROR(INDEX('CLM &amp; IM Mapping'!$B$2:$B$270,MATCH(TRIM(B67),'CLM &amp; IM Mapping'!$A$2:$A$270,0)),"Not Mapped"))</f>
        <v>Silambarasan E</v>
      </c>
      <c r="D67" s="14" t="str">
        <f aca="false">IF(B67="","",IFERROR(INDEX('CLM &amp; IM Mapping'!$C$2:$C$270,MATCH(TRIM(B67),'CLM &amp; IM Mapping'!$A$2:$A$270,0)),"Not Mapped"))</f>
        <v>Arivind S</v>
      </c>
      <c r="E67" s="18" t="n">
        <v>0</v>
      </c>
      <c r="F67" s="18" t="n">
        <v>54</v>
      </c>
      <c r="G67" s="18" t="n">
        <v>0</v>
      </c>
      <c r="H67" s="18" t="n">
        <v>103</v>
      </c>
      <c r="I67" s="18" t="n">
        <v>11</v>
      </c>
      <c r="J67" s="18" t="n">
        <v>36</v>
      </c>
      <c r="K67" s="18" t="n">
        <v>204</v>
      </c>
      <c r="L67" s="18" t="n">
        <v>139</v>
      </c>
    </row>
    <row r="68" customFormat="false" ht="15.75" hidden="false" customHeight="false" outlineLevel="0" collapsed="false">
      <c r="B68" s="18" t="s">
        <v>74</v>
      </c>
      <c r="C68" s="14" t="str">
        <f aca="false">IF(B68="","",IFERROR(INDEX('CLM &amp; IM Mapping'!$B$2:$B$270,MATCH(TRIM(B68),'CLM &amp; IM Mapping'!$A$2:$A$270,0)),"Not Mapped"))</f>
        <v>Balaji G</v>
      </c>
      <c r="D68" s="14" t="str">
        <f aca="false">IF(B68="","",IFERROR(INDEX('CLM &amp; IM Mapping'!$C$2:$C$270,MATCH(TRIM(B68),'CLM &amp; IM Mapping'!$A$2:$A$270,0)),"Not Mapped"))</f>
        <v>Mohammed Akbar</v>
      </c>
      <c r="E68" s="18" t="n">
        <v>0</v>
      </c>
      <c r="F68" s="18" t="n">
        <v>0</v>
      </c>
      <c r="G68" s="18" t="n">
        <v>0</v>
      </c>
      <c r="H68" s="18" t="n">
        <v>145</v>
      </c>
      <c r="I68" s="18" t="n">
        <v>56</v>
      </c>
      <c r="J68" s="18" t="n">
        <v>0</v>
      </c>
      <c r="K68" s="18" t="n">
        <v>201</v>
      </c>
      <c r="L68" s="18" t="n">
        <v>201</v>
      </c>
    </row>
    <row r="69" customFormat="false" ht="15.75" hidden="false" customHeight="false" outlineLevel="0" collapsed="false">
      <c r="B69" s="18" t="s">
        <v>93</v>
      </c>
      <c r="C69" s="14" t="str">
        <f aca="false">IF(B69="","",IFERROR(INDEX('CLM &amp; IM Mapping'!$B$2:$B$270,MATCH(TRIM(B69),'CLM &amp; IM Mapping'!$A$2:$A$270,0)),"Not Mapped"))</f>
        <v>Bangareppa CS</v>
      </c>
      <c r="D69" s="14" t="str">
        <f aca="false">IF(B69="","",IFERROR(INDEX('CLM &amp; IM Mapping'!$C$2:$C$270,MATCH(TRIM(B69),'CLM &amp; IM Mapping'!$A$2:$A$270,0)),"Not Mapped"))</f>
        <v>Kishor K</v>
      </c>
      <c r="E69" s="18" t="n">
        <v>6</v>
      </c>
      <c r="F69" s="18" t="n">
        <v>195</v>
      </c>
      <c r="G69" s="18" t="n">
        <v>0</v>
      </c>
      <c r="H69" s="18" t="n">
        <v>0</v>
      </c>
      <c r="I69" s="18" t="n">
        <v>0</v>
      </c>
      <c r="J69" s="18" t="n">
        <v>0</v>
      </c>
      <c r="K69" s="18" t="n">
        <v>201</v>
      </c>
      <c r="L69" s="18" t="n">
        <v>15</v>
      </c>
    </row>
    <row r="70" customFormat="false" ht="15.75" hidden="false" customHeight="false" outlineLevel="0" collapsed="false">
      <c r="B70" s="18" t="s">
        <v>64</v>
      </c>
      <c r="C70" s="14" t="str">
        <f aca="false">IF(B70="","",IFERROR(INDEX('CLM &amp; IM Mapping'!$B$2:$B$270,MATCH(TRIM(B70),'CLM &amp; IM Mapping'!$A$2:$A$270,0)),"Not Mapped"))</f>
        <v>Akshay P</v>
      </c>
      <c r="D70" s="14" t="str">
        <f aca="false">IF(B70="","",IFERROR(INDEX('CLM &amp; IM Mapping'!$C$2:$C$270,MATCH(TRIM(B70),'CLM &amp; IM Mapping'!$A$2:$A$270,0)),"Not Mapped"))</f>
        <v>Srittam Dhal</v>
      </c>
      <c r="E70" s="18" t="n">
        <v>29</v>
      </c>
      <c r="F70" s="18" t="n">
        <v>70</v>
      </c>
      <c r="G70" s="18" t="n">
        <v>53</v>
      </c>
      <c r="H70" s="18" t="n">
        <v>0</v>
      </c>
      <c r="I70" s="18" t="n">
        <v>0</v>
      </c>
      <c r="J70" s="18" t="n">
        <v>46</v>
      </c>
      <c r="K70" s="18" t="n">
        <v>198</v>
      </c>
      <c r="L70" s="18" t="n">
        <v>196</v>
      </c>
    </row>
    <row r="71" customFormat="false" ht="15.75" hidden="false" customHeight="false" outlineLevel="0" collapsed="false">
      <c r="B71" s="18" t="s">
        <v>248</v>
      </c>
      <c r="C71" s="14" t="str">
        <f aca="false">IF(B71="","",IFERROR(INDEX('CLM &amp; IM Mapping'!$B$2:$B$270,MATCH(TRIM(B71),'CLM &amp; IM Mapping'!$A$2:$A$270,0)),"Not Mapped"))</f>
        <v>Sundaresh S</v>
      </c>
      <c r="D71" s="14" t="str">
        <f aca="false">IF(B71="","",IFERROR(INDEX('CLM &amp; IM Mapping'!$C$2:$C$270,MATCH(TRIM(B71),'CLM &amp; IM Mapping'!$A$2:$A$270,0)),"Not Mapped"))</f>
        <v>Un Mapped</v>
      </c>
      <c r="E71" s="18" t="n">
        <v>6</v>
      </c>
      <c r="F71" s="18" t="n">
        <v>54</v>
      </c>
      <c r="G71" s="18" t="n">
        <v>53</v>
      </c>
      <c r="H71" s="18" t="n">
        <v>65</v>
      </c>
      <c r="I71" s="18" t="n">
        <v>3</v>
      </c>
      <c r="J71" s="18" t="n">
        <v>16</v>
      </c>
      <c r="K71" s="18" t="n">
        <v>197</v>
      </c>
      <c r="L71" s="18" t="n">
        <v>197</v>
      </c>
    </row>
    <row r="72" customFormat="false" ht="15.75" hidden="false" customHeight="false" outlineLevel="0" collapsed="false">
      <c r="B72" s="18" t="s">
        <v>94</v>
      </c>
      <c r="C72" s="14" t="str">
        <f aca="false">IF(B72="","",IFERROR(INDEX('CLM &amp; IM Mapping'!$B$2:$B$270,MATCH(TRIM(B72),'CLM &amp; IM Mapping'!$A$2:$A$270,0)),"Not Mapped"))</f>
        <v>Raghavendra Vernekar</v>
      </c>
      <c r="D72" s="14" t="str">
        <f aca="false">IF(B72="","",IFERROR(INDEX('CLM &amp; IM Mapping'!$C$2:$C$270,MATCH(TRIM(B72),'CLM &amp; IM Mapping'!$A$2:$A$270,0)),"Not Mapped"))</f>
        <v>Prakash BS</v>
      </c>
      <c r="E72" s="18" t="n">
        <v>61</v>
      </c>
      <c r="F72" s="18" t="n">
        <v>5</v>
      </c>
      <c r="G72" s="18" t="n">
        <v>32</v>
      </c>
      <c r="H72" s="18" t="n">
        <v>8</v>
      </c>
      <c r="I72" s="18" t="n">
        <v>5</v>
      </c>
      <c r="J72" s="18" t="n">
        <v>80</v>
      </c>
      <c r="K72" s="18" t="n">
        <v>191</v>
      </c>
      <c r="L72" s="18" t="n">
        <v>190</v>
      </c>
    </row>
    <row r="73" customFormat="false" ht="15.75" hidden="false" customHeight="false" outlineLevel="0" collapsed="false">
      <c r="B73" s="18" t="s">
        <v>104</v>
      </c>
      <c r="C73" s="14" t="str">
        <f aca="false">IF(B73="","",IFERROR(INDEX('CLM &amp; IM Mapping'!$B$2:$B$270,MATCH(TRIM(B73),'CLM &amp; IM Mapping'!$A$2:$A$270,0)),"Not Mapped"))</f>
        <v>Vijay M</v>
      </c>
      <c r="D73" s="14" t="str">
        <f aca="false">IF(B73="","",IFERROR(INDEX('CLM &amp; IM Mapping'!$C$2:$C$270,MATCH(TRIM(B73),'CLM &amp; IM Mapping'!$A$2:$A$270,0)),"Not Mapped"))</f>
        <v>Kantha Kumar</v>
      </c>
      <c r="E73" s="18" t="n">
        <v>0</v>
      </c>
      <c r="F73" s="18" t="n">
        <v>28</v>
      </c>
      <c r="G73" s="18" t="n">
        <v>0</v>
      </c>
      <c r="H73" s="18" t="n">
        <v>88</v>
      </c>
      <c r="I73" s="18" t="n">
        <v>29</v>
      </c>
      <c r="J73" s="18" t="n">
        <v>44</v>
      </c>
      <c r="K73" s="18" t="n">
        <v>189</v>
      </c>
      <c r="L73" s="18" t="n">
        <v>186</v>
      </c>
    </row>
    <row r="74" customFormat="false" ht="15.75" hidden="false" customHeight="false" outlineLevel="0" collapsed="false">
      <c r="B74" s="18" t="s">
        <v>240</v>
      </c>
      <c r="C74" s="14" t="str">
        <f aca="false">IF(B74="","",IFERROR(INDEX('CLM &amp; IM Mapping'!$B$2:$B$270,MATCH(TRIM(B74),'CLM &amp; IM Mapping'!$A$2:$A$270,0)),"Not Mapped"))</f>
        <v>Richard Harris</v>
      </c>
      <c r="D74" s="14" t="str">
        <f aca="false">IF(B74="","",IFERROR(INDEX('CLM &amp; IM Mapping'!$C$2:$C$270,MATCH(TRIM(B74),'CLM &amp; IM Mapping'!$A$2:$A$270,0)),"Not Mapped"))</f>
        <v>Kantha Kumar</v>
      </c>
      <c r="E74" s="18" t="n">
        <v>0</v>
      </c>
      <c r="F74" s="18" t="n">
        <v>31</v>
      </c>
      <c r="G74" s="18" t="n">
        <v>0</v>
      </c>
      <c r="H74" s="18" t="n">
        <v>129</v>
      </c>
      <c r="I74" s="18" t="n">
        <v>28</v>
      </c>
      <c r="J74" s="18" t="n">
        <v>0</v>
      </c>
      <c r="K74" s="18" t="n">
        <v>188</v>
      </c>
      <c r="L74" s="18" t="n">
        <v>122</v>
      </c>
    </row>
    <row r="75" customFormat="false" ht="15.75" hidden="false" customHeight="false" outlineLevel="0" collapsed="false">
      <c r="B75" s="18" t="s">
        <v>204</v>
      </c>
      <c r="C75" s="14" t="str">
        <f aca="false">IF(B75="","",IFERROR(INDEX('CLM &amp; IM Mapping'!$B$2:$B$270,MATCH(TRIM(B75),'CLM &amp; IM Mapping'!$A$2:$A$270,0)),"Not Mapped"))</f>
        <v>Manoj Kj</v>
      </c>
      <c r="D75" s="14" t="str">
        <f aca="false">IF(B75="","",IFERROR(INDEX('CLM &amp; IM Mapping'!$C$2:$C$270,MATCH(TRIM(B75),'CLM &amp; IM Mapping'!$A$2:$A$270,0)),"Not Mapped"))</f>
        <v>Srittam Dhal</v>
      </c>
      <c r="E75" s="18" t="n">
        <v>2</v>
      </c>
      <c r="F75" s="18" t="n">
        <v>60</v>
      </c>
      <c r="G75" s="18" t="n">
        <v>0</v>
      </c>
      <c r="H75" s="18" t="n">
        <v>63</v>
      </c>
      <c r="I75" s="18" t="n">
        <v>27</v>
      </c>
      <c r="J75" s="18" t="n">
        <v>34</v>
      </c>
      <c r="K75" s="18" t="n">
        <v>186</v>
      </c>
      <c r="L75" s="18" t="n">
        <v>159</v>
      </c>
    </row>
    <row r="76" customFormat="false" ht="15.75" hidden="false" customHeight="false" outlineLevel="0" collapsed="false">
      <c r="B76" s="18" t="s">
        <v>90</v>
      </c>
      <c r="C76" s="14" t="str">
        <f aca="false">IF(B76="","",IFERROR(INDEX('CLM &amp; IM Mapping'!$B$2:$B$270,MATCH(TRIM(B76),'CLM &amp; IM Mapping'!$A$2:$A$270,0)),"Not Mapped"))</f>
        <v>Ashwath S</v>
      </c>
      <c r="D76" s="14" t="str">
        <f aca="false">IF(B76="","",IFERROR(INDEX('CLM &amp; IM Mapping'!$C$2:$C$270,MATCH(TRIM(B76),'CLM &amp; IM Mapping'!$A$2:$A$270,0)),"Not Mapped"))</f>
        <v>Kantha Kumar</v>
      </c>
      <c r="E76" s="18" t="n">
        <v>0</v>
      </c>
      <c r="F76" s="18" t="n">
        <v>33</v>
      </c>
      <c r="G76" s="18" t="n">
        <v>0</v>
      </c>
      <c r="H76" s="18" t="n">
        <v>82</v>
      </c>
      <c r="I76" s="18" t="n">
        <v>49</v>
      </c>
      <c r="J76" s="18" t="n">
        <v>18</v>
      </c>
      <c r="K76" s="18" t="n">
        <v>182</v>
      </c>
      <c r="L76" s="18" t="n">
        <v>182</v>
      </c>
    </row>
    <row r="77" customFormat="false" ht="15.75" hidden="false" customHeight="false" outlineLevel="0" collapsed="false">
      <c r="B77" s="18" t="s">
        <v>46</v>
      </c>
      <c r="C77" s="14" t="str">
        <f aca="false">IF(B77="","",IFERROR(INDEX('CLM &amp; IM Mapping'!$B$2:$B$270,MATCH(TRIM(B77),'CLM &amp; IM Mapping'!$A$2:$A$270,0)),"Not Mapped"))</f>
        <v>Ashwath S</v>
      </c>
      <c r="D77" s="14" t="str">
        <f aca="false">IF(B77="","",IFERROR(INDEX('CLM &amp; IM Mapping'!$C$2:$C$270,MATCH(TRIM(B77),'CLM &amp; IM Mapping'!$A$2:$A$270,0)),"Not Mapped"))</f>
        <v>Kantha Kumar</v>
      </c>
      <c r="E77" s="18" t="n">
        <v>32</v>
      </c>
      <c r="F77" s="18" t="n">
        <v>32</v>
      </c>
      <c r="G77" s="18" t="n">
        <v>2</v>
      </c>
      <c r="H77" s="18" t="n">
        <v>3</v>
      </c>
      <c r="I77" s="18" t="n">
        <v>21</v>
      </c>
      <c r="J77" s="18" t="n">
        <v>92</v>
      </c>
      <c r="K77" s="18" t="n">
        <v>182</v>
      </c>
      <c r="L77" s="18" t="n">
        <v>182</v>
      </c>
    </row>
    <row r="78" customFormat="false" ht="15.75" hidden="false" customHeight="false" outlineLevel="0" collapsed="false">
      <c r="B78" s="18" t="s">
        <v>133</v>
      </c>
      <c r="C78" s="14" t="str">
        <f aca="false">IF(B78="","",IFERROR(INDEX('CLM &amp; IM Mapping'!$B$2:$B$270,MATCH(TRIM(B78),'CLM &amp; IM Mapping'!$A$2:$A$270,0)),"Not Mapped"))</f>
        <v>Ashwath S</v>
      </c>
      <c r="D78" s="14" t="str">
        <f aca="false">IF(B78="","",IFERROR(INDEX('CLM &amp; IM Mapping'!$C$2:$C$270,MATCH(TRIM(B78),'CLM &amp; IM Mapping'!$A$2:$A$270,0)),"Not Mapped"))</f>
        <v>Kantha Kumar</v>
      </c>
      <c r="E78" s="18" t="n">
        <v>12</v>
      </c>
      <c r="F78" s="18" t="n">
        <v>78</v>
      </c>
      <c r="G78" s="18" t="n">
        <v>14</v>
      </c>
      <c r="H78" s="18" t="n">
        <v>14</v>
      </c>
      <c r="I78" s="18" t="n">
        <v>37</v>
      </c>
      <c r="J78" s="18" t="n">
        <v>23</v>
      </c>
      <c r="K78" s="18" t="n">
        <v>178</v>
      </c>
      <c r="L78" s="18" t="n">
        <v>153</v>
      </c>
    </row>
    <row r="79" customFormat="false" ht="15.75" hidden="false" customHeight="false" outlineLevel="0" collapsed="false">
      <c r="B79" s="18" t="s">
        <v>114</v>
      </c>
      <c r="C79" s="14" t="str">
        <f aca="false">IF(B79="","",IFERROR(INDEX('CLM &amp; IM Mapping'!$B$2:$B$270,MATCH(TRIM(B79),'CLM &amp; IM Mapping'!$A$2:$A$270,0)),"Not Mapped"))</f>
        <v>Akshay P</v>
      </c>
      <c r="D79" s="14" t="str">
        <f aca="false">IF(B79="","",IFERROR(INDEX('CLM &amp; IM Mapping'!$C$2:$C$270,MATCH(TRIM(B79),'CLM &amp; IM Mapping'!$A$2:$A$270,0)),"Not Mapped"))</f>
        <v>Srittam Dhal</v>
      </c>
      <c r="E79" s="18" t="n">
        <v>56</v>
      </c>
      <c r="F79" s="18" t="n">
        <v>82</v>
      </c>
      <c r="G79" s="18" t="n">
        <v>0</v>
      </c>
      <c r="H79" s="18" t="n">
        <v>10</v>
      </c>
      <c r="I79" s="18" t="n">
        <v>24</v>
      </c>
      <c r="J79" s="18" t="n">
        <v>6</v>
      </c>
      <c r="K79" s="18" t="n">
        <v>178</v>
      </c>
      <c r="L79" s="18" t="n">
        <v>151</v>
      </c>
    </row>
    <row r="80" customFormat="false" ht="15.75" hidden="false" customHeight="false" outlineLevel="0" collapsed="false">
      <c r="B80" s="18" t="s">
        <v>144</v>
      </c>
      <c r="C80" s="14" t="str">
        <f aca="false">IF(B80="","",IFERROR(INDEX('CLM &amp; IM Mapping'!$B$2:$B$270,MATCH(TRIM(B80),'CLM &amp; IM Mapping'!$A$2:$A$270,0)),"Not Mapped"))</f>
        <v>Akshay P</v>
      </c>
      <c r="D80" s="14" t="str">
        <f aca="false">IF(B80="","",IFERROR(INDEX('CLM &amp; IM Mapping'!$C$2:$C$270,MATCH(TRIM(B80),'CLM &amp; IM Mapping'!$A$2:$A$270,0)),"Not Mapped"))</f>
        <v>Srittam Dhal</v>
      </c>
      <c r="E80" s="18" t="n">
        <v>0</v>
      </c>
      <c r="F80" s="18" t="n">
        <v>71</v>
      </c>
      <c r="G80" s="18" t="n">
        <v>0</v>
      </c>
      <c r="H80" s="18" t="n">
        <v>51</v>
      </c>
      <c r="I80" s="18" t="n">
        <v>13</v>
      </c>
      <c r="J80" s="18" t="n">
        <v>42</v>
      </c>
      <c r="K80" s="18" t="n">
        <v>177</v>
      </c>
      <c r="L80" s="18" t="n">
        <v>175</v>
      </c>
    </row>
    <row r="81" customFormat="false" ht="15.75" hidden="false" customHeight="false" outlineLevel="0" collapsed="false">
      <c r="B81" s="18" t="s">
        <v>185</v>
      </c>
      <c r="C81" s="14" t="str">
        <f aca="false">IF(B81="","",IFERROR(INDEX('CLM &amp; IM Mapping'!$B$2:$B$270,MATCH(TRIM(B81),'CLM &amp; IM Mapping'!$A$2:$A$270,0)),"Not Mapped"))</f>
        <v>Vishnu V</v>
      </c>
      <c r="D81" s="14" t="str">
        <f aca="false">IF(B81="","",IFERROR(INDEX('CLM &amp; IM Mapping'!$C$2:$C$270,MATCH(TRIM(B81),'CLM &amp; IM Mapping'!$A$2:$A$270,0)),"Not Mapped"))</f>
        <v>Arivind S</v>
      </c>
      <c r="E81" s="18" t="n">
        <v>0</v>
      </c>
      <c r="F81" s="18" t="n">
        <v>0</v>
      </c>
      <c r="G81" s="18" t="n">
        <v>0</v>
      </c>
      <c r="H81" s="18" t="n">
        <v>0</v>
      </c>
      <c r="I81" s="18" t="n">
        <v>14</v>
      </c>
      <c r="J81" s="18" t="n">
        <v>163</v>
      </c>
      <c r="K81" s="18" t="n">
        <v>177</v>
      </c>
      <c r="L81" s="18" t="n">
        <v>177</v>
      </c>
    </row>
    <row r="82" customFormat="false" ht="15.75" hidden="false" customHeight="false" outlineLevel="0" collapsed="false">
      <c r="B82" s="18" t="s">
        <v>256</v>
      </c>
      <c r="C82" s="14" t="str">
        <f aca="false">IF(B82="","",IFERROR(INDEX('CLM &amp; IM Mapping'!$B$2:$B$270,MATCH(TRIM(B82),'CLM &amp; IM Mapping'!$A$2:$A$270,0)),"Not Mapped"))</f>
        <v>Raghavendra Vernekar</v>
      </c>
      <c r="D82" s="14" t="str">
        <f aca="false">IF(B82="","",IFERROR(INDEX('CLM &amp; IM Mapping'!$C$2:$C$270,MATCH(TRIM(B82),'CLM &amp; IM Mapping'!$A$2:$A$270,0)),"Not Mapped"))</f>
        <v>Prakash BS</v>
      </c>
      <c r="E82" s="18" t="n">
        <v>11</v>
      </c>
      <c r="F82" s="18" t="n">
        <v>27</v>
      </c>
      <c r="G82" s="18" t="n">
        <v>10</v>
      </c>
      <c r="H82" s="18" t="n">
        <v>56</v>
      </c>
      <c r="I82" s="18" t="n">
        <v>0</v>
      </c>
      <c r="J82" s="18" t="n">
        <v>72</v>
      </c>
      <c r="K82" s="18" t="n">
        <v>176</v>
      </c>
      <c r="L82" s="18" t="n">
        <v>159</v>
      </c>
    </row>
    <row r="83" customFormat="false" ht="15.75" hidden="false" customHeight="false" outlineLevel="0" collapsed="false">
      <c r="B83" s="18" t="s">
        <v>129</v>
      </c>
      <c r="C83" s="14" t="str">
        <f aca="false">IF(B83="","",IFERROR(INDEX('CLM &amp; IM Mapping'!$B$2:$B$270,MATCH(TRIM(B83),'CLM &amp; IM Mapping'!$A$2:$A$270,0)),"Not Mapped"))</f>
        <v>Ravishankar gowda</v>
      </c>
      <c r="D83" s="14" t="str">
        <f aca="false">IF(B83="","",IFERROR(INDEX('CLM &amp; IM Mapping'!$C$2:$C$270,MATCH(TRIM(B83),'CLM &amp; IM Mapping'!$A$2:$A$270,0)),"Not Mapped"))</f>
        <v>Kishor K</v>
      </c>
      <c r="E83" s="18" t="n">
        <v>48</v>
      </c>
      <c r="F83" s="18" t="n">
        <v>43</v>
      </c>
      <c r="G83" s="18" t="n">
        <v>18</v>
      </c>
      <c r="H83" s="18" t="n">
        <v>18</v>
      </c>
      <c r="I83" s="18" t="n">
        <v>0</v>
      </c>
      <c r="J83" s="18" t="n">
        <v>44</v>
      </c>
      <c r="K83" s="18" t="n">
        <v>171</v>
      </c>
      <c r="L83" s="18" t="n">
        <v>129</v>
      </c>
    </row>
    <row r="84" customFormat="false" ht="15.75" hidden="false" customHeight="false" outlineLevel="0" collapsed="false">
      <c r="B84" s="18" t="s">
        <v>165</v>
      </c>
      <c r="C84" s="14" t="str">
        <f aca="false">IF(B84="","",IFERROR(INDEX('CLM &amp; IM Mapping'!$B$2:$B$270,MATCH(TRIM(B84),'CLM &amp; IM Mapping'!$A$2:$A$270,0)),"Not Mapped"))</f>
        <v>Akshay P</v>
      </c>
      <c r="D84" s="14" t="str">
        <f aca="false">IF(B84="","",IFERROR(INDEX('CLM &amp; IM Mapping'!$C$2:$C$270,MATCH(TRIM(B84),'CLM &amp; IM Mapping'!$A$2:$A$270,0)),"Not Mapped"))</f>
        <v>Srittam Dhal</v>
      </c>
      <c r="E84" s="18" t="n">
        <v>39</v>
      </c>
      <c r="F84" s="18" t="n">
        <v>82</v>
      </c>
      <c r="G84" s="18" t="n">
        <v>18</v>
      </c>
      <c r="H84" s="18" t="n">
        <v>6</v>
      </c>
      <c r="I84" s="18" t="n">
        <v>5</v>
      </c>
      <c r="J84" s="18" t="n">
        <v>20</v>
      </c>
      <c r="K84" s="18" t="n">
        <v>170</v>
      </c>
      <c r="L84" s="18" t="n">
        <v>101</v>
      </c>
    </row>
    <row r="85" customFormat="false" ht="15.75" hidden="false" customHeight="false" outlineLevel="0" collapsed="false">
      <c r="B85" s="18" t="s">
        <v>178</v>
      </c>
      <c r="C85" s="14" t="str">
        <f aca="false">IF(B85="","",IFERROR(INDEX('CLM &amp; IM Mapping'!$B$2:$B$270,MATCH(TRIM(B85),'CLM &amp; IM Mapping'!$A$2:$A$270,0)),"Not Mapped"))</f>
        <v>Balaji G</v>
      </c>
      <c r="D85" s="14" t="str">
        <f aca="false">IF(B85="","",IFERROR(INDEX('CLM &amp; IM Mapping'!$C$2:$C$270,MATCH(TRIM(B85),'CLM &amp; IM Mapping'!$A$2:$A$270,0)),"Not Mapped"))</f>
        <v>Mohammed Akbar</v>
      </c>
      <c r="E85" s="18" t="n">
        <v>0</v>
      </c>
      <c r="F85" s="18" t="n">
        <v>42</v>
      </c>
      <c r="G85" s="18" t="n">
        <v>0</v>
      </c>
      <c r="H85" s="18" t="n">
        <v>12</v>
      </c>
      <c r="I85" s="18" t="n">
        <v>115</v>
      </c>
      <c r="J85" s="18" t="n">
        <v>1</v>
      </c>
      <c r="K85" s="18" t="n">
        <v>170</v>
      </c>
      <c r="L85" s="18" t="n">
        <v>155</v>
      </c>
    </row>
    <row r="86" customFormat="false" ht="15.75" hidden="false" customHeight="false" outlineLevel="0" collapsed="false">
      <c r="B86" s="18" t="s">
        <v>219</v>
      </c>
      <c r="C86" s="14" t="str">
        <f aca="false">IF(B86="","",IFERROR(INDEX('CLM &amp; IM Mapping'!$B$2:$B$270,MATCH(TRIM(B86),'CLM &amp; IM Mapping'!$A$2:$A$270,0)),"Not Mapped"))</f>
        <v>John Britto</v>
      </c>
      <c r="D86" s="14" t="str">
        <f aca="false">IF(B86="","",IFERROR(INDEX('CLM &amp; IM Mapping'!$C$2:$C$270,MATCH(TRIM(B86),'CLM &amp; IM Mapping'!$A$2:$A$270,0)),"Not Mapped"))</f>
        <v>Aravind S</v>
      </c>
      <c r="E86" s="18" t="n">
        <v>13</v>
      </c>
      <c r="F86" s="18" t="n">
        <v>28</v>
      </c>
      <c r="G86" s="18" t="n">
        <v>6</v>
      </c>
      <c r="H86" s="18" t="n">
        <v>9</v>
      </c>
      <c r="I86" s="18" t="n">
        <v>1</v>
      </c>
      <c r="J86" s="18" t="n">
        <v>111</v>
      </c>
      <c r="K86" s="18" t="n">
        <v>168</v>
      </c>
      <c r="L86" s="18" t="n">
        <v>165</v>
      </c>
    </row>
    <row r="87" customFormat="false" ht="15.75" hidden="false" customHeight="false" outlineLevel="0" collapsed="false">
      <c r="B87" s="18" t="s">
        <v>141</v>
      </c>
      <c r="C87" s="14" t="str">
        <f aca="false">IF(B87="","",IFERROR(INDEX('CLM &amp; IM Mapping'!$B$2:$B$270,MATCH(TRIM(B87),'CLM &amp; IM Mapping'!$A$2:$A$270,0)),"Not Mapped"))</f>
        <v>Rizwan Ahmed</v>
      </c>
      <c r="D87" s="14" t="str">
        <f aca="false">IF(B87="","",IFERROR(INDEX('CLM &amp; IM Mapping'!$C$2:$C$270,MATCH(TRIM(B87),'CLM &amp; IM Mapping'!$A$2:$A$270,0)),"Not Mapped"))</f>
        <v>Un Mapped</v>
      </c>
      <c r="E87" s="18" t="n">
        <v>2</v>
      </c>
      <c r="F87" s="18" t="n">
        <v>43</v>
      </c>
      <c r="G87" s="18" t="n">
        <v>0</v>
      </c>
      <c r="H87" s="18" t="n">
        <v>58</v>
      </c>
      <c r="I87" s="18" t="n">
        <v>9</v>
      </c>
      <c r="J87" s="18" t="n">
        <v>54</v>
      </c>
      <c r="K87" s="18" t="n">
        <v>166</v>
      </c>
      <c r="L87" s="18" t="n">
        <v>158</v>
      </c>
    </row>
    <row r="88" customFormat="false" ht="15.75" hidden="false" customHeight="false" outlineLevel="0" collapsed="false">
      <c r="B88" s="18" t="s">
        <v>195</v>
      </c>
      <c r="C88" s="14" t="str">
        <f aca="false">IF(B88="","",IFERROR(INDEX('CLM &amp; IM Mapping'!$B$2:$B$270,MATCH(TRIM(B88),'CLM &amp; IM Mapping'!$A$2:$A$270,0)),"Not Mapped"))</f>
        <v>Ravishankar gowda</v>
      </c>
      <c r="D88" s="14" t="str">
        <f aca="false">IF(B88="","",IFERROR(INDEX('CLM &amp; IM Mapping'!$C$2:$C$270,MATCH(TRIM(B88),'CLM &amp; IM Mapping'!$A$2:$A$270,0)),"Not Mapped"))</f>
        <v>Kishor K</v>
      </c>
      <c r="E88" s="18" t="n">
        <v>38</v>
      </c>
      <c r="F88" s="18" t="n">
        <v>44</v>
      </c>
      <c r="G88" s="18" t="n">
        <v>18</v>
      </c>
      <c r="H88" s="18" t="n">
        <v>4</v>
      </c>
      <c r="I88" s="18" t="n">
        <v>0</v>
      </c>
      <c r="J88" s="18" t="n">
        <v>59</v>
      </c>
      <c r="K88" s="18" t="n">
        <v>163</v>
      </c>
      <c r="L88" s="18" t="n">
        <v>163</v>
      </c>
    </row>
    <row r="89" customFormat="false" ht="15.75" hidden="false" customHeight="false" outlineLevel="0" collapsed="false">
      <c r="B89" s="18" t="s">
        <v>181</v>
      </c>
      <c r="C89" s="14" t="str">
        <f aca="false">IF(B89="","",IFERROR(INDEX('CLM &amp; IM Mapping'!$B$2:$B$270,MATCH(TRIM(B89),'CLM &amp; IM Mapping'!$A$2:$A$270,0)),"Not Mapped"))</f>
        <v>Sundaresh S</v>
      </c>
      <c r="D89" s="14" t="str">
        <f aca="false">IF(B89="","",IFERROR(INDEX('CLM &amp; IM Mapping'!$C$2:$C$270,MATCH(TRIM(B89),'CLM &amp; IM Mapping'!$A$2:$A$270,0)),"Not Mapped"))</f>
        <v>Un Mapped</v>
      </c>
      <c r="E89" s="18" t="n">
        <v>0</v>
      </c>
      <c r="F89" s="18" t="n">
        <v>34</v>
      </c>
      <c r="G89" s="18" t="n">
        <v>59</v>
      </c>
      <c r="H89" s="18" t="n">
        <v>31</v>
      </c>
      <c r="I89" s="18" t="n">
        <v>34</v>
      </c>
      <c r="J89" s="18" t="n">
        <v>0</v>
      </c>
      <c r="K89" s="18" t="n">
        <v>158</v>
      </c>
      <c r="L89" s="18" t="n">
        <v>158</v>
      </c>
    </row>
    <row r="90" customFormat="false" ht="15.75" hidden="false" customHeight="false" outlineLevel="0" collapsed="false">
      <c r="B90" s="18" t="s">
        <v>214</v>
      </c>
      <c r="C90" s="14" t="str">
        <f aca="false">IF(B90="","",IFERROR(INDEX('CLM &amp; IM Mapping'!$B$2:$B$270,MATCH(TRIM(B90),'CLM &amp; IM Mapping'!$A$2:$A$270,0)),"Not Mapped"))</f>
        <v>Balaji G</v>
      </c>
      <c r="D90" s="14" t="str">
        <f aca="false">IF(B90="","",IFERROR(INDEX('CLM &amp; IM Mapping'!$C$2:$C$270,MATCH(TRIM(B90),'CLM &amp; IM Mapping'!$A$2:$A$270,0)),"Not Mapped"))</f>
        <v>Mohammed Akbar</v>
      </c>
      <c r="E90" s="18" t="n">
        <v>80</v>
      </c>
      <c r="F90" s="18" t="n">
        <v>53</v>
      </c>
      <c r="G90" s="18" t="n">
        <v>18</v>
      </c>
      <c r="H90" s="18" t="n">
        <v>0</v>
      </c>
      <c r="I90" s="18" t="n">
        <v>2</v>
      </c>
      <c r="J90" s="18" t="n">
        <v>5</v>
      </c>
      <c r="K90" s="18" t="n">
        <v>158</v>
      </c>
      <c r="L90" s="18" t="n">
        <v>157</v>
      </c>
    </row>
    <row r="91" customFormat="false" ht="15.75" hidden="false" customHeight="false" outlineLevel="0" collapsed="false">
      <c r="B91" s="18" t="s">
        <v>218</v>
      </c>
      <c r="C91" s="14" t="str">
        <f aca="false">IF(B91="","",IFERROR(INDEX('CLM &amp; IM Mapping'!$B$2:$B$270,MATCH(TRIM(B91),'CLM &amp; IM Mapping'!$A$2:$A$270,0)),"Not Mapped"))</f>
        <v>Akshay P</v>
      </c>
      <c r="D91" s="14" t="str">
        <f aca="false">IF(B91="","",IFERROR(INDEX('CLM &amp; IM Mapping'!$C$2:$C$270,MATCH(TRIM(B91),'CLM &amp; IM Mapping'!$A$2:$A$270,0)),"Not Mapped"))</f>
        <v>Srittam Dhal</v>
      </c>
      <c r="E91" s="18" t="n">
        <v>31</v>
      </c>
      <c r="F91" s="18" t="n">
        <v>47</v>
      </c>
      <c r="G91" s="18" t="n">
        <v>5</v>
      </c>
      <c r="H91" s="18" t="n">
        <v>4</v>
      </c>
      <c r="I91" s="18" t="n">
        <v>0</v>
      </c>
      <c r="J91" s="18" t="n">
        <v>70</v>
      </c>
      <c r="K91" s="18" t="n">
        <v>157</v>
      </c>
      <c r="L91" s="18" t="n">
        <v>157</v>
      </c>
    </row>
    <row r="92" customFormat="false" ht="15.75" hidden="false" customHeight="false" outlineLevel="0" collapsed="false">
      <c r="B92" s="18" t="s">
        <v>96</v>
      </c>
      <c r="C92" s="14" t="str">
        <f aca="false">IF(B92="","",IFERROR(INDEX('CLM &amp; IM Mapping'!$B$2:$B$270,MATCH(TRIM(B92),'CLM &amp; IM Mapping'!$A$2:$A$270,0)),"Not Mapped"))</f>
        <v>Girish N</v>
      </c>
      <c r="D92" s="14" t="str">
        <f aca="false">IF(B92="","",IFERROR(INDEX('CLM &amp; IM Mapping'!$C$2:$C$270,MATCH(TRIM(B92),'CLM &amp; IM Mapping'!$A$2:$A$270,0)),"Not Mapped"))</f>
        <v>Un Mapped</v>
      </c>
      <c r="E92" s="18" t="n">
        <v>0</v>
      </c>
      <c r="F92" s="18" t="n">
        <v>0</v>
      </c>
      <c r="G92" s="18" t="n">
        <v>0</v>
      </c>
      <c r="H92" s="18" t="n">
        <v>68</v>
      </c>
      <c r="I92" s="18" t="n">
        <v>62</v>
      </c>
      <c r="J92" s="18" t="n">
        <v>26</v>
      </c>
      <c r="K92" s="18" t="n">
        <v>156</v>
      </c>
      <c r="L92" s="18" t="n">
        <v>122</v>
      </c>
    </row>
    <row r="93" customFormat="false" ht="15.75" hidden="false" customHeight="false" outlineLevel="0" collapsed="false">
      <c r="B93" s="18" t="s">
        <v>58</v>
      </c>
      <c r="C93" s="14" t="str">
        <f aca="false">IF(B93="","",IFERROR(INDEX('CLM &amp; IM Mapping'!$B$2:$B$270,MATCH(TRIM(B93),'CLM &amp; IM Mapping'!$A$2:$A$270,0)),"Not Mapped"))</f>
        <v>Ashwath S</v>
      </c>
      <c r="D93" s="14" t="str">
        <f aca="false">IF(B93="","",IFERROR(INDEX('CLM &amp; IM Mapping'!$C$2:$C$270,MATCH(TRIM(B93),'CLM &amp; IM Mapping'!$A$2:$A$270,0)),"Not Mapped"))</f>
        <v>Kantha Kumar</v>
      </c>
      <c r="E93" s="18" t="n">
        <v>16</v>
      </c>
      <c r="F93" s="18" t="n">
        <v>44</v>
      </c>
      <c r="G93" s="18" t="n">
        <v>11</v>
      </c>
      <c r="H93" s="18" t="n">
        <v>5</v>
      </c>
      <c r="I93" s="18" t="n">
        <v>8</v>
      </c>
      <c r="J93" s="18" t="n">
        <v>70</v>
      </c>
      <c r="K93" s="18" t="n">
        <v>154</v>
      </c>
      <c r="L93" s="18" t="n">
        <v>111</v>
      </c>
    </row>
    <row r="94" customFormat="false" ht="15.75" hidden="false" customHeight="false" outlineLevel="0" collapsed="false">
      <c r="B94" s="18" t="s">
        <v>143</v>
      </c>
      <c r="C94" s="14" t="str">
        <f aca="false">IF(B94="","",IFERROR(INDEX('CLM &amp; IM Mapping'!$B$2:$B$270,MATCH(TRIM(B94),'CLM &amp; IM Mapping'!$A$2:$A$270,0)),"Not Mapped"))</f>
        <v>Ashwath S</v>
      </c>
      <c r="D94" s="14" t="str">
        <f aca="false">IF(B94="","",IFERROR(INDEX('CLM &amp; IM Mapping'!$C$2:$C$270,MATCH(TRIM(B94),'CLM &amp; IM Mapping'!$A$2:$A$270,0)),"Not Mapped"))</f>
        <v>Kantha Kumar</v>
      </c>
      <c r="E94" s="18" t="n">
        <v>47</v>
      </c>
      <c r="F94" s="18" t="n">
        <v>67</v>
      </c>
      <c r="G94" s="18" t="n">
        <v>35</v>
      </c>
      <c r="H94" s="18" t="n">
        <v>1</v>
      </c>
      <c r="I94" s="18" t="n">
        <v>4</v>
      </c>
      <c r="J94" s="18" t="n">
        <v>0</v>
      </c>
      <c r="K94" s="18" t="n">
        <v>154</v>
      </c>
      <c r="L94" s="18" t="n">
        <v>100</v>
      </c>
    </row>
    <row r="95" customFormat="false" ht="15.75" hidden="false" customHeight="false" outlineLevel="0" collapsed="false">
      <c r="B95" s="18" t="s">
        <v>247</v>
      </c>
      <c r="C95" s="14" t="str">
        <f aca="false">IF(B95="","",IFERROR(INDEX('CLM &amp; IM Mapping'!$B$2:$B$270,MATCH(TRIM(B95),'CLM &amp; IM Mapping'!$A$2:$A$270,0)),"Not Mapped"))</f>
        <v>Manjunatha V</v>
      </c>
      <c r="D95" s="14" t="str">
        <f aca="false">IF(B95="","",IFERROR(INDEX('CLM &amp; IM Mapping'!$C$2:$C$270,MATCH(TRIM(B95),'CLM &amp; IM Mapping'!$A$2:$A$270,0)),"Not Mapped"))</f>
        <v>Un Mapped</v>
      </c>
      <c r="E95" s="18" t="n">
        <v>2</v>
      </c>
      <c r="F95" s="18" t="n">
        <v>35</v>
      </c>
      <c r="G95" s="18" t="n">
        <v>4</v>
      </c>
      <c r="H95" s="18" t="n">
        <v>24</v>
      </c>
      <c r="I95" s="18" t="n">
        <v>36</v>
      </c>
      <c r="J95" s="18" t="n">
        <v>52</v>
      </c>
      <c r="K95" s="18" t="n">
        <v>153</v>
      </c>
      <c r="L95" s="18" t="n">
        <v>151</v>
      </c>
    </row>
    <row r="96" customFormat="false" ht="15.75" hidden="false" customHeight="false" outlineLevel="0" collapsed="false">
      <c r="B96" s="18" t="s">
        <v>216</v>
      </c>
      <c r="C96" s="14" t="str">
        <f aca="false">IF(B96="","",IFERROR(INDEX('CLM &amp; IM Mapping'!$B$2:$B$270,MATCH(TRIM(B96),'CLM &amp; IM Mapping'!$A$2:$A$270,0)),"Not Mapped"))</f>
        <v>Saddam Hussain</v>
      </c>
      <c r="D96" s="14" t="str">
        <f aca="false">IF(B96="","",IFERROR(INDEX('CLM &amp; IM Mapping'!$C$2:$C$270,MATCH(TRIM(B96),'CLM &amp; IM Mapping'!$A$2:$A$270,0)),"Not Mapped"))</f>
        <v>Un Mapped</v>
      </c>
      <c r="E96" s="18" t="n">
        <v>5</v>
      </c>
      <c r="F96" s="18" t="n">
        <v>33</v>
      </c>
      <c r="G96" s="18" t="n">
        <v>0</v>
      </c>
      <c r="H96" s="18" t="n">
        <v>36</v>
      </c>
      <c r="I96" s="18" t="n">
        <v>18</v>
      </c>
      <c r="J96" s="18" t="n">
        <v>58</v>
      </c>
      <c r="K96" s="18" t="n">
        <v>150</v>
      </c>
      <c r="L96" s="18" t="n">
        <v>136</v>
      </c>
    </row>
    <row r="97" customFormat="false" ht="15.75" hidden="false" customHeight="false" outlineLevel="0" collapsed="false">
      <c r="B97" s="18" t="s">
        <v>229</v>
      </c>
      <c r="C97" s="14" t="str">
        <f aca="false">IF(B97="","",IFERROR(INDEX('CLM &amp; IM Mapping'!$B$2:$B$270,MATCH(TRIM(B97),'CLM &amp; IM Mapping'!$A$2:$A$270,0)),"Not Mapped"))</f>
        <v>Bangareppa CS</v>
      </c>
      <c r="D97" s="14" t="str">
        <f aca="false">IF(B97="","",IFERROR(INDEX('CLM &amp; IM Mapping'!$C$2:$C$270,MATCH(TRIM(B97),'CLM &amp; IM Mapping'!$A$2:$A$270,0)),"Not Mapped"))</f>
        <v>Kishor K</v>
      </c>
      <c r="E97" s="18" t="n">
        <v>2</v>
      </c>
      <c r="F97" s="18" t="n">
        <v>67</v>
      </c>
      <c r="G97" s="18" t="n">
        <v>34</v>
      </c>
      <c r="H97" s="18" t="n">
        <v>20</v>
      </c>
      <c r="I97" s="18" t="n">
        <v>3</v>
      </c>
      <c r="J97" s="18" t="n">
        <v>23</v>
      </c>
      <c r="K97" s="18" t="n">
        <v>149</v>
      </c>
      <c r="L97" s="18" t="n">
        <v>144</v>
      </c>
    </row>
    <row r="98" customFormat="false" ht="15.75" hidden="false" customHeight="false" outlineLevel="0" collapsed="false">
      <c r="B98" s="18" t="s">
        <v>56</v>
      </c>
      <c r="C98" s="14" t="str">
        <f aca="false">IF(B98="","",IFERROR(INDEX('CLM &amp; IM Mapping'!$B$2:$B$270,MATCH(TRIM(B98),'CLM &amp; IM Mapping'!$A$2:$A$270,0)),"Not Mapped"))</f>
        <v>Balaji G</v>
      </c>
      <c r="D98" s="14" t="str">
        <f aca="false">IF(B98="","",IFERROR(INDEX('CLM &amp; IM Mapping'!$C$2:$C$270,MATCH(TRIM(B98),'CLM &amp; IM Mapping'!$A$2:$A$270,0)),"Not Mapped"))</f>
        <v>Mohammed Akbar</v>
      </c>
      <c r="E98" s="18" t="n">
        <v>47</v>
      </c>
      <c r="F98" s="18" t="n">
        <v>55</v>
      </c>
      <c r="G98" s="18" t="n">
        <v>40</v>
      </c>
      <c r="H98" s="18" t="n">
        <v>2</v>
      </c>
      <c r="I98" s="18" t="n">
        <v>0</v>
      </c>
      <c r="J98" s="18" t="n">
        <v>0</v>
      </c>
      <c r="K98" s="18" t="n">
        <v>144</v>
      </c>
      <c r="L98" s="18" t="n">
        <v>144</v>
      </c>
    </row>
    <row r="99" customFormat="false" ht="15.75" hidden="false" customHeight="false" outlineLevel="0" collapsed="false">
      <c r="B99" s="18" t="s">
        <v>262</v>
      </c>
      <c r="C99" s="14" t="str">
        <f aca="false">IF(B99="","",IFERROR(INDEX('CLM &amp; IM Mapping'!$B$2:$B$270,MATCH(TRIM(B99),'CLM &amp; IM Mapping'!$A$2:$A$270,0)),"Not Mapped"))</f>
        <v>Raghavendra Vernekar</v>
      </c>
      <c r="D99" s="14" t="str">
        <f aca="false">IF(B99="","",IFERROR(INDEX('CLM &amp; IM Mapping'!$C$2:$C$270,MATCH(TRIM(B99),'CLM &amp; IM Mapping'!$A$2:$A$270,0)),"Not Mapped"))</f>
        <v>Prakash BS</v>
      </c>
      <c r="E99" s="18" t="n">
        <v>55</v>
      </c>
      <c r="F99" s="18" t="n">
        <v>39</v>
      </c>
      <c r="G99" s="18" t="n">
        <v>2</v>
      </c>
      <c r="H99" s="18" t="n">
        <v>23</v>
      </c>
      <c r="I99" s="18" t="n">
        <v>16</v>
      </c>
      <c r="J99" s="18" t="n">
        <v>7</v>
      </c>
      <c r="K99" s="18" t="n">
        <v>142</v>
      </c>
      <c r="L99" s="18" t="n">
        <v>116</v>
      </c>
    </row>
    <row r="100" customFormat="false" ht="15.75" hidden="false" customHeight="false" outlineLevel="0" collapsed="false">
      <c r="B100" s="18" t="s">
        <v>98</v>
      </c>
      <c r="C100" s="14" t="str">
        <f aca="false">IF(B100="","",IFERROR(INDEX('CLM &amp; IM Mapping'!$B$2:$B$270,MATCH(TRIM(B100),'CLM &amp; IM Mapping'!$A$2:$A$270,0)),"Not Mapped"))</f>
        <v>Silambarasan E</v>
      </c>
      <c r="D100" s="14" t="str">
        <f aca="false">IF(B100="","",IFERROR(INDEX('CLM &amp; IM Mapping'!$C$2:$C$270,MATCH(TRIM(B100),'CLM &amp; IM Mapping'!$A$2:$A$270,0)),"Not Mapped"))</f>
        <v>Arivind S</v>
      </c>
      <c r="E100" s="18" t="n">
        <v>0</v>
      </c>
      <c r="F100" s="18" t="n">
        <v>3</v>
      </c>
      <c r="G100" s="18" t="n">
        <v>0</v>
      </c>
      <c r="H100" s="18" t="n">
        <v>35</v>
      </c>
      <c r="I100" s="18" t="n">
        <v>78</v>
      </c>
      <c r="J100" s="18" t="n">
        <v>26</v>
      </c>
      <c r="K100" s="18" t="n">
        <v>142</v>
      </c>
      <c r="L100" s="18" t="n">
        <v>142</v>
      </c>
    </row>
    <row r="101" customFormat="false" ht="15.75" hidden="false" customHeight="false" outlineLevel="0" collapsed="false">
      <c r="B101" s="18" t="s">
        <v>37</v>
      </c>
      <c r="C101" s="14" t="str">
        <f aca="false">IF(B101="","",IFERROR(INDEX('CLM &amp; IM Mapping'!$B$2:$B$270,MATCH(TRIM(B101),'CLM &amp; IM Mapping'!$A$2:$A$270,0)),"Not Mapped"))</f>
        <v>Balaji G</v>
      </c>
      <c r="D101" s="14" t="str">
        <f aca="false">IF(B101="","",IFERROR(INDEX('CLM &amp; IM Mapping'!$C$2:$C$270,MATCH(TRIM(B101),'CLM &amp; IM Mapping'!$A$2:$A$270,0)),"Not Mapped"))</f>
        <v>Mohammed Akbar</v>
      </c>
      <c r="E101" s="18" t="n">
        <v>0</v>
      </c>
      <c r="F101" s="18" t="n">
        <v>0</v>
      </c>
      <c r="G101" s="18" t="n">
        <v>0</v>
      </c>
      <c r="H101" s="18" t="n">
        <v>129</v>
      </c>
      <c r="I101" s="18" t="n">
        <v>12</v>
      </c>
      <c r="J101" s="18" t="n">
        <v>0</v>
      </c>
      <c r="K101" s="18" t="n">
        <v>141</v>
      </c>
      <c r="L101" s="18" t="n">
        <v>141</v>
      </c>
    </row>
    <row r="102" customFormat="false" ht="15.75" hidden="false" customHeight="false" outlineLevel="0" collapsed="false">
      <c r="B102" s="18" t="s">
        <v>180</v>
      </c>
      <c r="C102" s="14" t="str">
        <f aca="false">IF(B102="","",IFERROR(INDEX('CLM &amp; IM Mapping'!$B$2:$B$270,MATCH(TRIM(B102),'CLM &amp; IM Mapping'!$A$2:$A$270,0)),"Not Mapped"))</f>
        <v>Richard Harris</v>
      </c>
      <c r="D102" s="14" t="str">
        <f aca="false">IF(B102="","",IFERROR(INDEX('CLM &amp; IM Mapping'!$C$2:$C$270,MATCH(TRIM(B102),'CLM &amp; IM Mapping'!$A$2:$A$270,0)),"Not Mapped"))</f>
        <v>Kantha Kumar</v>
      </c>
      <c r="E102" s="18" t="n">
        <v>72</v>
      </c>
      <c r="F102" s="18" t="n">
        <v>1</v>
      </c>
      <c r="G102" s="18" t="n">
        <v>21</v>
      </c>
      <c r="H102" s="18" t="n">
        <v>0</v>
      </c>
      <c r="I102" s="18" t="n">
        <v>2</v>
      </c>
      <c r="J102" s="18" t="n">
        <v>45</v>
      </c>
      <c r="K102" s="18" t="n">
        <v>141</v>
      </c>
      <c r="L102" s="18" t="n">
        <v>141</v>
      </c>
    </row>
    <row r="103" customFormat="false" ht="15.75" hidden="false" customHeight="false" outlineLevel="0" collapsed="false">
      <c r="B103" s="18" t="s">
        <v>59</v>
      </c>
      <c r="C103" s="14" t="str">
        <f aca="false">IF(B103="","",IFERROR(INDEX('CLM &amp; IM Mapping'!$B$2:$B$270,MATCH(TRIM(B103),'CLM &amp; IM Mapping'!$A$2:$A$270,0)),"Not Mapped"))</f>
        <v>Manoj Kj</v>
      </c>
      <c r="D103" s="14" t="str">
        <f aca="false">IF(B103="","",IFERROR(INDEX('CLM &amp; IM Mapping'!$C$2:$C$270,MATCH(TRIM(B103),'CLM &amp; IM Mapping'!$A$2:$A$270,0)),"Not Mapped"))</f>
        <v>Srittam Dhal</v>
      </c>
      <c r="E103" s="18" t="n">
        <v>0</v>
      </c>
      <c r="F103" s="18" t="n">
        <v>60</v>
      </c>
      <c r="G103" s="18" t="n">
        <v>0</v>
      </c>
      <c r="H103" s="18" t="n">
        <v>27</v>
      </c>
      <c r="I103" s="18" t="n">
        <v>6</v>
      </c>
      <c r="J103" s="18" t="n">
        <v>47</v>
      </c>
      <c r="K103" s="18" t="n">
        <v>140</v>
      </c>
      <c r="L103" s="18" t="n">
        <v>140</v>
      </c>
    </row>
    <row r="104" customFormat="false" ht="15.75" hidden="false" customHeight="false" outlineLevel="0" collapsed="false">
      <c r="B104" s="18" t="s">
        <v>211</v>
      </c>
      <c r="C104" s="14" t="str">
        <f aca="false">IF(B104="","",IFERROR(INDEX('CLM &amp; IM Mapping'!$B$2:$B$270,MATCH(TRIM(B104),'CLM &amp; IM Mapping'!$A$2:$A$270,0)),"Not Mapped"))</f>
        <v>Ashwath S</v>
      </c>
      <c r="D104" s="14" t="str">
        <f aca="false">IF(B104="","",IFERROR(INDEX('CLM &amp; IM Mapping'!$C$2:$C$270,MATCH(TRIM(B104),'CLM &amp; IM Mapping'!$A$2:$A$270,0)),"Not Mapped"))</f>
        <v>Kantha Kumar</v>
      </c>
      <c r="E104" s="18" t="n">
        <v>52</v>
      </c>
      <c r="F104" s="18" t="n">
        <v>50</v>
      </c>
      <c r="G104" s="18" t="n">
        <v>1</v>
      </c>
      <c r="H104" s="18" t="n">
        <v>1</v>
      </c>
      <c r="I104" s="18" t="n">
        <v>15</v>
      </c>
      <c r="J104" s="18" t="n">
        <v>20</v>
      </c>
      <c r="K104" s="18" t="n">
        <v>139</v>
      </c>
      <c r="L104" s="18" t="n">
        <v>132</v>
      </c>
    </row>
    <row r="105" customFormat="false" ht="15.75" hidden="false" customHeight="false" outlineLevel="0" collapsed="false">
      <c r="B105" s="18" t="s">
        <v>194</v>
      </c>
      <c r="C105" s="14" t="str">
        <f aca="false">IF(B105="","",IFERROR(INDEX('CLM &amp; IM Mapping'!$B$2:$B$270,MATCH(TRIM(B105),'CLM &amp; IM Mapping'!$A$2:$A$270,0)),"Not Mapped"))</f>
        <v>Santhosha M</v>
      </c>
      <c r="D105" s="14" t="str">
        <f aca="false">IF(B105="","",IFERROR(INDEX('CLM &amp; IM Mapping'!$C$2:$C$270,MATCH(TRIM(B105),'CLM &amp; IM Mapping'!$A$2:$A$270,0)),"Not Mapped"))</f>
        <v>Aravind S</v>
      </c>
      <c r="E105" s="18" t="n">
        <v>0</v>
      </c>
      <c r="F105" s="18" t="n">
        <v>63</v>
      </c>
      <c r="G105" s="18" t="n">
        <v>0</v>
      </c>
      <c r="H105" s="18" t="n">
        <v>54</v>
      </c>
      <c r="I105" s="18" t="n">
        <v>15</v>
      </c>
      <c r="J105" s="18" t="n">
        <v>7</v>
      </c>
      <c r="K105" s="18" t="n">
        <v>139</v>
      </c>
      <c r="L105" s="18" t="n">
        <v>106</v>
      </c>
    </row>
    <row r="106" customFormat="false" ht="15.75" hidden="false" customHeight="false" outlineLevel="0" collapsed="false">
      <c r="B106" s="18" t="s">
        <v>224</v>
      </c>
      <c r="C106" s="14" t="str">
        <f aca="false">IF(B106="","",IFERROR(INDEX('CLM &amp; IM Mapping'!$B$2:$B$270,MATCH(TRIM(B106),'CLM &amp; IM Mapping'!$A$2:$A$270,0)),"Not Mapped"))</f>
        <v>Balaji G</v>
      </c>
      <c r="D106" s="14" t="str">
        <f aca="false">IF(B106="","",IFERROR(INDEX('CLM &amp; IM Mapping'!$C$2:$C$270,MATCH(TRIM(B106),'CLM &amp; IM Mapping'!$A$2:$A$270,0)),"Not Mapped"))</f>
        <v>Mohammed Akbar</v>
      </c>
      <c r="E106" s="18" t="n">
        <v>16</v>
      </c>
      <c r="F106" s="18" t="n">
        <v>39</v>
      </c>
      <c r="G106" s="18" t="n">
        <v>1</v>
      </c>
      <c r="H106" s="18" t="n">
        <v>45</v>
      </c>
      <c r="I106" s="18" t="n">
        <v>37</v>
      </c>
      <c r="J106" s="18" t="n">
        <v>0</v>
      </c>
      <c r="K106" s="18" t="n">
        <v>138</v>
      </c>
      <c r="L106" s="18" t="n">
        <v>138</v>
      </c>
    </row>
    <row r="107" customFormat="false" ht="15.75" hidden="false" customHeight="false" outlineLevel="0" collapsed="false">
      <c r="B107" s="18" t="s">
        <v>111</v>
      </c>
      <c r="C107" s="14" t="str">
        <f aca="false">IF(B107="","",IFERROR(INDEX('CLM &amp; IM Mapping'!$B$2:$B$270,MATCH(TRIM(B107),'CLM &amp; IM Mapping'!$A$2:$A$270,0)),"Not Mapped"))</f>
        <v>Ashwath S</v>
      </c>
      <c r="D107" s="14" t="str">
        <f aca="false">IF(B107="","",IFERROR(INDEX('CLM &amp; IM Mapping'!$C$2:$C$270,MATCH(TRIM(B107),'CLM &amp; IM Mapping'!$A$2:$A$270,0)),"Not Mapped"))</f>
        <v>Kantha Kumar</v>
      </c>
      <c r="E107" s="18" t="n">
        <v>8</v>
      </c>
      <c r="F107" s="18" t="n">
        <v>14</v>
      </c>
      <c r="G107" s="18" t="n">
        <v>6</v>
      </c>
      <c r="H107" s="18" t="n">
        <v>5</v>
      </c>
      <c r="I107" s="18" t="n">
        <v>103</v>
      </c>
      <c r="J107" s="18" t="n">
        <v>0</v>
      </c>
      <c r="K107" s="18" t="n">
        <v>136</v>
      </c>
      <c r="L107" s="18" t="n">
        <v>122</v>
      </c>
    </row>
    <row r="108" customFormat="false" ht="15.75" hidden="false" customHeight="false" outlineLevel="0" collapsed="false">
      <c r="B108" s="18" t="s">
        <v>257</v>
      </c>
      <c r="C108" s="14" t="str">
        <f aca="false">IF(B108="","",IFERROR(INDEX('CLM &amp; IM Mapping'!$B$2:$B$270,MATCH(TRIM(B108),'CLM &amp; IM Mapping'!$A$2:$A$270,0)),"Not Mapped"))</f>
        <v>Balaji G</v>
      </c>
      <c r="D108" s="14" t="str">
        <f aca="false">IF(B108="","",IFERROR(INDEX('CLM &amp; IM Mapping'!$C$2:$C$270,MATCH(TRIM(B108),'CLM &amp; IM Mapping'!$A$2:$A$270,0)),"Not Mapped"))</f>
        <v>Mohammed Akbar</v>
      </c>
      <c r="E108" s="18" t="n">
        <v>30</v>
      </c>
      <c r="F108" s="18" t="n">
        <v>60</v>
      </c>
      <c r="G108" s="18" t="n">
        <v>0</v>
      </c>
      <c r="H108" s="18" t="n">
        <v>9</v>
      </c>
      <c r="I108" s="18" t="n">
        <v>12</v>
      </c>
      <c r="J108" s="18" t="n">
        <v>21</v>
      </c>
      <c r="K108" s="18" t="n">
        <v>132</v>
      </c>
      <c r="L108" s="18" t="n">
        <v>132</v>
      </c>
    </row>
    <row r="109" customFormat="false" ht="15.75" hidden="false" customHeight="false" outlineLevel="0" collapsed="false">
      <c r="B109" s="18" t="s">
        <v>281</v>
      </c>
      <c r="C109" s="14" t="str">
        <f aca="false">IF(B109="","",IFERROR(INDEX('CLM &amp; IM Mapping'!$B$2:$B$270,MATCH(TRIM(B109),'CLM &amp; IM Mapping'!$A$2:$A$270,0)),"Not Mapped"))</f>
        <v>Vishnu V</v>
      </c>
      <c r="D109" s="14" t="str">
        <f aca="false">IF(B109="","",IFERROR(INDEX('CLM &amp; IM Mapping'!$C$2:$C$270,MATCH(TRIM(B109),'CLM &amp; IM Mapping'!$A$2:$A$270,0)),"Not Mapped"))</f>
        <v>Arivind S</v>
      </c>
      <c r="E109" s="18" t="n">
        <v>28</v>
      </c>
      <c r="F109" s="18" t="n">
        <v>66</v>
      </c>
      <c r="G109" s="18" t="n">
        <v>31</v>
      </c>
      <c r="H109" s="18" t="n">
        <v>4</v>
      </c>
      <c r="I109" s="18" t="n">
        <v>0</v>
      </c>
      <c r="J109" s="18" t="n">
        <v>0</v>
      </c>
      <c r="K109" s="18" t="n">
        <v>129</v>
      </c>
      <c r="L109" s="18" t="n">
        <v>129</v>
      </c>
    </row>
    <row r="110" customFormat="false" ht="15.75" hidden="false" customHeight="false" outlineLevel="0" collapsed="false">
      <c r="B110" s="18" t="s">
        <v>87</v>
      </c>
      <c r="C110" s="14" t="str">
        <f aca="false">IF(B110="","",IFERROR(INDEX('CLM &amp; IM Mapping'!$B$2:$B$270,MATCH(TRIM(B110),'CLM &amp; IM Mapping'!$A$2:$A$270,0)),"Not Mapped"))</f>
        <v>Richard Harris</v>
      </c>
      <c r="D110" s="14" t="str">
        <f aca="false">IF(B110="","",IFERROR(INDEX('CLM &amp; IM Mapping'!$C$2:$C$270,MATCH(TRIM(B110),'CLM &amp; IM Mapping'!$A$2:$A$270,0)),"Not Mapped"))</f>
        <v>Kantha Kumar</v>
      </c>
      <c r="E110" s="18" t="n">
        <v>20</v>
      </c>
      <c r="F110" s="18" t="n">
        <v>19</v>
      </c>
      <c r="G110" s="18" t="n">
        <v>4</v>
      </c>
      <c r="H110" s="18" t="n">
        <v>49</v>
      </c>
      <c r="I110" s="18" t="n">
        <v>15</v>
      </c>
      <c r="J110" s="18" t="n">
        <v>16</v>
      </c>
      <c r="K110" s="18" t="n">
        <v>123</v>
      </c>
      <c r="L110" s="18" t="n">
        <v>119</v>
      </c>
    </row>
    <row r="111" customFormat="false" ht="15.75" hidden="false" customHeight="false" outlineLevel="0" collapsed="false">
      <c r="B111" s="18" t="s">
        <v>121</v>
      </c>
      <c r="C111" s="14" t="str">
        <f aca="false">IF(B111="","",IFERROR(INDEX('CLM &amp; IM Mapping'!$B$2:$B$270,MATCH(TRIM(B111),'CLM &amp; IM Mapping'!$A$2:$A$270,0)),"Not Mapped"))</f>
        <v>Sundaresh S</v>
      </c>
      <c r="D111" s="14" t="str">
        <f aca="false">IF(B111="","",IFERROR(INDEX('CLM &amp; IM Mapping'!$C$2:$C$270,MATCH(TRIM(B111),'CLM &amp; IM Mapping'!$A$2:$A$270,0)),"Not Mapped"))</f>
        <v>Un Mapped</v>
      </c>
      <c r="E111" s="18" t="n">
        <v>10</v>
      </c>
      <c r="F111" s="18" t="n">
        <v>34</v>
      </c>
      <c r="G111" s="18" t="n">
        <v>0</v>
      </c>
      <c r="H111" s="18" t="n">
        <v>14</v>
      </c>
      <c r="I111" s="18" t="n">
        <v>0</v>
      </c>
      <c r="J111" s="18" t="n">
        <v>64</v>
      </c>
      <c r="K111" s="18" t="n">
        <v>122</v>
      </c>
      <c r="L111" s="18" t="n">
        <v>111</v>
      </c>
    </row>
    <row r="112" customFormat="false" ht="15.75" hidden="false" customHeight="false" outlineLevel="0" collapsed="false">
      <c r="B112" s="18" t="s">
        <v>25</v>
      </c>
      <c r="C112" s="14" t="str">
        <f aca="false">IF(B112="","",IFERROR(INDEX('CLM &amp; IM Mapping'!$B$2:$B$270,MATCH(TRIM(B112),'CLM &amp; IM Mapping'!$A$2:$A$270,0)),"Not Mapped"))</f>
        <v>Sundaresh S</v>
      </c>
      <c r="D112" s="14" t="str">
        <f aca="false">IF(B112="","",IFERROR(INDEX('CLM &amp; IM Mapping'!$C$2:$C$270,MATCH(TRIM(B112),'CLM &amp; IM Mapping'!$A$2:$A$270,0)),"Not Mapped"))</f>
        <v>Un Mapped</v>
      </c>
      <c r="E112" s="18" t="n">
        <v>7</v>
      </c>
      <c r="F112" s="18" t="n">
        <v>50</v>
      </c>
      <c r="G112" s="18" t="n">
        <v>21</v>
      </c>
      <c r="H112" s="18" t="n">
        <v>12</v>
      </c>
      <c r="I112" s="18" t="n">
        <v>2</v>
      </c>
      <c r="J112" s="18" t="n">
        <v>30</v>
      </c>
      <c r="K112" s="18" t="n">
        <v>122</v>
      </c>
      <c r="L112" s="18" t="n">
        <v>122</v>
      </c>
    </row>
    <row r="113" customFormat="false" ht="15.75" hidden="false" customHeight="false" outlineLevel="0" collapsed="false">
      <c r="B113" s="18" t="s">
        <v>238</v>
      </c>
      <c r="C113" s="14" t="str">
        <f aca="false">IF(B113="","",IFERROR(INDEX('CLM &amp; IM Mapping'!$B$2:$B$270,MATCH(TRIM(B113),'CLM &amp; IM Mapping'!$A$2:$A$270,0)),"Not Mapped"))</f>
        <v>Bangareppa CS</v>
      </c>
      <c r="D113" s="14" t="str">
        <f aca="false">IF(B113="","",IFERROR(INDEX('CLM &amp; IM Mapping'!$C$2:$C$270,MATCH(TRIM(B113),'CLM &amp; IM Mapping'!$A$2:$A$270,0)),"Not Mapped"))</f>
        <v>Kishor K</v>
      </c>
      <c r="E113" s="18" t="n">
        <v>8</v>
      </c>
      <c r="F113" s="18" t="n">
        <v>16</v>
      </c>
      <c r="G113" s="18" t="n">
        <v>3</v>
      </c>
      <c r="H113" s="18" t="n">
        <v>21</v>
      </c>
      <c r="I113" s="18" t="n">
        <v>45</v>
      </c>
      <c r="J113" s="18" t="n">
        <v>26</v>
      </c>
      <c r="K113" s="18" t="n">
        <v>119</v>
      </c>
      <c r="L113" s="18" t="n">
        <v>117</v>
      </c>
    </row>
    <row r="114" customFormat="false" ht="15.75" hidden="false" customHeight="false" outlineLevel="0" collapsed="false">
      <c r="B114" s="18" t="s">
        <v>237</v>
      </c>
      <c r="C114" s="14" t="str">
        <f aca="false">IF(B114="","",IFERROR(INDEX('CLM &amp; IM Mapping'!$B$2:$B$270,MATCH(TRIM(B114),'CLM &amp; IM Mapping'!$A$2:$A$270,0)),"Not Mapped"))</f>
        <v>Ravishankar gowda</v>
      </c>
      <c r="D114" s="14" t="str">
        <f aca="false">IF(B114="","",IFERROR(INDEX('CLM &amp; IM Mapping'!$C$2:$C$270,MATCH(TRIM(B114),'CLM &amp; IM Mapping'!$A$2:$A$270,0)),"Not Mapped"))</f>
        <v>Kishor K</v>
      </c>
      <c r="E114" s="18" t="n">
        <v>15</v>
      </c>
      <c r="F114" s="18" t="n">
        <v>27</v>
      </c>
      <c r="G114" s="18" t="n">
        <v>2</v>
      </c>
      <c r="H114" s="18" t="n">
        <v>27</v>
      </c>
      <c r="I114" s="18" t="n">
        <v>0</v>
      </c>
      <c r="J114" s="18" t="n">
        <v>47</v>
      </c>
      <c r="K114" s="18" t="n">
        <v>118</v>
      </c>
      <c r="L114" s="18" t="n">
        <v>101</v>
      </c>
    </row>
    <row r="115" customFormat="false" ht="15.75" hidden="false" customHeight="false" outlineLevel="0" collapsed="false">
      <c r="B115" s="18" t="s">
        <v>263</v>
      </c>
      <c r="C115" s="14" t="str">
        <f aca="false">IF(B115="","",IFERROR(INDEX('CLM &amp; IM Mapping'!$B$2:$B$270,MATCH(TRIM(B115),'CLM &amp; IM Mapping'!$A$2:$A$270,0)),"Not Mapped"))</f>
        <v>Silambarasan E</v>
      </c>
      <c r="D115" s="14" t="str">
        <f aca="false">IF(B115="","",IFERROR(INDEX('CLM &amp; IM Mapping'!$C$2:$C$270,MATCH(TRIM(B115),'CLM &amp; IM Mapping'!$A$2:$A$270,0)),"Not Mapped"))</f>
        <v>Arivind S</v>
      </c>
      <c r="E115" s="18" t="n">
        <v>1</v>
      </c>
      <c r="F115" s="18" t="n">
        <v>5</v>
      </c>
      <c r="G115" s="18" t="n">
        <v>3</v>
      </c>
      <c r="H115" s="18" t="n">
        <v>33</v>
      </c>
      <c r="I115" s="18" t="n">
        <v>18</v>
      </c>
      <c r="J115" s="18" t="n">
        <v>56</v>
      </c>
      <c r="K115" s="18" t="n">
        <v>116</v>
      </c>
      <c r="L115" s="18" t="n">
        <v>105</v>
      </c>
    </row>
    <row r="116" customFormat="false" ht="15.75" hidden="false" customHeight="false" outlineLevel="0" collapsed="false">
      <c r="B116" s="18" t="s">
        <v>68</v>
      </c>
      <c r="C116" s="14" t="str">
        <f aca="false">IF(B116="","",IFERROR(INDEX('CLM &amp; IM Mapping'!$B$2:$B$270,MATCH(TRIM(B116),'CLM &amp; IM Mapping'!$A$2:$A$270,0)),"Not Mapped"))</f>
        <v>Silambarasan E</v>
      </c>
      <c r="D116" s="14" t="str">
        <f aca="false">IF(B116="","",IFERROR(INDEX('CLM &amp; IM Mapping'!$C$2:$C$270,MATCH(TRIM(B116),'CLM &amp; IM Mapping'!$A$2:$A$270,0)),"Not Mapped"))</f>
        <v>Arivind S</v>
      </c>
      <c r="E116" s="18" t="n">
        <v>0</v>
      </c>
      <c r="F116" s="18" t="n">
        <v>10</v>
      </c>
      <c r="G116" s="18" t="n">
        <v>3</v>
      </c>
      <c r="H116" s="18" t="n">
        <v>64</v>
      </c>
      <c r="I116" s="18" t="n">
        <v>25</v>
      </c>
      <c r="J116" s="18" t="n">
        <v>14</v>
      </c>
      <c r="K116" s="18" t="n">
        <v>116</v>
      </c>
      <c r="L116" s="18" t="n">
        <v>51</v>
      </c>
    </row>
    <row r="117" customFormat="false" ht="15.75" hidden="false" customHeight="false" outlineLevel="0" collapsed="false">
      <c r="B117" s="18" t="s">
        <v>174</v>
      </c>
      <c r="C117" s="14" t="str">
        <f aca="false">IF(B117="","",IFERROR(INDEX('CLM &amp; IM Mapping'!$B$2:$B$270,MATCH(TRIM(B117),'CLM &amp; IM Mapping'!$A$2:$A$270,0)),"Not Mapped"))</f>
        <v>Richard Harris</v>
      </c>
      <c r="D117" s="14" t="str">
        <f aca="false">IF(B117="","",IFERROR(INDEX('CLM &amp; IM Mapping'!$C$2:$C$270,MATCH(TRIM(B117),'CLM &amp; IM Mapping'!$A$2:$A$270,0)),"Not Mapped"))</f>
        <v>Kantha Kumar</v>
      </c>
      <c r="E117" s="18" t="n">
        <v>0</v>
      </c>
      <c r="F117" s="18" t="n">
        <v>38</v>
      </c>
      <c r="G117" s="18" t="n">
        <v>0</v>
      </c>
      <c r="H117" s="18" t="n">
        <v>75</v>
      </c>
      <c r="I117" s="18"/>
      <c r="J117" s="18" t="n">
        <v>0</v>
      </c>
      <c r="K117" s="18" t="n">
        <v>113</v>
      </c>
      <c r="L117" s="18" t="n">
        <v>103</v>
      </c>
    </row>
    <row r="118" customFormat="false" ht="15.75" hidden="false" customHeight="false" outlineLevel="0" collapsed="false">
      <c r="B118" s="18" t="s">
        <v>236</v>
      </c>
      <c r="C118" s="14" t="str">
        <f aca="false">IF(B118="","",IFERROR(INDEX('CLM &amp; IM Mapping'!$B$2:$B$270,MATCH(TRIM(B118),'CLM &amp; IM Mapping'!$A$2:$A$270,0)),"Not Mapped"))</f>
        <v>Balaji G</v>
      </c>
      <c r="D118" s="14" t="str">
        <f aca="false">IF(B118="","",IFERROR(INDEX('CLM &amp; IM Mapping'!$C$2:$C$270,MATCH(TRIM(B118),'CLM &amp; IM Mapping'!$A$2:$A$270,0)),"Not Mapped"))</f>
        <v>Mohammed Akbar</v>
      </c>
      <c r="E118" s="18" t="n">
        <v>26</v>
      </c>
      <c r="F118" s="18" t="n">
        <v>28</v>
      </c>
      <c r="G118" s="18" t="n">
        <v>4</v>
      </c>
      <c r="H118" s="18" t="n">
        <v>19</v>
      </c>
      <c r="I118" s="18" t="n">
        <v>6</v>
      </c>
      <c r="J118" s="18" t="n">
        <v>28</v>
      </c>
      <c r="K118" s="18" t="n">
        <v>111</v>
      </c>
      <c r="L118" s="18" t="n">
        <v>105</v>
      </c>
    </row>
    <row r="119" customFormat="false" ht="15.75" hidden="false" customHeight="false" outlineLevel="0" collapsed="false">
      <c r="B119" s="18" t="s">
        <v>123</v>
      </c>
      <c r="C119" s="14" t="str">
        <f aca="false">IF(B119="","",IFERROR(INDEX('CLM &amp; IM Mapping'!$B$2:$B$270,MATCH(TRIM(B119),'CLM &amp; IM Mapping'!$A$2:$A$270,0)),"Not Mapped"))</f>
        <v>Saddam Hussain</v>
      </c>
      <c r="D119" s="14" t="str">
        <f aca="false">IF(B119="","",IFERROR(INDEX('CLM &amp; IM Mapping'!$C$2:$C$270,MATCH(TRIM(B119),'CLM &amp; IM Mapping'!$A$2:$A$270,0)),"Not Mapped"))</f>
        <v>Un Mapped</v>
      </c>
      <c r="E119" s="18" t="n">
        <v>0</v>
      </c>
      <c r="F119" s="18" t="n">
        <v>19</v>
      </c>
      <c r="G119" s="18" t="n">
        <v>0</v>
      </c>
      <c r="H119" s="18" t="n">
        <v>27</v>
      </c>
      <c r="I119" s="18" t="n">
        <v>0</v>
      </c>
      <c r="J119" s="18" t="n">
        <v>65</v>
      </c>
      <c r="K119" s="18" t="n">
        <v>111</v>
      </c>
      <c r="L119" s="18" t="n">
        <v>111</v>
      </c>
    </row>
    <row r="120" customFormat="false" ht="15.75" hidden="false" customHeight="false" outlineLevel="0" collapsed="false">
      <c r="B120" s="18" t="s">
        <v>142</v>
      </c>
      <c r="C120" s="14" t="str">
        <f aca="false">IF(B120="","",IFERROR(INDEX('CLM &amp; IM Mapping'!$B$2:$B$270,MATCH(TRIM(B120),'CLM &amp; IM Mapping'!$A$2:$A$270,0)),"Not Mapped"))</f>
        <v>Girish N</v>
      </c>
      <c r="D120" s="14" t="str">
        <f aca="false">IF(B120="","",IFERROR(INDEX('CLM &amp; IM Mapping'!$C$2:$C$270,MATCH(TRIM(B120),'CLM &amp; IM Mapping'!$A$2:$A$270,0)),"Not Mapped"))</f>
        <v>Un Mapped</v>
      </c>
      <c r="E120" s="18" t="n">
        <v>1</v>
      </c>
      <c r="F120" s="18" t="n">
        <v>35</v>
      </c>
      <c r="G120" s="18" t="n">
        <v>2</v>
      </c>
      <c r="H120" s="18" t="n">
        <v>21</v>
      </c>
      <c r="I120" s="18" t="n">
        <v>1</v>
      </c>
      <c r="J120" s="18" t="n">
        <v>50</v>
      </c>
      <c r="K120" s="18" t="n">
        <v>110</v>
      </c>
      <c r="L120" s="18" t="n">
        <v>108</v>
      </c>
    </row>
    <row r="121" customFormat="false" ht="15.75" hidden="false" customHeight="false" outlineLevel="0" collapsed="false">
      <c r="B121" s="18" t="s">
        <v>69</v>
      </c>
      <c r="C121" s="14" t="str">
        <f aca="false">IF(B121="","",IFERROR(INDEX('CLM &amp; IM Mapping'!$B$2:$B$270,MATCH(TRIM(B121),'CLM &amp; IM Mapping'!$A$2:$A$270,0)),"Not Mapped"))</f>
        <v>Akshay P</v>
      </c>
      <c r="D121" s="14" t="str">
        <f aca="false">IF(B121="","",IFERROR(INDEX('CLM &amp; IM Mapping'!$C$2:$C$270,MATCH(TRIM(B121),'CLM &amp; IM Mapping'!$A$2:$A$270,0)),"Not Mapped"))</f>
        <v>Srittam Dhal</v>
      </c>
      <c r="E121" s="18" t="n">
        <v>22</v>
      </c>
      <c r="F121" s="18" t="n">
        <v>46</v>
      </c>
      <c r="G121" s="18" t="n">
        <v>8</v>
      </c>
      <c r="H121" s="18" t="n">
        <v>25</v>
      </c>
      <c r="I121" s="18" t="n">
        <v>8</v>
      </c>
      <c r="J121" s="18" t="n">
        <v>0</v>
      </c>
      <c r="K121" s="18" t="n">
        <v>109</v>
      </c>
      <c r="L121" s="18" t="n">
        <v>98</v>
      </c>
    </row>
    <row r="122" customFormat="false" ht="15.75" hidden="false" customHeight="false" outlineLevel="0" collapsed="false">
      <c r="B122" s="18" t="s">
        <v>222</v>
      </c>
      <c r="C122" s="14" t="str">
        <f aca="false">IF(B122="","",IFERROR(INDEX('CLM &amp; IM Mapping'!$B$2:$B$270,MATCH(TRIM(B122),'CLM &amp; IM Mapping'!$A$2:$A$270,0)),"Not Mapped"))</f>
        <v>Sundaresh S</v>
      </c>
      <c r="D122" s="14" t="str">
        <f aca="false">IF(B122="","",IFERROR(INDEX('CLM &amp; IM Mapping'!$C$2:$C$270,MATCH(TRIM(B122),'CLM &amp; IM Mapping'!$A$2:$A$270,0)),"Not Mapped"))</f>
        <v>Un Mapped</v>
      </c>
      <c r="E122" s="18" t="n">
        <v>0</v>
      </c>
      <c r="F122" s="18" t="n">
        <v>16</v>
      </c>
      <c r="G122" s="18" t="n">
        <v>1</v>
      </c>
      <c r="H122" s="18" t="n">
        <v>34</v>
      </c>
      <c r="I122" s="18" t="n">
        <v>26</v>
      </c>
      <c r="J122" s="18" t="n">
        <v>32</v>
      </c>
      <c r="K122" s="18" t="n">
        <v>109</v>
      </c>
      <c r="L122" s="18" t="n">
        <v>108</v>
      </c>
    </row>
    <row r="123" customFormat="false" ht="15.75" hidden="false" customHeight="false" outlineLevel="0" collapsed="false">
      <c r="B123" s="18" t="s">
        <v>89</v>
      </c>
      <c r="C123" s="14" t="str">
        <f aca="false">IF(B123="","",IFERROR(INDEX('CLM &amp; IM Mapping'!$B$2:$B$270,MATCH(TRIM(B123),'CLM &amp; IM Mapping'!$A$2:$A$270,0)),"Not Mapped"))</f>
        <v>Vishnu V</v>
      </c>
      <c r="D123" s="14" t="str">
        <f aca="false">IF(B123="","",IFERROR(INDEX('CLM &amp; IM Mapping'!$C$2:$C$270,MATCH(TRIM(B123),'CLM &amp; IM Mapping'!$A$2:$A$270,0)),"Not Mapped"))</f>
        <v>Arivind S</v>
      </c>
      <c r="E123" s="18" t="n">
        <v>5</v>
      </c>
      <c r="F123" s="18" t="n">
        <v>63</v>
      </c>
      <c r="G123" s="18" t="n">
        <v>36</v>
      </c>
      <c r="H123" s="18" t="n">
        <v>1</v>
      </c>
      <c r="I123" s="18" t="n">
        <v>1</v>
      </c>
      <c r="J123" s="18" t="n">
        <v>2</v>
      </c>
      <c r="K123" s="18" t="n">
        <v>108</v>
      </c>
      <c r="L123" s="18" t="n">
        <v>74</v>
      </c>
    </row>
    <row r="124" customFormat="false" ht="15.75" hidden="false" customHeight="false" outlineLevel="0" collapsed="false">
      <c r="B124" s="18" t="s">
        <v>100</v>
      </c>
      <c r="C124" s="14" t="str">
        <f aca="false">IF(B124="","",IFERROR(INDEX('CLM &amp; IM Mapping'!$B$2:$B$270,MATCH(TRIM(B124),'CLM &amp; IM Mapping'!$A$2:$A$270,0)),"Not Mapped"))</f>
        <v>Adhavan Subramani</v>
      </c>
      <c r="D124" s="14" t="str">
        <f aca="false">IF(B124="","",IFERROR(INDEX('CLM &amp; IM Mapping'!$C$2:$C$270,MATCH(TRIM(B124),'CLM &amp; IM Mapping'!$A$2:$A$270,0)),"Not Mapped"))</f>
        <v>Mohammed Akbar</v>
      </c>
      <c r="E124" s="18" t="n">
        <v>0</v>
      </c>
      <c r="F124" s="18" t="n">
        <v>1</v>
      </c>
      <c r="G124" s="18" t="n">
        <v>0</v>
      </c>
      <c r="H124" s="18" t="n">
        <v>40</v>
      </c>
      <c r="I124" s="18" t="n">
        <v>65</v>
      </c>
      <c r="J124" s="18" t="n">
        <v>0</v>
      </c>
      <c r="K124" s="18" t="n">
        <v>106</v>
      </c>
      <c r="L124" s="18" t="n">
        <v>106</v>
      </c>
    </row>
    <row r="125" customFormat="false" ht="15.75" hidden="false" customHeight="false" outlineLevel="0" collapsed="false">
      <c r="B125" s="18" t="s">
        <v>167</v>
      </c>
      <c r="C125" s="14" t="str">
        <f aca="false">IF(B125="","",IFERROR(INDEX('CLM &amp; IM Mapping'!$B$2:$B$270,MATCH(TRIM(B125),'CLM &amp; IM Mapping'!$A$2:$A$270,0)),"Not Mapped"))</f>
        <v>Rizwan Ahmed</v>
      </c>
      <c r="D125" s="14" t="str">
        <f aca="false">IF(B125="","",IFERROR(INDEX('CLM &amp; IM Mapping'!$C$2:$C$270,MATCH(TRIM(B125),'CLM &amp; IM Mapping'!$A$2:$A$270,0)),"Not Mapped"))</f>
        <v>Un Mapped</v>
      </c>
      <c r="E125" s="18" t="n">
        <v>0</v>
      </c>
      <c r="F125" s="18" t="n">
        <v>15</v>
      </c>
      <c r="G125" s="18"/>
      <c r="H125" s="18" t="n">
        <v>11</v>
      </c>
      <c r="I125" s="18" t="n">
        <v>24</v>
      </c>
      <c r="J125" s="18" t="n">
        <v>53</v>
      </c>
      <c r="K125" s="18" t="n">
        <v>103</v>
      </c>
      <c r="L125" s="18" t="n">
        <v>84</v>
      </c>
    </row>
    <row r="126" customFormat="false" ht="15.75" hidden="false" customHeight="false" outlineLevel="0" collapsed="false">
      <c r="B126" s="18" t="s">
        <v>278</v>
      </c>
      <c r="C126" s="14" t="str">
        <f aca="false">IF(B126="","",IFERROR(INDEX('CLM &amp; IM Mapping'!$B$2:$B$270,MATCH(TRIM(B126),'CLM &amp; IM Mapping'!$A$2:$A$270,0)),"Not Mapped"))</f>
        <v>Adhavan Subramani</v>
      </c>
      <c r="D126" s="14" t="str">
        <f aca="false">IF(B126="","",IFERROR(INDEX('CLM &amp; IM Mapping'!$C$2:$C$270,MATCH(TRIM(B126),'CLM &amp; IM Mapping'!$A$2:$A$270,0)),"Not Mapped"))</f>
        <v>Mohammed Akbar</v>
      </c>
      <c r="E126" s="18" t="n">
        <v>0</v>
      </c>
      <c r="F126" s="18" t="n">
        <v>0</v>
      </c>
      <c r="G126" s="18" t="n">
        <v>0</v>
      </c>
      <c r="H126" s="18" t="n">
        <v>42</v>
      </c>
      <c r="I126" s="18" t="n">
        <v>1</v>
      </c>
      <c r="J126" s="18" t="n">
        <v>60</v>
      </c>
      <c r="K126" s="18" t="n">
        <v>103</v>
      </c>
      <c r="L126" s="18" t="n">
        <v>96</v>
      </c>
    </row>
    <row r="127" customFormat="false" ht="15.75" hidden="false" customHeight="false" outlineLevel="0" collapsed="false">
      <c r="B127" s="18" t="s">
        <v>151</v>
      </c>
      <c r="C127" s="14" t="str">
        <f aca="false">IF(B127="","",IFERROR(INDEX('CLM &amp; IM Mapping'!$B$2:$B$270,MATCH(TRIM(B127),'CLM &amp; IM Mapping'!$A$2:$A$270,0)),"Not Mapped"))</f>
        <v>Manjunatha V</v>
      </c>
      <c r="D127" s="14" t="str">
        <f aca="false">IF(B127="","",IFERROR(INDEX('CLM &amp; IM Mapping'!$C$2:$C$270,MATCH(TRIM(B127),'CLM &amp; IM Mapping'!$A$2:$A$270,0)),"Not Mapped"))</f>
        <v>Un Mapped</v>
      </c>
      <c r="E127" s="18" t="n">
        <v>28</v>
      </c>
      <c r="F127" s="18" t="n">
        <v>39</v>
      </c>
      <c r="G127" s="18" t="n">
        <v>2</v>
      </c>
      <c r="H127" s="18" t="n">
        <v>8</v>
      </c>
      <c r="I127" s="18" t="n">
        <v>10</v>
      </c>
      <c r="J127" s="18" t="n">
        <v>12</v>
      </c>
      <c r="K127" s="18" t="n">
        <v>99</v>
      </c>
      <c r="L127" s="18" t="n">
        <v>77</v>
      </c>
    </row>
    <row r="128" customFormat="false" ht="15.75" hidden="false" customHeight="false" outlineLevel="0" collapsed="false">
      <c r="B128" s="18" t="s">
        <v>20</v>
      </c>
      <c r="C128" s="14" t="str">
        <f aca="false">IF(B128="","",IFERROR(INDEX('CLM &amp; IM Mapping'!$B$2:$B$270,MATCH(TRIM(B128),'CLM &amp; IM Mapping'!$A$2:$A$270,0)),"Not Mapped"))</f>
        <v>Vijay M</v>
      </c>
      <c r="D128" s="14" t="str">
        <f aca="false">IF(B128="","",IFERROR(INDEX('CLM &amp; IM Mapping'!$C$2:$C$270,MATCH(TRIM(B128),'CLM &amp; IM Mapping'!$A$2:$A$270,0)),"Not Mapped"))</f>
        <v>Kantha Kumar</v>
      </c>
      <c r="E128" s="18" t="n">
        <v>0</v>
      </c>
      <c r="F128" s="18" t="n">
        <v>11</v>
      </c>
      <c r="G128" s="18" t="n">
        <v>0</v>
      </c>
      <c r="H128" s="18" t="n">
        <v>43</v>
      </c>
      <c r="I128" s="18" t="n">
        <v>27</v>
      </c>
      <c r="J128" s="18" t="n">
        <v>18</v>
      </c>
      <c r="K128" s="18" t="n">
        <v>99</v>
      </c>
      <c r="L128" s="18" t="n">
        <v>99</v>
      </c>
    </row>
    <row r="129" customFormat="false" ht="15.75" hidden="false" customHeight="false" outlineLevel="0" collapsed="false">
      <c r="B129" s="18" t="s">
        <v>183</v>
      </c>
      <c r="C129" s="14" t="str">
        <f aca="false">IF(B129="","",IFERROR(INDEX('CLM &amp; IM Mapping'!$B$2:$B$270,MATCH(TRIM(B129),'CLM &amp; IM Mapping'!$A$2:$A$270,0)),"Not Mapped"))</f>
        <v>Ashwath S</v>
      </c>
      <c r="D129" s="14" t="str">
        <f aca="false">IF(B129="","",IFERROR(INDEX('CLM &amp; IM Mapping'!$C$2:$C$270,MATCH(TRIM(B129),'CLM &amp; IM Mapping'!$A$2:$A$270,0)),"Not Mapped"))</f>
        <v>Kantha Kumar</v>
      </c>
      <c r="E129" s="18" t="n">
        <v>2</v>
      </c>
      <c r="F129" s="18" t="n">
        <v>29</v>
      </c>
      <c r="G129" s="18" t="n">
        <v>11</v>
      </c>
      <c r="H129" s="18" t="n">
        <v>19</v>
      </c>
      <c r="I129" s="18" t="n">
        <v>15</v>
      </c>
      <c r="J129" s="18" t="n">
        <v>20</v>
      </c>
      <c r="K129" s="18" t="n">
        <v>96</v>
      </c>
      <c r="L129" s="18" t="n">
        <v>95</v>
      </c>
    </row>
    <row r="130" customFormat="false" ht="15.75" hidden="false" customHeight="false" outlineLevel="0" collapsed="false">
      <c r="B130" s="18" t="s">
        <v>274</v>
      </c>
      <c r="C130" s="14" t="str">
        <f aca="false">IF(B130="","",IFERROR(INDEX('CLM &amp; IM Mapping'!$B$2:$B$270,MATCH(TRIM(B130),'CLM &amp; IM Mapping'!$A$2:$A$270,0)),"Not Mapped"))</f>
        <v>Narasimhamurthy R</v>
      </c>
      <c r="D130" s="14" t="str">
        <f aca="false">IF(B130="","",IFERROR(INDEX('CLM &amp; IM Mapping'!$C$2:$C$270,MATCH(TRIM(B130),'CLM &amp; IM Mapping'!$A$2:$A$270,0)),"Not Mapped"))</f>
        <v>Kishor K</v>
      </c>
      <c r="E130" s="18" t="n">
        <v>11</v>
      </c>
      <c r="F130" s="18" t="n">
        <v>0</v>
      </c>
      <c r="G130" s="18" t="n">
        <v>0</v>
      </c>
      <c r="H130" s="18" t="n">
        <v>46</v>
      </c>
      <c r="I130" s="18" t="n">
        <v>29</v>
      </c>
      <c r="J130" s="18" t="n">
        <v>9</v>
      </c>
      <c r="K130" s="18" t="n">
        <v>95</v>
      </c>
      <c r="L130" s="18" t="n">
        <v>93</v>
      </c>
    </row>
    <row r="131" customFormat="false" ht="15.75" hidden="false" customHeight="false" outlineLevel="0" collapsed="false">
      <c r="B131" s="18" t="s">
        <v>29</v>
      </c>
      <c r="C131" s="14" t="str">
        <f aca="false">IF(B131="","",IFERROR(INDEX('CLM &amp; IM Mapping'!$B$2:$B$270,MATCH(TRIM(B131),'CLM &amp; IM Mapping'!$A$2:$A$270,0)),"Not Mapped"))</f>
        <v>Rizwan Ahmed</v>
      </c>
      <c r="D131" s="14" t="str">
        <f aca="false">IF(B131="","",IFERROR(INDEX('CLM &amp; IM Mapping'!$C$2:$C$270,MATCH(TRIM(B131),'CLM &amp; IM Mapping'!$A$2:$A$270,0)),"Not Mapped"))</f>
        <v>Un Mapped</v>
      </c>
      <c r="E131" s="18" t="n">
        <v>4</v>
      </c>
      <c r="F131" s="18" t="n">
        <v>26</v>
      </c>
      <c r="G131" s="18" t="n">
        <v>0</v>
      </c>
      <c r="H131" s="18" t="n">
        <v>52</v>
      </c>
      <c r="I131" s="18" t="n">
        <v>6</v>
      </c>
      <c r="J131" s="18" t="n">
        <v>7</v>
      </c>
      <c r="K131" s="18" t="n">
        <v>95</v>
      </c>
      <c r="L131" s="18" t="n">
        <v>83</v>
      </c>
    </row>
    <row r="132" customFormat="false" ht="15.75" hidden="false" customHeight="false" outlineLevel="0" collapsed="false">
      <c r="B132" s="18" t="s">
        <v>55</v>
      </c>
      <c r="C132" s="14" t="str">
        <f aca="false">IF(B132="","",IFERROR(INDEX('CLM &amp; IM Mapping'!$B$2:$B$270,MATCH(TRIM(B132),'CLM &amp; IM Mapping'!$A$2:$A$270,0)),"Not Mapped"))</f>
        <v>Suhas N</v>
      </c>
      <c r="D132" s="14" t="str">
        <f aca="false">IF(B132="","",IFERROR(INDEX('CLM &amp; IM Mapping'!$C$2:$C$270,MATCH(TRIM(B132),'CLM &amp; IM Mapping'!$A$2:$A$270,0)),"Not Mapped"))</f>
        <v>Aravind S</v>
      </c>
      <c r="E132" s="18" t="n">
        <v>0</v>
      </c>
      <c r="F132" s="18" t="n">
        <v>77</v>
      </c>
      <c r="G132" s="18" t="n">
        <v>0</v>
      </c>
      <c r="H132" s="18" t="n">
        <v>12</v>
      </c>
      <c r="I132" s="18" t="n">
        <v>6</v>
      </c>
      <c r="J132" s="18" t="n">
        <v>0</v>
      </c>
      <c r="K132" s="18" t="n">
        <v>95</v>
      </c>
      <c r="L132" s="18" t="n">
        <v>95</v>
      </c>
    </row>
    <row r="133" customFormat="false" ht="15.75" hidden="false" customHeight="false" outlineLevel="0" collapsed="false">
      <c r="B133" s="18" t="s">
        <v>66</v>
      </c>
      <c r="C133" s="14" t="str">
        <f aca="false">IF(B133="","",IFERROR(INDEX('CLM &amp; IM Mapping'!$B$2:$B$270,MATCH(TRIM(B133),'CLM &amp; IM Mapping'!$A$2:$A$270,0)),"Not Mapped"))</f>
        <v>Narasimhamurthy R</v>
      </c>
      <c r="D133" s="14" t="str">
        <f aca="false">IF(B133="","",IFERROR(INDEX('CLM &amp; IM Mapping'!$C$2:$C$270,MATCH(TRIM(B133),'CLM &amp; IM Mapping'!$A$2:$A$270,0)),"Not Mapped"))</f>
        <v>Kishor K</v>
      </c>
      <c r="E133" s="18" t="n">
        <v>21</v>
      </c>
      <c r="F133" s="18" t="n">
        <v>14</v>
      </c>
      <c r="G133" s="18" t="n">
        <v>8</v>
      </c>
      <c r="H133" s="18" t="n">
        <v>3</v>
      </c>
      <c r="I133" s="18" t="n">
        <v>10</v>
      </c>
      <c r="J133" s="18" t="n">
        <v>39</v>
      </c>
      <c r="K133" s="18" t="n">
        <v>95</v>
      </c>
      <c r="L133" s="18" t="n">
        <v>95</v>
      </c>
    </row>
    <row r="134" customFormat="false" ht="15.75" hidden="false" customHeight="false" outlineLevel="0" collapsed="false">
      <c r="B134" s="18" t="s">
        <v>244</v>
      </c>
      <c r="C134" s="14" t="str">
        <f aca="false">IF(B134="","",IFERROR(INDEX('CLM &amp; IM Mapping'!$B$2:$B$270,MATCH(TRIM(B134),'CLM &amp; IM Mapping'!$A$2:$A$270,0)),"Not Mapped"))</f>
        <v>Balaji G</v>
      </c>
      <c r="D134" s="14" t="str">
        <f aca="false">IF(B134="","",IFERROR(INDEX('CLM &amp; IM Mapping'!$C$2:$C$270,MATCH(TRIM(B134),'CLM &amp; IM Mapping'!$A$2:$A$270,0)),"Not Mapped"))</f>
        <v>Mohammed Akbar</v>
      </c>
      <c r="E134" s="18" t="n">
        <v>0</v>
      </c>
      <c r="F134" s="18" t="n">
        <v>0</v>
      </c>
      <c r="G134" s="18" t="n">
        <v>0</v>
      </c>
      <c r="H134" s="18" t="n">
        <v>19</v>
      </c>
      <c r="I134" s="18" t="n">
        <v>13</v>
      </c>
      <c r="J134" s="18" t="n">
        <v>62</v>
      </c>
      <c r="K134" s="18" t="n">
        <v>94</v>
      </c>
      <c r="L134" s="18" t="n">
        <v>90</v>
      </c>
    </row>
    <row r="135" customFormat="false" ht="15.75" hidden="false" customHeight="false" outlineLevel="0" collapsed="false">
      <c r="B135" s="18" t="s">
        <v>38</v>
      </c>
      <c r="C135" s="14" t="str">
        <f aca="false">IF(B135="","",IFERROR(INDEX('CLM &amp; IM Mapping'!$B$2:$B$270,MATCH(TRIM(B135),'CLM &amp; IM Mapping'!$A$2:$A$270,0)),"Not Mapped"))</f>
        <v>Saddam Hussain</v>
      </c>
      <c r="D135" s="14" t="str">
        <f aca="false">IF(B135="","",IFERROR(INDEX('CLM &amp; IM Mapping'!$C$2:$C$270,MATCH(TRIM(B135),'CLM &amp; IM Mapping'!$A$2:$A$270,0)),"Not Mapped"))</f>
        <v>Un Mapped</v>
      </c>
      <c r="E135" s="18" t="n">
        <v>5</v>
      </c>
      <c r="F135" s="18" t="n">
        <v>19</v>
      </c>
      <c r="G135" s="18" t="n">
        <v>47</v>
      </c>
      <c r="H135" s="18" t="n">
        <v>8</v>
      </c>
      <c r="I135" s="18" t="n">
        <v>14</v>
      </c>
      <c r="J135" s="18" t="n">
        <v>1</v>
      </c>
      <c r="K135" s="18" t="n">
        <v>94</v>
      </c>
      <c r="L135" s="18" t="n">
        <v>93</v>
      </c>
    </row>
    <row r="136" customFormat="false" ht="15.75" hidden="false" customHeight="false" outlineLevel="0" collapsed="false">
      <c r="B136" s="18" t="s">
        <v>75</v>
      </c>
      <c r="C136" s="14" t="str">
        <f aca="false">IF(B136="","",IFERROR(INDEX('CLM &amp; IM Mapping'!$B$2:$B$270,MATCH(TRIM(B136),'CLM &amp; IM Mapping'!$A$2:$A$270,0)),"Not Mapped"))</f>
        <v>Akshay P</v>
      </c>
      <c r="D136" s="14" t="str">
        <f aca="false">IF(B136="","",IFERROR(INDEX('CLM &amp; IM Mapping'!$C$2:$C$270,MATCH(TRIM(B136),'CLM &amp; IM Mapping'!$A$2:$A$270,0)),"Not Mapped"))</f>
        <v>Srittam Dhal</v>
      </c>
      <c r="E136" s="18" t="n">
        <v>0</v>
      </c>
      <c r="F136" s="18" t="n">
        <v>7</v>
      </c>
      <c r="G136" s="18" t="n">
        <v>0</v>
      </c>
      <c r="H136" s="18" t="n">
        <v>22</v>
      </c>
      <c r="I136" s="18" t="n">
        <v>29</v>
      </c>
      <c r="J136" s="18" t="n">
        <v>35</v>
      </c>
      <c r="K136" s="18" t="n">
        <v>93</v>
      </c>
      <c r="L136" s="18" t="n">
        <v>93</v>
      </c>
    </row>
    <row r="137" customFormat="false" ht="15.75" hidden="false" customHeight="false" outlineLevel="0" collapsed="false">
      <c r="B137" s="18" t="s">
        <v>232</v>
      </c>
      <c r="C137" s="14" t="str">
        <f aca="false">IF(B137="","",IFERROR(INDEX('CLM &amp; IM Mapping'!$B$2:$B$270,MATCH(TRIM(B137),'CLM &amp; IM Mapping'!$A$2:$A$270,0)),"Not Mapped"))</f>
        <v>Sundaresh S</v>
      </c>
      <c r="D137" s="14" t="str">
        <f aca="false">IF(B137="","",IFERROR(INDEX('CLM &amp; IM Mapping'!$C$2:$C$270,MATCH(TRIM(B137),'CLM &amp; IM Mapping'!$A$2:$A$270,0)),"Not Mapped"))</f>
        <v>Un Mapped</v>
      </c>
      <c r="E137" s="18" t="n">
        <v>48</v>
      </c>
      <c r="F137" s="18" t="n">
        <v>18</v>
      </c>
      <c r="G137" s="18" t="n">
        <v>0</v>
      </c>
      <c r="H137" s="18" t="n">
        <v>1</v>
      </c>
      <c r="I137" s="18" t="n">
        <v>0</v>
      </c>
      <c r="J137" s="18" t="n">
        <v>24</v>
      </c>
      <c r="K137" s="18" t="n">
        <v>91</v>
      </c>
      <c r="L137" s="18" t="n">
        <v>91</v>
      </c>
    </row>
    <row r="138" customFormat="false" ht="15.75" hidden="false" customHeight="false" outlineLevel="0" collapsed="false">
      <c r="B138" s="18" t="s">
        <v>154</v>
      </c>
      <c r="C138" s="14" t="str">
        <f aca="false">IF(B138="","",IFERROR(INDEX('CLM &amp; IM Mapping'!$B$2:$B$270,MATCH(TRIM(B138),'CLM &amp; IM Mapping'!$A$2:$A$270,0)),"Not Mapped"))</f>
        <v>Manoj Kj</v>
      </c>
      <c r="D138" s="14" t="str">
        <f aca="false">IF(B138="","",IFERROR(INDEX('CLM &amp; IM Mapping'!$C$2:$C$270,MATCH(TRIM(B138),'CLM &amp; IM Mapping'!$A$2:$A$270,0)),"Not Mapped"))</f>
        <v>Srittam Dhal</v>
      </c>
      <c r="E138" s="18" t="n">
        <v>16</v>
      </c>
      <c r="F138" s="18" t="n">
        <v>4</v>
      </c>
      <c r="G138" s="18" t="n">
        <v>4</v>
      </c>
      <c r="H138" s="18" t="n">
        <v>21</v>
      </c>
      <c r="I138" s="18" t="n">
        <v>6</v>
      </c>
      <c r="J138" s="18" t="n">
        <v>39</v>
      </c>
      <c r="K138" s="18" t="n">
        <v>90</v>
      </c>
      <c r="L138" s="18" t="n">
        <v>90</v>
      </c>
    </row>
    <row r="139" customFormat="false" ht="15.75" hidden="false" customHeight="false" outlineLevel="0" collapsed="false">
      <c r="B139" s="18" t="s">
        <v>192</v>
      </c>
      <c r="C139" s="14" t="str">
        <f aca="false">IF(B139="","",IFERROR(INDEX('CLM &amp; IM Mapping'!$B$2:$B$270,MATCH(TRIM(B139),'CLM &amp; IM Mapping'!$A$2:$A$270,0)),"Not Mapped"))</f>
        <v>Raghavendra Vernekar</v>
      </c>
      <c r="D139" s="14" t="str">
        <f aca="false">IF(B139="","",IFERROR(INDEX('CLM &amp; IM Mapping'!$C$2:$C$270,MATCH(TRIM(B139),'CLM &amp; IM Mapping'!$A$2:$A$270,0)),"Not Mapped"))</f>
        <v>Prakash BS</v>
      </c>
      <c r="E139" s="18" t="n">
        <v>3</v>
      </c>
      <c r="F139" s="18" t="n">
        <v>15</v>
      </c>
      <c r="G139" s="18" t="n">
        <v>0</v>
      </c>
      <c r="H139" s="18" t="n">
        <v>28</v>
      </c>
      <c r="I139" s="18" t="n">
        <v>14</v>
      </c>
      <c r="J139" s="18" t="n">
        <v>30</v>
      </c>
      <c r="K139" s="18" t="n">
        <v>90</v>
      </c>
      <c r="L139" s="18" t="n">
        <v>90</v>
      </c>
    </row>
    <row r="140" customFormat="false" ht="15.75" hidden="false" customHeight="false" outlineLevel="0" collapsed="false">
      <c r="B140" s="18" t="s">
        <v>198</v>
      </c>
      <c r="C140" s="14" t="str">
        <f aca="false">IF(B140="","",IFERROR(INDEX('CLM &amp; IM Mapping'!$B$2:$B$270,MATCH(TRIM(B140),'CLM &amp; IM Mapping'!$A$2:$A$270,0)),"Not Mapped"))</f>
        <v>Girish N</v>
      </c>
      <c r="D140" s="14" t="str">
        <f aca="false">IF(B140="","",IFERROR(INDEX('CLM &amp; IM Mapping'!$C$2:$C$270,MATCH(TRIM(B140),'CLM &amp; IM Mapping'!$A$2:$A$270,0)),"Not Mapped"))</f>
        <v>Un Mapped</v>
      </c>
      <c r="E140" s="18" t="n">
        <v>0</v>
      </c>
      <c r="F140" s="18" t="n">
        <v>3</v>
      </c>
      <c r="G140" s="18" t="n">
        <v>0</v>
      </c>
      <c r="H140" s="18" t="n">
        <v>30</v>
      </c>
      <c r="I140" s="18" t="n">
        <v>1</v>
      </c>
      <c r="J140" s="18" t="n">
        <v>55</v>
      </c>
      <c r="K140" s="18" t="n">
        <v>89</v>
      </c>
      <c r="L140" s="18" t="n">
        <v>89</v>
      </c>
    </row>
    <row r="141" customFormat="false" ht="15.75" hidden="false" customHeight="false" outlineLevel="0" collapsed="false">
      <c r="B141" s="18" t="s">
        <v>72</v>
      </c>
      <c r="C141" s="14" t="str">
        <f aca="false">IF(B141="","",IFERROR(INDEX('CLM &amp; IM Mapping'!$B$2:$B$270,MATCH(TRIM(B141),'CLM &amp; IM Mapping'!$A$2:$A$270,0)),"Not Mapped"))</f>
        <v>Basil Scariya</v>
      </c>
      <c r="D141" s="14" t="str">
        <f aca="false">IF(B141="","",IFERROR(INDEX('CLM &amp; IM Mapping'!$C$2:$C$270,MATCH(TRIM(B141),'CLM &amp; IM Mapping'!$A$2:$A$270,0)),"Not Mapped"))</f>
        <v>Prakash BS</v>
      </c>
      <c r="E141" s="18" t="n">
        <v>18</v>
      </c>
      <c r="F141" s="18" t="n">
        <v>5</v>
      </c>
      <c r="G141" s="18" t="n">
        <v>0</v>
      </c>
      <c r="H141" s="18" t="n">
        <v>26</v>
      </c>
      <c r="I141" s="18"/>
      <c r="J141" s="18" t="n">
        <v>38</v>
      </c>
      <c r="K141" s="18" t="n">
        <v>87</v>
      </c>
      <c r="L141" s="18" t="n">
        <v>80</v>
      </c>
    </row>
    <row r="142" customFormat="false" ht="15.75" hidden="false" customHeight="false" outlineLevel="0" collapsed="false">
      <c r="B142" s="18" t="s">
        <v>223</v>
      </c>
      <c r="C142" s="14" t="str">
        <f aca="false">IF(B142="","",IFERROR(INDEX('CLM &amp; IM Mapping'!$B$2:$B$270,MATCH(TRIM(B142),'CLM &amp; IM Mapping'!$A$2:$A$270,0)),"Not Mapped"))</f>
        <v>Suhas N</v>
      </c>
      <c r="D142" s="14" t="str">
        <f aca="false">IF(B142="","",IFERROR(INDEX('CLM &amp; IM Mapping'!$C$2:$C$270,MATCH(TRIM(B142),'CLM &amp; IM Mapping'!$A$2:$A$270,0)),"Not Mapped"))</f>
        <v>Aravind S</v>
      </c>
      <c r="E142" s="18" t="n">
        <v>22</v>
      </c>
      <c r="F142" s="18" t="n">
        <v>25</v>
      </c>
      <c r="G142" s="18" t="n">
        <v>0</v>
      </c>
      <c r="H142" s="18" t="n">
        <v>29</v>
      </c>
      <c r="I142" s="18" t="n">
        <v>0</v>
      </c>
      <c r="J142" s="18" t="n">
        <v>10</v>
      </c>
      <c r="K142" s="18" t="n">
        <v>86</v>
      </c>
      <c r="L142" s="18" t="n">
        <v>64</v>
      </c>
    </row>
    <row r="143" customFormat="false" ht="15.75" hidden="false" customHeight="false" outlineLevel="0" collapsed="false">
      <c r="B143" s="18" t="s">
        <v>48</v>
      </c>
      <c r="C143" s="14" t="str">
        <f aca="false">IF(B143="","",IFERROR(INDEX('CLM &amp; IM Mapping'!$B$2:$B$270,MATCH(TRIM(B143),'CLM &amp; IM Mapping'!$A$2:$A$270,0)),"Not Mapped"))</f>
        <v>John Britto</v>
      </c>
      <c r="D143" s="14" t="str">
        <f aca="false">IF(B143="","",IFERROR(INDEX('CLM &amp; IM Mapping'!$C$2:$C$270,MATCH(TRIM(B143),'CLM &amp; IM Mapping'!$A$2:$A$270,0)),"Not Mapped"))</f>
        <v>Aravind S</v>
      </c>
      <c r="E143" s="18" t="n">
        <v>0</v>
      </c>
      <c r="F143" s="18" t="n">
        <v>56</v>
      </c>
      <c r="G143" s="18" t="n">
        <v>0</v>
      </c>
      <c r="H143" s="18" t="n">
        <v>4</v>
      </c>
      <c r="I143" s="18" t="n">
        <v>24</v>
      </c>
      <c r="J143" s="18" t="n">
        <v>0</v>
      </c>
      <c r="K143" s="18" t="n">
        <v>84</v>
      </c>
      <c r="L143" s="18" t="n">
        <v>82</v>
      </c>
    </row>
    <row r="144" customFormat="false" ht="15.75" hidden="false" customHeight="false" outlineLevel="0" collapsed="false">
      <c r="B144" s="18" t="s">
        <v>279</v>
      </c>
      <c r="C144" s="14" t="str">
        <f aca="false">IF(B144="","",IFERROR(INDEX('CLM &amp; IM Mapping'!$B$2:$B$270,MATCH(TRIM(B144),'CLM &amp; IM Mapping'!$A$2:$A$270,0)),"Not Mapped"))</f>
        <v>Balaji G</v>
      </c>
      <c r="D144" s="14" t="str">
        <f aca="false">IF(B144="","",IFERROR(INDEX('CLM &amp; IM Mapping'!$C$2:$C$270,MATCH(TRIM(B144),'CLM &amp; IM Mapping'!$A$2:$A$270,0)),"Not Mapped"))</f>
        <v>Mohammed Akbar</v>
      </c>
      <c r="E144" s="18" t="n">
        <v>0</v>
      </c>
      <c r="F144" s="18" t="n">
        <v>0</v>
      </c>
      <c r="G144" s="18" t="n">
        <v>0</v>
      </c>
      <c r="H144" s="18" t="n">
        <v>2</v>
      </c>
      <c r="I144" s="18" t="n">
        <v>30</v>
      </c>
      <c r="J144" s="18" t="n">
        <v>50</v>
      </c>
      <c r="K144" s="18" t="n">
        <v>82</v>
      </c>
      <c r="L144" s="18" t="n">
        <v>82</v>
      </c>
    </row>
    <row r="145" customFormat="false" ht="15.75" hidden="false" customHeight="false" outlineLevel="0" collapsed="false">
      <c r="B145" s="18" t="s">
        <v>73</v>
      </c>
      <c r="C145" s="14" t="str">
        <f aca="false">IF(B145="","",IFERROR(INDEX('CLM &amp; IM Mapping'!$B$2:$B$270,MATCH(TRIM(B145),'CLM &amp; IM Mapping'!$A$2:$A$270,0)),"Not Mapped"))</f>
        <v>Rizwan Ahmed</v>
      </c>
      <c r="D145" s="14" t="str">
        <f aca="false">IF(B145="","",IFERROR(INDEX('CLM &amp; IM Mapping'!$C$2:$C$270,MATCH(TRIM(B145),'CLM &amp; IM Mapping'!$A$2:$A$270,0)),"Not Mapped"))</f>
        <v>Un Mapped</v>
      </c>
      <c r="E145" s="18" t="n">
        <v>15</v>
      </c>
      <c r="F145" s="18" t="n">
        <v>35</v>
      </c>
      <c r="G145" s="18" t="n">
        <v>19</v>
      </c>
      <c r="H145" s="18" t="n">
        <v>13</v>
      </c>
      <c r="I145" s="18" t="n">
        <v>0</v>
      </c>
      <c r="J145" s="18" t="n">
        <v>0</v>
      </c>
      <c r="K145" s="18" t="n">
        <v>82</v>
      </c>
      <c r="L145" s="18" t="n">
        <v>55</v>
      </c>
    </row>
    <row r="146" customFormat="false" ht="15.75" hidden="false" customHeight="false" outlineLevel="0" collapsed="false">
      <c r="B146" s="18" t="s">
        <v>115</v>
      </c>
      <c r="C146" s="14" t="str">
        <f aca="false">IF(B146="","",IFERROR(INDEX('CLM &amp; IM Mapping'!$B$2:$B$270,MATCH(TRIM(B146),'CLM &amp; IM Mapping'!$A$2:$A$270,0)),"Not Mapped"))</f>
        <v>Bangareppa CS</v>
      </c>
      <c r="D146" s="14" t="str">
        <f aca="false">IF(B146="","",IFERROR(INDEX('CLM &amp; IM Mapping'!$C$2:$C$270,MATCH(TRIM(B146),'CLM &amp; IM Mapping'!$A$2:$A$270,0)),"Not Mapped"))</f>
        <v>Kishor K</v>
      </c>
      <c r="E146" s="18" t="n">
        <v>0</v>
      </c>
      <c r="F146" s="18" t="n">
        <v>14</v>
      </c>
      <c r="G146" s="18" t="n">
        <v>14</v>
      </c>
      <c r="H146" s="18" t="n">
        <v>10</v>
      </c>
      <c r="I146" s="18" t="n">
        <v>12</v>
      </c>
      <c r="J146" s="18" t="n">
        <v>31</v>
      </c>
      <c r="K146" s="18" t="n">
        <v>81</v>
      </c>
      <c r="L146" s="18" t="n">
        <v>80</v>
      </c>
    </row>
    <row r="147" customFormat="false" ht="15.75" hidden="false" customHeight="false" outlineLevel="0" collapsed="false">
      <c r="B147" s="18" t="s">
        <v>190</v>
      </c>
      <c r="C147" s="14" t="str">
        <f aca="false">IF(B147="","",IFERROR(INDEX('CLM &amp; IM Mapping'!$B$2:$B$270,MATCH(TRIM(B147),'CLM &amp; IM Mapping'!$A$2:$A$270,0)),"Not Mapped"))</f>
        <v>Girish N</v>
      </c>
      <c r="D147" s="14" t="str">
        <f aca="false">IF(B147="","",IFERROR(INDEX('CLM &amp; IM Mapping'!$C$2:$C$270,MATCH(TRIM(B147),'CLM &amp; IM Mapping'!$A$2:$A$270,0)),"Not Mapped"))</f>
        <v>Un Mapped</v>
      </c>
      <c r="E147" s="18" t="n">
        <v>0</v>
      </c>
      <c r="F147" s="18" t="n">
        <v>7</v>
      </c>
      <c r="G147" s="18" t="n">
        <v>9</v>
      </c>
      <c r="H147" s="18" t="n">
        <v>50</v>
      </c>
      <c r="I147" s="18" t="n">
        <v>0</v>
      </c>
      <c r="J147" s="18" t="n">
        <v>14</v>
      </c>
      <c r="K147" s="18" t="n">
        <v>80</v>
      </c>
      <c r="L147" s="18" t="n">
        <v>80</v>
      </c>
    </row>
    <row r="148" customFormat="false" ht="15.75" hidden="false" customHeight="false" outlineLevel="0" collapsed="false">
      <c r="B148" s="18" t="s">
        <v>65</v>
      </c>
      <c r="C148" s="14" t="str">
        <f aca="false">IF(B148="","",IFERROR(INDEX('CLM &amp; IM Mapping'!$B$2:$B$270,MATCH(TRIM(B148),'CLM &amp; IM Mapping'!$A$2:$A$270,0)),"Not Mapped"))</f>
        <v>Rizwan Ahmed</v>
      </c>
      <c r="D148" s="14" t="str">
        <f aca="false">IF(B148="","",IFERROR(INDEX('CLM &amp; IM Mapping'!$C$2:$C$270,MATCH(TRIM(B148),'CLM &amp; IM Mapping'!$A$2:$A$270,0)),"Not Mapped"))</f>
        <v>Un Mapped</v>
      </c>
      <c r="E148" s="18" t="n">
        <v>1</v>
      </c>
      <c r="F148" s="18" t="n">
        <v>3</v>
      </c>
      <c r="G148" s="18" t="n">
        <v>0</v>
      </c>
      <c r="H148" s="18" t="n">
        <v>9</v>
      </c>
      <c r="I148" s="18" t="n">
        <v>19</v>
      </c>
      <c r="J148" s="18" t="n">
        <v>48</v>
      </c>
      <c r="K148" s="18" t="n">
        <v>80</v>
      </c>
      <c r="L148" s="18" t="n">
        <v>79</v>
      </c>
    </row>
    <row r="149" customFormat="false" ht="15.75" hidden="false" customHeight="false" outlineLevel="0" collapsed="false">
      <c r="B149" s="18" t="s">
        <v>54</v>
      </c>
      <c r="C149" s="14" t="str">
        <f aca="false">IF(B149="","",IFERROR(INDEX('CLM &amp; IM Mapping'!$B$2:$B$270,MATCH(TRIM(B149),'CLM &amp; IM Mapping'!$A$2:$A$270,0)),"Not Mapped"))</f>
        <v>Manoj Kj</v>
      </c>
      <c r="D149" s="14" t="str">
        <f aca="false">IF(B149="","",IFERROR(INDEX('CLM &amp; IM Mapping'!$C$2:$C$270,MATCH(TRIM(B149),'CLM &amp; IM Mapping'!$A$2:$A$270,0)),"Not Mapped"))</f>
        <v>Srittam Dhal</v>
      </c>
      <c r="E149" s="18" t="n">
        <v>0</v>
      </c>
      <c r="F149" s="18" t="n">
        <v>1</v>
      </c>
      <c r="G149" s="18" t="n">
        <v>0</v>
      </c>
      <c r="H149" s="18" t="n">
        <v>8</v>
      </c>
      <c r="I149" s="18" t="n">
        <v>17</v>
      </c>
      <c r="J149" s="18" t="n">
        <v>53</v>
      </c>
      <c r="K149" s="18" t="n">
        <v>79</v>
      </c>
      <c r="L149" s="18" t="n">
        <v>79</v>
      </c>
    </row>
    <row r="150" customFormat="false" ht="15.75" hidden="false" customHeight="false" outlineLevel="0" collapsed="false">
      <c r="B150" s="18" t="s">
        <v>91</v>
      </c>
      <c r="C150" s="14" t="str">
        <f aca="false">IF(B150="","",IFERROR(INDEX('CLM &amp; IM Mapping'!$B$2:$B$270,MATCH(TRIM(B150),'CLM &amp; IM Mapping'!$A$2:$A$270,0)),"Not Mapped"))</f>
        <v>Manoj Kj</v>
      </c>
      <c r="D150" s="14" t="str">
        <f aca="false">IF(B150="","",IFERROR(INDEX('CLM &amp; IM Mapping'!$C$2:$C$270,MATCH(TRIM(B150),'CLM &amp; IM Mapping'!$A$2:$A$270,0)),"Not Mapped"))</f>
        <v>Srittam Dhal</v>
      </c>
      <c r="E150" s="18" t="n">
        <v>0</v>
      </c>
      <c r="F150" s="18" t="n">
        <v>1</v>
      </c>
      <c r="G150" s="18" t="n">
        <v>0</v>
      </c>
      <c r="H150" s="18" t="n">
        <v>24</v>
      </c>
      <c r="I150" s="18" t="n">
        <v>54</v>
      </c>
      <c r="J150" s="18" t="n">
        <v>0</v>
      </c>
      <c r="K150" s="18" t="n">
        <v>79</v>
      </c>
      <c r="L150" s="18"/>
    </row>
    <row r="151" customFormat="false" ht="15.75" hidden="false" customHeight="false" outlineLevel="0" collapsed="false">
      <c r="B151" s="18" t="s">
        <v>267</v>
      </c>
      <c r="C151" s="14" t="str">
        <f aca="false">IF(B151="","",IFERROR(INDEX('CLM &amp; IM Mapping'!$B$2:$B$270,MATCH(TRIM(B151),'CLM &amp; IM Mapping'!$A$2:$A$270,0)),"Not Mapped"))</f>
        <v>Suhas N</v>
      </c>
      <c r="D151" s="14" t="str">
        <f aca="false">IF(B151="","",IFERROR(INDEX('CLM &amp; IM Mapping'!$C$2:$C$270,MATCH(TRIM(B151),'CLM &amp; IM Mapping'!$A$2:$A$270,0)),"Not Mapped"))</f>
        <v>Aravind S</v>
      </c>
      <c r="E151" s="18" t="n">
        <v>6</v>
      </c>
      <c r="F151" s="18" t="n">
        <v>52</v>
      </c>
      <c r="G151" s="18" t="n">
        <v>13</v>
      </c>
      <c r="H151" s="18" t="n">
        <v>1</v>
      </c>
      <c r="I151" s="18" t="n">
        <v>0</v>
      </c>
      <c r="J151" s="18" t="n">
        <v>7</v>
      </c>
      <c r="K151" s="18" t="n">
        <v>79</v>
      </c>
      <c r="L151" s="18" t="n">
        <v>78</v>
      </c>
    </row>
    <row r="152" customFormat="false" ht="15.75" hidden="false" customHeight="false" outlineLevel="0" collapsed="false">
      <c r="B152" s="18" t="s">
        <v>122</v>
      </c>
      <c r="C152" s="14" t="str">
        <f aca="false">IF(B152="","",IFERROR(INDEX('CLM &amp; IM Mapping'!$B$2:$B$270,MATCH(TRIM(B152),'CLM &amp; IM Mapping'!$A$2:$A$270,0)),"Not Mapped"))</f>
        <v>Adhavan Subramani</v>
      </c>
      <c r="D152" s="14" t="str">
        <f aca="false">IF(B152="","",IFERROR(INDEX('CLM &amp; IM Mapping'!$C$2:$C$270,MATCH(TRIM(B152),'CLM &amp; IM Mapping'!$A$2:$A$270,0)),"Not Mapped"))</f>
        <v>Mohammed Akbar</v>
      </c>
      <c r="E152" s="18" t="n">
        <v>28</v>
      </c>
      <c r="F152" s="18" t="n">
        <v>14</v>
      </c>
      <c r="G152" s="18" t="n">
        <v>0</v>
      </c>
      <c r="H152" s="18" t="n">
        <v>9</v>
      </c>
      <c r="I152" s="18" t="n">
        <v>22</v>
      </c>
      <c r="J152" s="18" t="n">
        <v>4</v>
      </c>
      <c r="K152" s="18" t="n">
        <v>77</v>
      </c>
      <c r="L152" s="18" t="n">
        <v>77</v>
      </c>
    </row>
    <row r="153" customFormat="false" ht="15.75" hidden="false" customHeight="false" outlineLevel="0" collapsed="false">
      <c r="B153" s="18" t="s">
        <v>23</v>
      </c>
      <c r="C153" s="14" t="str">
        <f aca="false">IF(B153="","",IFERROR(INDEX('CLM &amp; IM Mapping'!$B$2:$B$270,MATCH(TRIM(B153),'CLM &amp; IM Mapping'!$A$2:$A$270,0)),"Not Mapped"))</f>
        <v>Akshay P</v>
      </c>
      <c r="D153" s="14" t="str">
        <f aca="false">IF(B153="","",IFERROR(INDEX('CLM &amp; IM Mapping'!$C$2:$C$270,MATCH(TRIM(B153),'CLM &amp; IM Mapping'!$A$2:$A$270,0)),"Not Mapped"))</f>
        <v>Srittam Dhal</v>
      </c>
      <c r="E153" s="18" t="n">
        <v>4</v>
      </c>
      <c r="F153" s="18" t="n">
        <v>53</v>
      </c>
      <c r="G153" s="18" t="n">
        <v>1</v>
      </c>
      <c r="H153" s="18" t="n">
        <v>8</v>
      </c>
      <c r="I153" s="18" t="n">
        <v>6</v>
      </c>
      <c r="J153" s="18" t="n">
        <v>4</v>
      </c>
      <c r="K153" s="18" t="n">
        <v>76</v>
      </c>
      <c r="L153" s="18" t="n">
        <v>65</v>
      </c>
    </row>
    <row r="154" customFormat="false" ht="15.75" hidden="false" customHeight="false" outlineLevel="0" collapsed="false">
      <c r="B154" s="18" t="s">
        <v>186</v>
      </c>
      <c r="C154" s="14" t="str">
        <f aca="false">IF(B154="","",IFERROR(INDEX('CLM &amp; IM Mapping'!$B$2:$B$270,MATCH(TRIM(B154),'CLM &amp; IM Mapping'!$A$2:$A$270,0)),"Not Mapped"))</f>
        <v>Balaji G</v>
      </c>
      <c r="D154" s="14" t="str">
        <f aca="false">IF(B154="","",IFERROR(INDEX('CLM &amp; IM Mapping'!$C$2:$C$270,MATCH(TRIM(B154),'CLM &amp; IM Mapping'!$A$2:$A$270,0)),"Not Mapped"))</f>
        <v>Mohammed Akbar</v>
      </c>
      <c r="E154" s="18" t="n">
        <v>13</v>
      </c>
      <c r="F154" s="18" t="n">
        <v>19</v>
      </c>
      <c r="G154" s="18" t="n">
        <v>1</v>
      </c>
      <c r="H154" s="18" t="n">
        <v>9</v>
      </c>
      <c r="I154" s="18" t="n">
        <v>30</v>
      </c>
      <c r="J154" s="18" t="n">
        <v>3</v>
      </c>
      <c r="K154" s="18" t="n">
        <v>75</v>
      </c>
      <c r="L154" s="18" t="n">
        <v>74</v>
      </c>
    </row>
    <row r="155" customFormat="false" ht="15.75" hidden="false" customHeight="false" outlineLevel="0" collapsed="false">
      <c r="B155" s="18" t="s">
        <v>208</v>
      </c>
      <c r="C155" s="14" t="str">
        <f aca="false">IF(B155="","",IFERROR(INDEX('CLM &amp; IM Mapping'!$B$2:$B$270,MATCH(TRIM(B155),'CLM &amp; IM Mapping'!$A$2:$A$270,0)),"Not Mapped"))</f>
        <v>Bangareppa CS</v>
      </c>
      <c r="D155" s="14" t="str">
        <f aca="false">IF(B155="","",IFERROR(INDEX('CLM &amp; IM Mapping'!$C$2:$C$270,MATCH(TRIM(B155),'CLM &amp; IM Mapping'!$A$2:$A$270,0)),"Not Mapped"))</f>
        <v>Kishor K</v>
      </c>
      <c r="E155" s="18" t="n">
        <v>9</v>
      </c>
      <c r="F155" s="18" t="n">
        <v>37</v>
      </c>
      <c r="G155" s="18" t="n">
        <v>26</v>
      </c>
      <c r="H155" s="18" t="n">
        <v>3</v>
      </c>
      <c r="I155" s="18" t="n">
        <v>0</v>
      </c>
      <c r="J155" s="18" t="n">
        <v>0</v>
      </c>
      <c r="K155" s="18" t="n">
        <v>75</v>
      </c>
      <c r="L155" s="18" t="n">
        <v>54</v>
      </c>
    </row>
    <row r="156" customFormat="false" ht="15.75" hidden="false" customHeight="false" outlineLevel="0" collapsed="false">
      <c r="B156" s="18" t="s">
        <v>172</v>
      </c>
      <c r="C156" s="14" t="str">
        <f aca="false">IF(B156="","",IFERROR(INDEX('CLM &amp; IM Mapping'!$B$2:$B$270,MATCH(TRIM(B156),'CLM &amp; IM Mapping'!$A$2:$A$270,0)),"Not Mapped"))</f>
        <v>Santhosha M</v>
      </c>
      <c r="D156" s="14" t="str">
        <f aca="false">IF(B156="","",IFERROR(INDEX('CLM &amp; IM Mapping'!$C$2:$C$270,MATCH(TRIM(B156),'CLM &amp; IM Mapping'!$A$2:$A$270,0)),"Not Mapped"))</f>
        <v>Aravind S</v>
      </c>
      <c r="E156" s="18" t="n">
        <v>12</v>
      </c>
      <c r="F156" s="18" t="n">
        <v>28</v>
      </c>
      <c r="G156" s="18" t="n">
        <v>29</v>
      </c>
      <c r="H156" s="18" t="n">
        <v>1</v>
      </c>
      <c r="I156" s="18" t="n">
        <v>3</v>
      </c>
      <c r="J156" s="18" t="n">
        <v>1</v>
      </c>
      <c r="K156" s="18" t="n">
        <v>74</v>
      </c>
      <c r="L156" s="18" t="n">
        <v>68</v>
      </c>
    </row>
    <row r="157" customFormat="false" ht="15.75" hidden="false" customHeight="false" outlineLevel="0" collapsed="false">
      <c r="B157" s="18" t="s">
        <v>156</v>
      </c>
      <c r="C157" s="14" t="str">
        <f aca="false">IF(B157="","",IFERROR(INDEX('CLM &amp; IM Mapping'!$B$2:$B$270,MATCH(TRIM(B157),'CLM &amp; IM Mapping'!$A$2:$A$270,0)),"Not Mapped"))</f>
        <v>Majid Kakatikar</v>
      </c>
      <c r="D157" s="14" t="str">
        <f aca="false">IF(B157="","",IFERROR(INDEX('CLM &amp; IM Mapping'!$C$2:$C$270,MATCH(TRIM(B157),'CLM &amp; IM Mapping'!$A$2:$A$270,0)),"Not Mapped"))</f>
        <v>Kishor K</v>
      </c>
      <c r="E157" s="18" t="n">
        <v>6</v>
      </c>
      <c r="F157" s="18" t="n">
        <v>40</v>
      </c>
      <c r="G157" s="18" t="n">
        <v>15</v>
      </c>
      <c r="H157" s="18" t="n">
        <v>4</v>
      </c>
      <c r="I157" s="18" t="n">
        <v>9</v>
      </c>
      <c r="J157" s="18" t="n">
        <v>0</v>
      </c>
      <c r="K157" s="18" t="n">
        <v>74</v>
      </c>
      <c r="L157" s="18" t="n">
        <v>71</v>
      </c>
    </row>
    <row r="158" customFormat="false" ht="15.75" hidden="false" customHeight="false" outlineLevel="0" collapsed="false">
      <c r="B158" s="18" t="s">
        <v>83</v>
      </c>
      <c r="C158" s="14" t="str">
        <f aca="false">IF(B158="","",IFERROR(INDEX('CLM &amp; IM Mapping'!$B$2:$B$270,MATCH(TRIM(B158),'CLM &amp; IM Mapping'!$A$2:$A$270,0)),"Not Mapped"))</f>
        <v>Vishnu V</v>
      </c>
      <c r="D158" s="14" t="str">
        <f aca="false">IF(B158="","",IFERROR(INDEX('CLM &amp; IM Mapping'!$C$2:$C$270,MATCH(TRIM(B158),'CLM &amp; IM Mapping'!$A$2:$A$270,0)),"Not Mapped"))</f>
        <v>Arivind S</v>
      </c>
      <c r="E158" s="18" t="n">
        <v>0</v>
      </c>
      <c r="F158" s="18" t="n">
        <v>26</v>
      </c>
      <c r="G158" s="18" t="n">
        <v>1</v>
      </c>
      <c r="H158" s="18" t="n">
        <v>24</v>
      </c>
      <c r="I158" s="18" t="n">
        <v>6</v>
      </c>
      <c r="J158" s="18" t="n">
        <v>16</v>
      </c>
      <c r="K158" s="18" t="n">
        <v>73</v>
      </c>
      <c r="L158" s="18" t="n">
        <v>73</v>
      </c>
    </row>
    <row r="159" customFormat="false" ht="15.75" hidden="false" customHeight="false" outlineLevel="0" collapsed="false">
      <c r="B159" s="18" t="s">
        <v>53</v>
      </c>
      <c r="C159" s="14" t="str">
        <f aca="false">IF(B159="","",IFERROR(INDEX('CLM &amp; IM Mapping'!$B$2:$B$270,MATCH(TRIM(B159),'CLM &amp; IM Mapping'!$A$2:$A$270,0)),"Not Mapped"))</f>
        <v>Ashwath S</v>
      </c>
      <c r="D159" s="14" t="str">
        <f aca="false">IF(B159="","",IFERROR(INDEX('CLM &amp; IM Mapping'!$C$2:$C$270,MATCH(TRIM(B159),'CLM &amp; IM Mapping'!$A$2:$A$270,0)),"Not Mapped"))</f>
        <v>Kantha Kumar</v>
      </c>
      <c r="E159" s="18" t="n">
        <v>8</v>
      </c>
      <c r="F159" s="18" t="n">
        <v>20</v>
      </c>
      <c r="G159" s="18" t="n">
        <v>0</v>
      </c>
      <c r="H159" s="18" t="n">
        <v>14</v>
      </c>
      <c r="I159" s="18" t="n">
        <v>21</v>
      </c>
      <c r="J159" s="18" t="n">
        <v>10</v>
      </c>
      <c r="K159" s="18" t="n">
        <v>73</v>
      </c>
      <c r="L159" s="18" t="n">
        <v>73</v>
      </c>
    </row>
    <row r="160" customFormat="false" ht="15.75" hidden="false" customHeight="false" outlineLevel="0" collapsed="false">
      <c r="B160" s="18" t="s">
        <v>166</v>
      </c>
      <c r="C160" s="14" t="str">
        <f aca="false">IF(B160="","",IFERROR(INDEX('CLM &amp; IM Mapping'!$B$2:$B$270,MATCH(TRIM(B160),'CLM &amp; IM Mapping'!$A$2:$A$270,0)),"Not Mapped"))</f>
        <v>Sundaresh S</v>
      </c>
      <c r="D160" s="14" t="str">
        <f aca="false">IF(B160="","",IFERROR(INDEX('CLM &amp; IM Mapping'!$C$2:$C$270,MATCH(TRIM(B160),'CLM &amp; IM Mapping'!$A$2:$A$270,0)),"Not Mapped"))</f>
        <v>Un Mapped</v>
      </c>
      <c r="E160" s="18" t="n">
        <v>0</v>
      </c>
      <c r="F160" s="18" t="n">
        <v>48</v>
      </c>
      <c r="G160" s="18" t="n">
        <v>1</v>
      </c>
      <c r="H160" s="18" t="n">
        <v>9</v>
      </c>
      <c r="I160" s="18" t="n">
        <v>12</v>
      </c>
      <c r="J160" s="18" t="n">
        <v>3</v>
      </c>
      <c r="K160" s="18" t="n">
        <v>73</v>
      </c>
      <c r="L160" s="18" t="n">
        <v>66</v>
      </c>
    </row>
    <row r="161" customFormat="false" ht="15.75" hidden="false" customHeight="false" outlineLevel="0" collapsed="false">
      <c r="B161" s="18" t="s">
        <v>220</v>
      </c>
      <c r="C161" s="14" t="str">
        <f aca="false">IF(B161="","",IFERROR(INDEX('CLM &amp; IM Mapping'!$B$2:$B$270,MATCH(TRIM(B161),'CLM &amp; IM Mapping'!$A$2:$A$270,0)),"Not Mapped"))</f>
        <v>Sundaresh S</v>
      </c>
      <c r="D161" s="14" t="str">
        <f aca="false">IF(B161="","",IFERROR(INDEX('CLM &amp; IM Mapping'!$C$2:$C$270,MATCH(TRIM(B161),'CLM &amp; IM Mapping'!$A$2:$A$270,0)),"Not Mapped"))</f>
        <v>Un Mapped</v>
      </c>
      <c r="E161" s="18" t="n">
        <v>3</v>
      </c>
      <c r="F161" s="18" t="n">
        <v>37</v>
      </c>
      <c r="G161" s="18" t="n">
        <v>0</v>
      </c>
      <c r="H161" s="18" t="n">
        <v>5</v>
      </c>
      <c r="I161" s="18" t="n">
        <v>8</v>
      </c>
      <c r="J161" s="18" t="n">
        <v>20</v>
      </c>
      <c r="K161" s="18" t="n">
        <v>73</v>
      </c>
      <c r="L161" s="18" t="n">
        <v>72</v>
      </c>
    </row>
    <row r="162" customFormat="false" ht="15.75" hidden="false" customHeight="false" outlineLevel="0" collapsed="false">
      <c r="B162" s="18" t="s">
        <v>285</v>
      </c>
      <c r="C162" s="14" t="str">
        <f aca="false">IF(B162="","",IFERROR(INDEX('CLM &amp; IM Mapping'!$B$2:$B$270,MATCH(TRIM(B162),'CLM &amp; IM Mapping'!$A$2:$A$270,0)),"Not Mapped"))</f>
        <v>Adhavan Subramani</v>
      </c>
      <c r="D162" s="14" t="str">
        <f aca="false">IF(B162="","",IFERROR(INDEX('CLM &amp; IM Mapping'!$C$2:$C$270,MATCH(TRIM(B162),'CLM &amp; IM Mapping'!$A$2:$A$270,0)),"Not Mapped"))</f>
        <v>Mohammed Akbar</v>
      </c>
      <c r="E162" s="18" t="n">
        <v>0</v>
      </c>
      <c r="F162" s="18" t="n">
        <v>6</v>
      </c>
      <c r="G162" s="18" t="n">
        <v>0</v>
      </c>
      <c r="H162" s="18" t="n">
        <v>0</v>
      </c>
      <c r="I162" s="18" t="n">
        <v>3</v>
      </c>
      <c r="J162" s="18" t="n">
        <v>63</v>
      </c>
      <c r="K162" s="18" t="n">
        <v>72</v>
      </c>
      <c r="L162" s="18" t="n">
        <v>67</v>
      </c>
    </row>
    <row r="163" customFormat="false" ht="15.75" hidden="false" customHeight="false" outlineLevel="0" collapsed="false">
      <c r="B163" s="18" t="s">
        <v>35</v>
      </c>
      <c r="C163" s="14" t="str">
        <f aca="false">IF(B163="","",IFERROR(INDEX('CLM &amp; IM Mapping'!$B$2:$B$270,MATCH(TRIM(B163),'CLM &amp; IM Mapping'!$A$2:$A$270,0)),"Not Mapped"))</f>
        <v>Manjunatha V</v>
      </c>
      <c r="D163" s="14" t="str">
        <f aca="false">IF(B163="","",IFERROR(INDEX('CLM &amp; IM Mapping'!$C$2:$C$270,MATCH(TRIM(B163),'CLM &amp; IM Mapping'!$A$2:$A$270,0)),"Not Mapped"))</f>
        <v>Un Mapped</v>
      </c>
      <c r="E163" s="18" t="n">
        <v>17</v>
      </c>
      <c r="F163" s="18" t="n">
        <v>8</v>
      </c>
      <c r="G163" s="18" t="n">
        <v>5</v>
      </c>
      <c r="H163" s="18" t="n">
        <v>7</v>
      </c>
      <c r="I163" s="18" t="n">
        <v>0</v>
      </c>
      <c r="J163" s="18" t="n">
        <v>33</v>
      </c>
      <c r="K163" s="18" t="n">
        <v>70</v>
      </c>
      <c r="L163" s="18" t="n">
        <v>66</v>
      </c>
    </row>
    <row r="164" customFormat="false" ht="15.75" hidden="false" customHeight="false" outlineLevel="0" collapsed="false">
      <c r="B164" s="18" t="s">
        <v>80</v>
      </c>
      <c r="C164" s="14" t="str">
        <f aca="false">IF(B164="","",IFERROR(INDEX('CLM &amp; IM Mapping'!$B$2:$B$270,MATCH(TRIM(B164),'CLM &amp; IM Mapping'!$A$2:$A$270,0)),"Not Mapped"))</f>
        <v>Vishnu V</v>
      </c>
      <c r="D164" s="14" t="str">
        <f aca="false">IF(B164="","",IFERROR(INDEX('CLM &amp; IM Mapping'!$C$2:$C$270,MATCH(TRIM(B164),'CLM &amp; IM Mapping'!$A$2:$A$270,0)),"Not Mapped"))</f>
        <v>Arivind S</v>
      </c>
      <c r="E164" s="18" t="n">
        <v>8</v>
      </c>
      <c r="F164" s="18" t="n">
        <v>51</v>
      </c>
      <c r="G164" s="18" t="n">
        <v>9</v>
      </c>
      <c r="H164" s="18" t="n">
        <v>0</v>
      </c>
      <c r="I164" s="18" t="n">
        <v>1</v>
      </c>
      <c r="J164" s="18" t="n">
        <v>0</v>
      </c>
      <c r="K164" s="18" t="n">
        <v>69</v>
      </c>
      <c r="L164" s="18" t="n">
        <v>42</v>
      </c>
    </row>
    <row r="165" customFormat="false" ht="15.75" hidden="false" customHeight="false" outlineLevel="0" collapsed="false">
      <c r="B165" s="18" t="s">
        <v>196</v>
      </c>
      <c r="C165" s="14" t="str">
        <f aca="false">IF(B165="","",IFERROR(INDEX('CLM &amp; IM Mapping'!$B$2:$B$270,MATCH(TRIM(B165),'CLM &amp; IM Mapping'!$A$2:$A$270,0)),"Not Mapped"))</f>
        <v>Arun Raj</v>
      </c>
      <c r="D165" s="14" t="str">
        <f aca="false">IF(B165="","",IFERROR(INDEX('CLM &amp; IM Mapping'!$C$2:$C$270,MATCH(TRIM(B165),'CLM &amp; IM Mapping'!$A$2:$A$270,0)),"Not Mapped"))</f>
        <v>Simon Manoharan</v>
      </c>
      <c r="E165" s="18" t="n">
        <v>0</v>
      </c>
      <c r="F165" s="18" t="n">
        <v>0</v>
      </c>
      <c r="G165" s="18"/>
      <c r="H165" s="18" t="n">
        <v>58</v>
      </c>
      <c r="I165" s="18" t="n">
        <v>11</v>
      </c>
      <c r="J165" s="18"/>
      <c r="K165" s="18" t="n">
        <v>69</v>
      </c>
      <c r="L165" s="18" t="n">
        <v>0</v>
      </c>
    </row>
    <row r="166" customFormat="false" ht="15.75" hidden="false" customHeight="false" outlineLevel="0" collapsed="false">
      <c r="B166" s="18" t="s">
        <v>76</v>
      </c>
      <c r="C166" s="14" t="str">
        <f aca="false">IF(B166="","",IFERROR(INDEX('CLM &amp; IM Mapping'!$B$2:$B$270,MATCH(TRIM(B166),'CLM &amp; IM Mapping'!$A$2:$A$270,0)),"Not Mapped"))</f>
        <v>Silambarasan E</v>
      </c>
      <c r="D166" s="14" t="str">
        <f aca="false">IF(B166="","",IFERROR(INDEX('CLM &amp; IM Mapping'!$C$2:$C$270,MATCH(TRIM(B166),'CLM &amp; IM Mapping'!$A$2:$A$270,0)),"Not Mapped"))</f>
        <v>Arivind S</v>
      </c>
      <c r="E166" s="18" t="n">
        <v>0</v>
      </c>
      <c r="F166" s="18" t="n">
        <v>35</v>
      </c>
      <c r="G166" s="18" t="n">
        <v>0</v>
      </c>
      <c r="H166" s="18" t="n">
        <v>21</v>
      </c>
      <c r="I166" s="18" t="n">
        <v>7</v>
      </c>
      <c r="J166" s="18" t="n">
        <v>4</v>
      </c>
      <c r="K166" s="18" t="n">
        <v>67</v>
      </c>
      <c r="L166" s="18" t="n">
        <v>66</v>
      </c>
    </row>
    <row r="167" customFormat="false" ht="15.75" hidden="false" customHeight="false" outlineLevel="0" collapsed="false">
      <c r="B167" s="18" t="s">
        <v>271</v>
      </c>
      <c r="C167" s="14" t="str">
        <f aca="false">IF(B167="","",IFERROR(INDEX('CLM &amp; IM Mapping'!$B$2:$B$270,MATCH(TRIM(B167),'CLM &amp; IM Mapping'!$A$2:$A$270,0)),"Not Mapped"))</f>
        <v>Ashwath S</v>
      </c>
      <c r="D167" s="14" t="str">
        <f aca="false">IF(B167="","",IFERROR(INDEX('CLM &amp; IM Mapping'!$C$2:$C$270,MATCH(TRIM(B167),'CLM &amp; IM Mapping'!$A$2:$A$270,0)),"Not Mapped"))</f>
        <v>Kantha Kumar</v>
      </c>
      <c r="E167" s="18" t="n">
        <v>8</v>
      </c>
      <c r="F167" s="18" t="n">
        <v>3</v>
      </c>
      <c r="G167" s="18" t="n">
        <v>14</v>
      </c>
      <c r="H167" s="18" t="n">
        <v>8</v>
      </c>
      <c r="I167" s="18" t="n">
        <v>0</v>
      </c>
      <c r="J167" s="18" t="n">
        <v>34</v>
      </c>
      <c r="K167" s="18" t="n">
        <v>67</v>
      </c>
      <c r="L167" s="18" t="n">
        <v>67</v>
      </c>
    </row>
    <row r="168" customFormat="false" ht="15.75" hidden="false" customHeight="false" outlineLevel="0" collapsed="false">
      <c r="B168" s="18" t="s">
        <v>62</v>
      </c>
      <c r="C168" s="14" t="str">
        <f aca="false">IF(B168="","",IFERROR(INDEX('CLM &amp; IM Mapping'!$B$2:$B$270,MATCH(TRIM(B168),'CLM &amp; IM Mapping'!$A$2:$A$270,0)),"Not Mapped"))</f>
        <v>Sundaresh S</v>
      </c>
      <c r="D168" s="14" t="str">
        <f aca="false">IF(B168="","",IFERROR(INDEX('CLM &amp; IM Mapping'!$C$2:$C$270,MATCH(TRIM(B168),'CLM &amp; IM Mapping'!$A$2:$A$270,0)),"Not Mapped"))</f>
        <v>Un Mapped</v>
      </c>
      <c r="E168" s="18" t="n">
        <v>11</v>
      </c>
      <c r="F168" s="18" t="n">
        <v>22</v>
      </c>
      <c r="G168" s="18" t="n">
        <v>3</v>
      </c>
      <c r="H168" s="18" t="n">
        <v>8</v>
      </c>
      <c r="I168" s="18" t="n">
        <v>6</v>
      </c>
      <c r="J168" s="18" t="n">
        <v>16</v>
      </c>
      <c r="K168" s="18" t="n">
        <v>66</v>
      </c>
      <c r="L168" s="18" t="n">
        <v>65</v>
      </c>
    </row>
    <row r="169" customFormat="false" ht="15.75" hidden="false" customHeight="false" outlineLevel="0" collapsed="false">
      <c r="B169" s="18" t="s">
        <v>32</v>
      </c>
      <c r="C169" s="14" t="str">
        <f aca="false">IF(B169="","",IFERROR(INDEX('CLM &amp; IM Mapping'!$B$2:$B$270,MATCH(TRIM(B169),'CLM &amp; IM Mapping'!$A$2:$A$270,0)),"Not Mapped"))</f>
        <v>Santhosha M</v>
      </c>
      <c r="D169" s="14" t="str">
        <f aca="false">IF(B169="","",IFERROR(INDEX('CLM &amp; IM Mapping'!$C$2:$C$270,MATCH(TRIM(B169),'CLM &amp; IM Mapping'!$A$2:$A$270,0)),"Not Mapped"))</f>
        <v>Aravind S</v>
      </c>
      <c r="E169" s="18" t="n">
        <v>13</v>
      </c>
      <c r="F169" s="18" t="n">
        <v>40</v>
      </c>
      <c r="G169" s="18" t="n">
        <v>0</v>
      </c>
      <c r="H169" s="18" t="n">
        <v>5</v>
      </c>
      <c r="I169" s="18" t="n">
        <v>6</v>
      </c>
      <c r="J169" s="18" t="n">
        <v>0</v>
      </c>
      <c r="K169" s="18" t="n">
        <v>64</v>
      </c>
      <c r="L169" s="18" t="n">
        <v>57</v>
      </c>
    </row>
    <row r="170" customFormat="false" ht="15.75" hidden="false" customHeight="false" outlineLevel="0" collapsed="false">
      <c r="B170" s="18" t="s">
        <v>199</v>
      </c>
      <c r="C170" s="14" t="str">
        <f aca="false">IF(B170="","",IFERROR(INDEX('CLM &amp; IM Mapping'!$B$2:$B$270,MATCH(TRIM(B170),'CLM &amp; IM Mapping'!$A$2:$A$270,0)),"Not Mapped"))</f>
        <v>Manjunatha V</v>
      </c>
      <c r="D170" s="14" t="str">
        <f aca="false">IF(B170="","",IFERROR(INDEX('CLM &amp; IM Mapping'!$C$2:$C$270,MATCH(TRIM(B170),'CLM &amp; IM Mapping'!$A$2:$A$270,0)),"Not Mapped"))</f>
        <v>Un Mapped</v>
      </c>
      <c r="E170" s="18" t="n">
        <v>0</v>
      </c>
      <c r="F170" s="18" t="n">
        <v>24</v>
      </c>
      <c r="G170" s="18" t="n">
        <v>0</v>
      </c>
      <c r="H170" s="18" t="n">
        <v>18</v>
      </c>
      <c r="I170" s="18" t="n">
        <v>12</v>
      </c>
      <c r="J170" s="18" t="n">
        <v>10</v>
      </c>
      <c r="K170" s="18" t="n">
        <v>64</v>
      </c>
      <c r="L170" s="18" t="n">
        <v>64</v>
      </c>
    </row>
    <row r="171" customFormat="false" ht="15.75" hidden="false" customHeight="false" outlineLevel="0" collapsed="false">
      <c r="B171" s="18" t="s">
        <v>184</v>
      </c>
      <c r="C171" s="14" t="str">
        <f aca="false">IF(B171="","",IFERROR(INDEX('CLM &amp; IM Mapping'!$B$2:$B$270,MATCH(TRIM(B171),'CLM &amp; IM Mapping'!$A$2:$A$270,0)),"Not Mapped"))</f>
        <v>Arun Raj</v>
      </c>
      <c r="D171" s="14" t="str">
        <f aca="false">IF(B171="","",IFERROR(INDEX('CLM &amp; IM Mapping'!$C$2:$C$270,MATCH(TRIM(B171),'CLM &amp; IM Mapping'!$A$2:$A$270,0)),"Not Mapped"))</f>
        <v>Simon Manoharan</v>
      </c>
      <c r="E171" s="18" t="n">
        <v>12</v>
      </c>
      <c r="F171" s="18" t="n">
        <v>4</v>
      </c>
      <c r="G171" s="18" t="n">
        <v>0</v>
      </c>
      <c r="H171" s="18" t="n">
        <v>17</v>
      </c>
      <c r="I171" s="18" t="n">
        <v>28</v>
      </c>
      <c r="J171" s="18"/>
      <c r="K171" s="18" t="n">
        <v>61</v>
      </c>
      <c r="L171" s="18" t="n">
        <v>34</v>
      </c>
    </row>
    <row r="172" customFormat="false" ht="15.75" hidden="false" customHeight="false" outlineLevel="0" collapsed="false">
      <c r="B172" s="18" t="s">
        <v>159</v>
      </c>
      <c r="C172" s="14" t="str">
        <f aca="false">IF(B172="","",IFERROR(INDEX('CLM &amp; IM Mapping'!$B$2:$B$270,MATCH(TRIM(B172),'CLM &amp; IM Mapping'!$A$2:$A$270,0)),"Not Mapped"))</f>
        <v>Saddam Hussain</v>
      </c>
      <c r="D172" s="14" t="str">
        <f aca="false">IF(B172="","",IFERROR(INDEX('CLM &amp; IM Mapping'!$C$2:$C$270,MATCH(TRIM(B172),'CLM &amp; IM Mapping'!$A$2:$A$270,0)),"Not Mapped"))</f>
        <v>Un Mapped</v>
      </c>
      <c r="E172" s="18" t="n">
        <v>2</v>
      </c>
      <c r="F172" s="18" t="n">
        <v>31</v>
      </c>
      <c r="G172" s="18" t="n">
        <v>2</v>
      </c>
      <c r="H172" s="18" t="n">
        <v>11</v>
      </c>
      <c r="I172" s="18" t="n">
        <v>15</v>
      </c>
      <c r="J172" s="18" t="n">
        <v>0</v>
      </c>
      <c r="K172" s="18" t="n">
        <v>61</v>
      </c>
      <c r="L172" s="18" t="n">
        <v>61</v>
      </c>
    </row>
    <row r="173" customFormat="false" ht="15.75" hidden="false" customHeight="false" outlineLevel="0" collapsed="false">
      <c r="B173" s="18" t="s">
        <v>81</v>
      </c>
      <c r="C173" s="14" t="str">
        <f aca="false">IF(B173="","",IFERROR(INDEX('CLM &amp; IM Mapping'!$B$2:$B$270,MATCH(TRIM(B173),'CLM &amp; IM Mapping'!$A$2:$A$270,0)),"Not Mapped"))</f>
        <v>Sundaresh S</v>
      </c>
      <c r="D173" s="14" t="str">
        <f aca="false">IF(B173="","",IFERROR(INDEX('CLM &amp; IM Mapping'!$C$2:$C$270,MATCH(TRIM(B173),'CLM &amp; IM Mapping'!$A$2:$A$270,0)),"Not Mapped"))</f>
        <v>Un Mapped</v>
      </c>
      <c r="E173" s="18" t="n">
        <v>9</v>
      </c>
      <c r="F173" s="18" t="n">
        <v>21</v>
      </c>
      <c r="G173" s="18" t="n">
        <v>0</v>
      </c>
      <c r="H173" s="18" t="n">
        <v>8</v>
      </c>
      <c r="I173" s="18" t="n">
        <v>4</v>
      </c>
      <c r="J173" s="18" t="n">
        <v>17</v>
      </c>
      <c r="K173" s="18" t="n">
        <v>59</v>
      </c>
      <c r="L173" s="18" t="n">
        <v>55</v>
      </c>
    </row>
    <row r="174" customFormat="false" ht="15.75" hidden="false" customHeight="false" outlineLevel="0" collapsed="false">
      <c r="B174" s="18" t="s">
        <v>128</v>
      </c>
      <c r="C174" s="14" t="str">
        <f aca="false">IF(B174="","",IFERROR(INDEX('CLM &amp; IM Mapping'!$B$2:$B$270,MATCH(TRIM(B174),'CLM &amp; IM Mapping'!$A$2:$A$270,0)),"Not Mapped"))</f>
        <v>Silambarasan E</v>
      </c>
      <c r="D174" s="14" t="str">
        <f aca="false">IF(B174="","",IFERROR(INDEX('CLM &amp; IM Mapping'!$C$2:$C$270,MATCH(TRIM(B174),'CLM &amp; IM Mapping'!$A$2:$A$270,0)),"Not Mapped"))</f>
        <v>Arivind S</v>
      </c>
      <c r="E174" s="18" t="n">
        <v>24</v>
      </c>
      <c r="F174" s="18" t="n">
        <v>6</v>
      </c>
      <c r="G174" s="18" t="n">
        <v>1</v>
      </c>
      <c r="H174" s="18" t="n">
        <v>0</v>
      </c>
      <c r="I174" s="18" t="n">
        <v>26</v>
      </c>
      <c r="J174" s="18" t="n">
        <v>2</v>
      </c>
      <c r="K174" s="18" t="n">
        <v>59</v>
      </c>
      <c r="L174" s="18" t="n">
        <v>57</v>
      </c>
    </row>
    <row r="175" customFormat="false" ht="15.75" hidden="false" customHeight="false" outlineLevel="0" collapsed="false">
      <c r="B175" s="18" t="s">
        <v>139</v>
      </c>
      <c r="C175" s="14" t="str">
        <f aca="false">IF(B175="","",IFERROR(INDEX('CLM &amp; IM Mapping'!$B$2:$B$270,MATCH(TRIM(B175),'CLM &amp; IM Mapping'!$A$2:$A$270,0)),"Not Mapped"))</f>
        <v>Majid Kakatikar</v>
      </c>
      <c r="D175" s="14" t="str">
        <f aca="false">IF(B175="","",IFERROR(INDEX('CLM &amp; IM Mapping'!$C$2:$C$270,MATCH(TRIM(B175),'CLM &amp; IM Mapping'!$A$2:$A$270,0)),"Not Mapped"))</f>
        <v>Kishor K</v>
      </c>
      <c r="E175" s="18" t="n">
        <v>0</v>
      </c>
      <c r="F175" s="18" t="n">
        <v>24</v>
      </c>
      <c r="G175" s="18" t="n">
        <v>28</v>
      </c>
      <c r="H175" s="18" t="n">
        <v>0</v>
      </c>
      <c r="I175" s="18" t="n">
        <v>6</v>
      </c>
      <c r="J175" s="18" t="n">
        <v>0</v>
      </c>
      <c r="K175" s="18" t="n">
        <v>58</v>
      </c>
      <c r="L175" s="18" t="n">
        <v>25</v>
      </c>
    </row>
    <row r="176" customFormat="false" ht="15.75" hidden="false" customHeight="false" outlineLevel="0" collapsed="false">
      <c r="B176" s="18" t="s">
        <v>103</v>
      </c>
      <c r="C176" s="14" t="str">
        <f aca="false">IF(B176="","",IFERROR(INDEX('CLM &amp; IM Mapping'!$B$2:$B$270,MATCH(TRIM(B176),'CLM &amp; IM Mapping'!$A$2:$A$270,0)),"Not Mapped"))</f>
        <v>Suhas N</v>
      </c>
      <c r="D176" s="14" t="str">
        <f aca="false">IF(B176="","",IFERROR(INDEX('CLM &amp; IM Mapping'!$C$2:$C$270,MATCH(TRIM(B176),'CLM &amp; IM Mapping'!$A$2:$A$270,0)),"Not Mapped"))</f>
        <v>Aravind S</v>
      </c>
      <c r="E176" s="18" t="n">
        <v>0</v>
      </c>
      <c r="F176" s="18" t="n">
        <v>4</v>
      </c>
      <c r="G176" s="18" t="n">
        <v>0</v>
      </c>
      <c r="H176" s="18" t="n">
        <v>21</v>
      </c>
      <c r="I176" s="18" t="n">
        <v>24</v>
      </c>
      <c r="J176" s="18" t="n">
        <v>8</v>
      </c>
      <c r="K176" s="18" t="n">
        <v>57</v>
      </c>
      <c r="L176" s="18" t="n">
        <v>54</v>
      </c>
    </row>
    <row r="177" customFormat="false" ht="15.75" hidden="false" customHeight="false" outlineLevel="0" collapsed="false">
      <c r="B177" s="18" t="s">
        <v>217</v>
      </c>
      <c r="C177" s="14" t="str">
        <f aca="false">IF(B177="","",IFERROR(INDEX('CLM &amp; IM Mapping'!$B$2:$B$270,MATCH(TRIM(B177),'CLM &amp; IM Mapping'!$A$2:$A$270,0)),"Not Mapped"))</f>
        <v>John Britto</v>
      </c>
      <c r="D177" s="14" t="str">
        <f aca="false">IF(B177="","",IFERROR(INDEX('CLM &amp; IM Mapping'!$C$2:$C$270,MATCH(TRIM(B177),'CLM &amp; IM Mapping'!$A$2:$A$270,0)),"Not Mapped"))</f>
        <v>Aravind S</v>
      </c>
      <c r="E177" s="18" t="n">
        <v>1</v>
      </c>
      <c r="F177" s="18" t="n">
        <v>37</v>
      </c>
      <c r="G177" s="18"/>
      <c r="H177" s="18" t="n">
        <v>19</v>
      </c>
      <c r="I177" s="18"/>
      <c r="J177" s="18" t="n">
        <v>0</v>
      </c>
      <c r="K177" s="18" t="n">
        <v>57</v>
      </c>
      <c r="L177" s="18" t="n">
        <v>57</v>
      </c>
    </row>
    <row r="178" customFormat="false" ht="15.75" hidden="false" customHeight="false" outlineLevel="0" collapsed="false">
      <c r="B178" s="18" t="s">
        <v>109</v>
      </c>
      <c r="C178" s="14" t="str">
        <f aca="false">IF(B178="","",IFERROR(INDEX('CLM &amp; IM Mapping'!$B$2:$B$270,MATCH(TRIM(B178),'CLM &amp; IM Mapping'!$A$2:$A$270,0)),"Not Mapped"))</f>
        <v>Akshay P</v>
      </c>
      <c r="D178" s="14" t="str">
        <f aca="false">IF(B178="","",IFERROR(INDEX('CLM &amp; IM Mapping'!$C$2:$C$270,MATCH(TRIM(B178),'CLM &amp; IM Mapping'!$A$2:$A$270,0)),"Not Mapped"))</f>
        <v>Srittam Dhal</v>
      </c>
      <c r="E178" s="18" t="n">
        <v>9</v>
      </c>
      <c r="F178" s="18" t="n">
        <v>44</v>
      </c>
      <c r="G178" s="18" t="n">
        <v>0</v>
      </c>
      <c r="H178" s="18" t="n">
        <v>0</v>
      </c>
      <c r="I178" s="18" t="n">
        <v>1</v>
      </c>
      <c r="J178" s="18" t="n">
        <v>3</v>
      </c>
      <c r="K178" s="18" t="n">
        <v>57</v>
      </c>
      <c r="L178" s="18" t="n">
        <v>57</v>
      </c>
    </row>
    <row r="179" customFormat="false" ht="15.75" hidden="false" customHeight="false" outlineLevel="0" collapsed="false">
      <c r="B179" s="18" t="s">
        <v>61</v>
      </c>
      <c r="C179" s="14" t="str">
        <f aca="false">IF(B179="","",IFERROR(INDEX('CLM &amp; IM Mapping'!$B$2:$B$270,MATCH(TRIM(B179),'CLM &amp; IM Mapping'!$A$2:$A$270,0)),"Not Mapped"))</f>
        <v>Basil Scariya</v>
      </c>
      <c r="D179" s="14" t="str">
        <f aca="false">IF(B179="","",IFERROR(INDEX('CLM &amp; IM Mapping'!$C$2:$C$270,MATCH(TRIM(B179),'CLM &amp; IM Mapping'!$A$2:$A$270,0)),"Not Mapped"))</f>
        <v>Prakash BS</v>
      </c>
      <c r="E179" s="18" t="n">
        <v>4</v>
      </c>
      <c r="F179" s="18" t="n">
        <v>0</v>
      </c>
      <c r="G179" s="18" t="n">
        <v>0</v>
      </c>
      <c r="H179" s="18" t="n">
        <v>35</v>
      </c>
      <c r="I179" s="18" t="n">
        <v>13</v>
      </c>
      <c r="J179" s="18" t="n">
        <v>5</v>
      </c>
      <c r="K179" s="18" t="n">
        <v>57</v>
      </c>
      <c r="L179" s="18" t="n">
        <v>57</v>
      </c>
    </row>
    <row r="180" customFormat="false" ht="15.75" hidden="false" customHeight="false" outlineLevel="0" collapsed="false">
      <c r="B180" s="18" t="s">
        <v>231</v>
      </c>
      <c r="C180" s="14" t="str">
        <f aca="false">IF(B180="","",IFERROR(INDEX('CLM &amp; IM Mapping'!$B$2:$B$270,MATCH(TRIM(B180),'CLM &amp; IM Mapping'!$A$2:$A$270,0)),"Not Mapped"))</f>
        <v>Narasimhamurthy R</v>
      </c>
      <c r="D180" s="14" t="str">
        <f aca="false">IF(B180="","",IFERROR(INDEX('CLM &amp; IM Mapping'!$C$2:$C$270,MATCH(TRIM(B180),'CLM &amp; IM Mapping'!$A$2:$A$270,0)),"Not Mapped"))</f>
        <v>Kishor K</v>
      </c>
      <c r="E180" s="18" t="n">
        <v>1</v>
      </c>
      <c r="F180" s="18" t="n">
        <v>0</v>
      </c>
      <c r="G180" s="18" t="n">
        <v>0</v>
      </c>
      <c r="H180" s="18" t="n">
        <v>29</v>
      </c>
      <c r="I180" s="18" t="n">
        <v>0</v>
      </c>
      <c r="J180" s="18" t="n">
        <v>26</v>
      </c>
      <c r="K180" s="18" t="n">
        <v>56</v>
      </c>
      <c r="L180" s="18" t="n">
        <v>56</v>
      </c>
    </row>
    <row r="181" customFormat="false" ht="15.75" hidden="false" customHeight="false" outlineLevel="0" collapsed="false">
      <c r="B181" s="18" t="s">
        <v>182</v>
      </c>
      <c r="C181" s="14" t="str">
        <f aca="false">IF(B181="","",IFERROR(INDEX('CLM &amp; IM Mapping'!$B$2:$B$270,MATCH(TRIM(B181),'CLM &amp; IM Mapping'!$A$2:$A$270,0)),"Not Mapped"))</f>
        <v>Balaji G</v>
      </c>
      <c r="D181" s="14" t="str">
        <f aca="false">IF(B181="","",IFERROR(INDEX('CLM &amp; IM Mapping'!$C$2:$C$270,MATCH(TRIM(B181),'CLM &amp; IM Mapping'!$A$2:$A$270,0)),"Not Mapped"))</f>
        <v>Mohammed Akbar</v>
      </c>
      <c r="E181" s="18" t="n">
        <v>0</v>
      </c>
      <c r="F181" s="18" t="n">
        <v>1</v>
      </c>
      <c r="G181" s="18" t="n">
        <v>0</v>
      </c>
      <c r="H181" s="18" t="n">
        <v>10</v>
      </c>
      <c r="I181" s="18" t="n">
        <v>43</v>
      </c>
      <c r="J181" s="18" t="n">
        <v>0</v>
      </c>
      <c r="K181" s="18" t="n">
        <v>54</v>
      </c>
      <c r="L181" s="18" t="n">
        <v>54</v>
      </c>
    </row>
    <row r="182" customFormat="false" ht="15.75" hidden="false" customHeight="false" outlineLevel="0" collapsed="false">
      <c r="B182" s="18" t="s">
        <v>173</v>
      </c>
      <c r="C182" s="14" t="str">
        <f aca="false">IF(B182="","",IFERROR(INDEX('CLM &amp; IM Mapping'!$B$2:$B$270,MATCH(TRIM(B182),'CLM &amp; IM Mapping'!$A$2:$A$270,0)),"Not Mapped"))</f>
        <v>Saddam Hussain</v>
      </c>
      <c r="D182" s="14" t="str">
        <f aca="false">IF(B182="","",IFERROR(INDEX('CLM &amp; IM Mapping'!$C$2:$C$270,MATCH(TRIM(B182),'CLM &amp; IM Mapping'!$A$2:$A$270,0)),"Not Mapped"))</f>
        <v>Un Mapped</v>
      </c>
      <c r="E182" s="18" t="n">
        <v>34</v>
      </c>
      <c r="F182" s="18" t="n">
        <v>12</v>
      </c>
      <c r="G182" s="18" t="n">
        <v>0</v>
      </c>
      <c r="H182" s="18" t="n">
        <v>6</v>
      </c>
      <c r="I182" s="18" t="n">
        <v>2</v>
      </c>
      <c r="J182" s="18" t="n">
        <v>0</v>
      </c>
      <c r="K182" s="18" t="n">
        <v>54</v>
      </c>
      <c r="L182" s="18" t="n">
        <v>54</v>
      </c>
    </row>
    <row r="183" customFormat="false" ht="15.75" hidden="false" customHeight="false" outlineLevel="0" collapsed="false">
      <c r="B183" s="18" t="s">
        <v>203</v>
      </c>
      <c r="C183" s="14" t="str">
        <f aca="false">IF(B183="","",IFERROR(INDEX('CLM &amp; IM Mapping'!$B$2:$B$270,MATCH(TRIM(B183),'CLM &amp; IM Mapping'!$A$2:$A$270,0)),"Not Mapped"))</f>
        <v>Suhas N</v>
      </c>
      <c r="D183" s="14" t="str">
        <f aca="false">IF(B183="","",IFERROR(INDEX('CLM &amp; IM Mapping'!$C$2:$C$270,MATCH(TRIM(B183),'CLM &amp; IM Mapping'!$A$2:$A$270,0)),"Not Mapped"))</f>
        <v>Aravind S</v>
      </c>
      <c r="E183" s="18" t="n">
        <v>21</v>
      </c>
      <c r="F183" s="18" t="n">
        <v>33</v>
      </c>
      <c r="G183" s="18" t="n">
        <v>0</v>
      </c>
      <c r="H183" s="18" t="n">
        <v>0</v>
      </c>
      <c r="I183" s="18" t="n">
        <v>0</v>
      </c>
      <c r="J183" s="18" t="n">
        <v>0</v>
      </c>
      <c r="K183" s="18" t="n">
        <v>54</v>
      </c>
      <c r="L183" s="18" t="n">
        <v>53</v>
      </c>
    </row>
    <row r="184" customFormat="false" ht="15.75" hidden="false" customHeight="false" outlineLevel="0" collapsed="false">
      <c r="B184" s="18" t="s">
        <v>158</v>
      </c>
      <c r="C184" s="14" t="str">
        <f aca="false">IF(B184="","",IFERROR(INDEX('CLM &amp; IM Mapping'!$B$2:$B$270,MATCH(TRIM(B184),'CLM &amp; IM Mapping'!$A$2:$A$270,0)),"Not Mapped"))</f>
        <v>Santhosha M</v>
      </c>
      <c r="D184" s="14" t="str">
        <f aca="false">IF(B184="","",IFERROR(INDEX('CLM &amp; IM Mapping'!$C$2:$C$270,MATCH(TRIM(B184),'CLM &amp; IM Mapping'!$A$2:$A$270,0)),"Not Mapped"))</f>
        <v>Aravind S</v>
      </c>
      <c r="E184" s="18" t="n">
        <v>7</v>
      </c>
      <c r="F184" s="18" t="n">
        <v>30</v>
      </c>
      <c r="G184" s="18" t="n">
        <v>2</v>
      </c>
      <c r="H184" s="18" t="n">
        <v>1</v>
      </c>
      <c r="I184" s="18" t="n">
        <v>13</v>
      </c>
      <c r="J184" s="18" t="n">
        <v>0</v>
      </c>
      <c r="K184" s="18" t="n">
        <v>53</v>
      </c>
      <c r="L184" s="18" t="n">
        <v>39</v>
      </c>
    </row>
    <row r="185" customFormat="false" ht="15.75" hidden="false" customHeight="false" outlineLevel="0" collapsed="false">
      <c r="B185" s="18" t="s">
        <v>235</v>
      </c>
      <c r="C185" s="14" t="str">
        <f aca="false">IF(B185="","",IFERROR(INDEX('CLM &amp; IM Mapping'!$B$2:$B$270,MATCH(TRIM(B185),'CLM &amp; IM Mapping'!$A$2:$A$270,0)),"Not Mapped"))</f>
        <v>Ravishankar gowda</v>
      </c>
      <c r="D185" s="14" t="str">
        <f aca="false">IF(B185="","",IFERROR(INDEX('CLM &amp; IM Mapping'!$C$2:$C$270,MATCH(TRIM(B185),'CLM &amp; IM Mapping'!$A$2:$A$270,0)),"Not Mapped"))</f>
        <v>Kishor K</v>
      </c>
      <c r="E185" s="18" t="n">
        <v>5</v>
      </c>
      <c r="F185" s="18" t="n">
        <v>6</v>
      </c>
      <c r="G185" s="18" t="n">
        <v>16</v>
      </c>
      <c r="H185" s="18" t="n">
        <v>23</v>
      </c>
      <c r="I185" s="18" t="n">
        <v>1</v>
      </c>
      <c r="J185" s="18" t="n">
        <v>1</v>
      </c>
      <c r="K185" s="18" t="n">
        <v>52</v>
      </c>
      <c r="L185" s="18" t="n">
        <v>47</v>
      </c>
    </row>
    <row r="186" customFormat="false" ht="15.75" hidden="false" customHeight="false" outlineLevel="0" collapsed="false">
      <c r="B186" s="18" t="s">
        <v>106</v>
      </c>
      <c r="C186" s="14" t="str">
        <f aca="false">IF(B186="","",IFERROR(INDEX('CLM &amp; IM Mapping'!$B$2:$B$270,MATCH(TRIM(B186),'CLM &amp; IM Mapping'!$A$2:$A$270,0)),"Not Mapped"))</f>
        <v>Bangareppa CS</v>
      </c>
      <c r="D186" s="14" t="str">
        <f aca="false">IF(B186="","",IFERROR(INDEX('CLM &amp; IM Mapping'!$C$2:$C$270,MATCH(TRIM(B186),'CLM &amp; IM Mapping'!$A$2:$A$270,0)),"Not Mapped"))</f>
        <v>Kishor K</v>
      </c>
      <c r="E186" s="18" t="n">
        <v>0</v>
      </c>
      <c r="F186" s="18" t="n">
        <v>9</v>
      </c>
      <c r="G186" s="18" t="n">
        <v>0</v>
      </c>
      <c r="H186" s="18" t="n">
        <v>0</v>
      </c>
      <c r="I186" s="18" t="n">
        <v>0</v>
      </c>
      <c r="J186" s="18" t="n">
        <v>42</v>
      </c>
      <c r="K186" s="18" t="n">
        <v>51</v>
      </c>
      <c r="L186" s="18" t="n">
        <v>45</v>
      </c>
    </row>
    <row r="187" customFormat="false" ht="15.75" hidden="false" customHeight="false" outlineLevel="0" collapsed="false">
      <c r="B187" s="18" t="s">
        <v>169</v>
      </c>
      <c r="C187" s="14" t="str">
        <f aca="false">IF(B187="","",IFERROR(INDEX('CLM &amp; IM Mapping'!$B$2:$B$270,MATCH(TRIM(B187),'CLM &amp; IM Mapping'!$A$2:$A$270,0)),"Not Mapped"))</f>
        <v>Narasimhamurthy R</v>
      </c>
      <c r="D187" s="14" t="str">
        <f aca="false">IF(B187="","",IFERROR(INDEX('CLM &amp; IM Mapping'!$C$2:$C$270,MATCH(TRIM(B187),'CLM &amp; IM Mapping'!$A$2:$A$270,0)),"Not Mapped"))</f>
        <v>Kishor K</v>
      </c>
      <c r="E187" s="18" t="n">
        <v>0</v>
      </c>
      <c r="F187" s="18" t="n">
        <v>3</v>
      </c>
      <c r="G187" s="18" t="n">
        <v>0</v>
      </c>
      <c r="H187" s="18" t="n">
        <v>19</v>
      </c>
      <c r="I187" s="18" t="n">
        <v>20</v>
      </c>
      <c r="J187" s="18" t="n">
        <v>8</v>
      </c>
      <c r="K187" s="18" t="n">
        <v>50</v>
      </c>
      <c r="L187" s="18" t="n">
        <v>49</v>
      </c>
    </row>
    <row r="188" customFormat="false" ht="15.75" hidden="false" customHeight="false" outlineLevel="0" collapsed="false">
      <c r="B188" s="18" t="s">
        <v>110</v>
      </c>
      <c r="C188" s="14" t="str">
        <f aca="false">IF(B188="","",IFERROR(INDEX('CLM &amp; IM Mapping'!$B$2:$B$270,MATCH(TRIM(B188),'CLM &amp; IM Mapping'!$A$2:$A$270,0)),"Not Mapped"))</f>
        <v>Suhas N</v>
      </c>
      <c r="D188" s="14" t="str">
        <f aca="false">IF(B188="","",IFERROR(INDEX('CLM &amp; IM Mapping'!$C$2:$C$270,MATCH(TRIM(B188),'CLM &amp; IM Mapping'!$A$2:$A$270,0)),"Not Mapped"))</f>
        <v>Aravind S</v>
      </c>
      <c r="E188" s="18" t="n">
        <v>0</v>
      </c>
      <c r="F188" s="18" t="n">
        <v>36</v>
      </c>
      <c r="G188" s="18" t="n">
        <v>0</v>
      </c>
      <c r="H188" s="18" t="n">
        <v>7</v>
      </c>
      <c r="I188" s="18" t="n">
        <v>0</v>
      </c>
      <c r="J188" s="18" t="n">
        <v>7</v>
      </c>
      <c r="K188" s="18" t="n">
        <v>50</v>
      </c>
      <c r="L188" s="18" t="n">
        <v>41</v>
      </c>
    </row>
    <row r="189" customFormat="false" ht="15.75" hidden="false" customHeight="false" outlineLevel="0" collapsed="false">
      <c r="B189" s="18" t="s">
        <v>189</v>
      </c>
      <c r="C189" s="14" t="str">
        <f aca="false">IF(B189="","",IFERROR(INDEX('CLM &amp; IM Mapping'!$B$2:$B$270,MATCH(TRIM(B189),'CLM &amp; IM Mapping'!$A$2:$A$270,0)),"Not Mapped"))</f>
        <v>Ashwath S</v>
      </c>
      <c r="D189" s="14" t="str">
        <f aca="false">IF(B189="","",IFERROR(INDEX('CLM &amp; IM Mapping'!$C$2:$C$270,MATCH(TRIM(B189),'CLM &amp; IM Mapping'!$A$2:$A$270,0)),"Not Mapped"))</f>
        <v>Kantha Kumar</v>
      </c>
      <c r="E189" s="18" t="n">
        <v>22</v>
      </c>
      <c r="F189" s="18" t="n">
        <v>21</v>
      </c>
      <c r="G189" s="18" t="n">
        <v>2</v>
      </c>
      <c r="H189" s="18" t="n">
        <v>4</v>
      </c>
      <c r="I189" s="18" t="n">
        <v>1</v>
      </c>
      <c r="J189" s="18" t="n">
        <v>0</v>
      </c>
      <c r="K189" s="18" t="n">
        <v>50</v>
      </c>
      <c r="L189" s="18" t="n">
        <v>39</v>
      </c>
    </row>
    <row r="190" customFormat="false" ht="15.75" hidden="false" customHeight="false" outlineLevel="0" collapsed="false">
      <c r="B190" s="18" t="s">
        <v>233</v>
      </c>
      <c r="C190" s="14" t="str">
        <f aca="false">IF(B190="","",IFERROR(INDEX('CLM &amp; IM Mapping'!$B$2:$B$270,MATCH(TRIM(B190),'CLM &amp; IM Mapping'!$A$2:$A$270,0)),"Not Mapped"))</f>
        <v>Arun Raj</v>
      </c>
      <c r="D190" s="14" t="str">
        <f aca="false">IF(B190="","",IFERROR(INDEX('CLM &amp; IM Mapping'!$C$2:$C$270,MATCH(TRIM(B190),'CLM &amp; IM Mapping'!$A$2:$A$270,0)),"Not Mapped"))</f>
        <v>Simon Manoharan</v>
      </c>
      <c r="E190" s="18" t="n">
        <v>0</v>
      </c>
      <c r="F190" s="18" t="n">
        <v>2</v>
      </c>
      <c r="G190" s="18" t="n">
        <v>0</v>
      </c>
      <c r="H190" s="18" t="n">
        <v>37</v>
      </c>
      <c r="I190" s="18" t="n">
        <v>10</v>
      </c>
      <c r="J190" s="18"/>
      <c r="K190" s="18" t="n">
        <v>49</v>
      </c>
      <c r="L190" s="18" t="n">
        <v>29</v>
      </c>
    </row>
    <row r="191" customFormat="false" ht="15.75" hidden="false" customHeight="false" outlineLevel="0" collapsed="false">
      <c r="B191" s="18" t="s">
        <v>215</v>
      </c>
      <c r="C191" s="14" t="str">
        <f aca="false">IF(B191="","",IFERROR(INDEX('CLM &amp; IM Mapping'!$B$2:$B$270,MATCH(TRIM(B191),'CLM &amp; IM Mapping'!$A$2:$A$270,0)),"Not Mapped"))</f>
        <v>Girish N</v>
      </c>
      <c r="D191" s="14" t="str">
        <f aca="false">IF(B191="","",IFERROR(INDEX('CLM &amp; IM Mapping'!$C$2:$C$270,MATCH(TRIM(B191),'CLM &amp; IM Mapping'!$A$2:$A$270,0)),"Not Mapped"))</f>
        <v>Un Mapped</v>
      </c>
      <c r="E191" s="18" t="n">
        <v>0</v>
      </c>
      <c r="F191" s="18" t="n">
        <v>20</v>
      </c>
      <c r="G191" s="18" t="n">
        <v>0</v>
      </c>
      <c r="H191" s="18" t="n">
        <v>21</v>
      </c>
      <c r="I191" s="18" t="n">
        <v>1</v>
      </c>
      <c r="J191" s="18" t="n">
        <v>6</v>
      </c>
      <c r="K191" s="18" t="n">
        <v>48</v>
      </c>
      <c r="L191" s="18" t="n">
        <v>48</v>
      </c>
    </row>
    <row r="192" customFormat="false" ht="15.75" hidden="false" customHeight="false" outlineLevel="0" collapsed="false">
      <c r="B192" s="18" t="s">
        <v>270</v>
      </c>
      <c r="C192" s="14" t="str">
        <f aca="false">IF(B192="","",IFERROR(INDEX('CLM &amp; IM Mapping'!$B$2:$B$270,MATCH(TRIM(B192),'CLM &amp; IM Mapping'!$A$2:$A$270,0)),"Not Mapped"))</f>
        <v>Adhavan Subramani</v>
      </c>
      <c r="D192" s="14" t="str">
        <f aca="false">IF(B192="","",IFERROR(INDEX('CLM &amp; IM Mapping'!$C$2:$C$270,MATCH(TRIM(B192),'CLM &amp; IM Mapping'!$A$2:$A$270,0)),"Not Mapped"))</f>
        <v>Mohammed Akbar</v>
      </c>
      <c r="E192" s="18" t="n">
        <v>0</v>
      </c>
      <c r="F192" s="18" t="n">
        <v>1</v>
      </c>
      <c r="G192" s="18" t="n">
        <v>0</v>
      </c>
      <c r="H192" s="18" t="n">
        <v>12</v>
      </c>
      <c r="I192" s="18" t="n">
        <v>31</v>
      </c>
      <c r="J192" s="18" t="n">
        <v>3</v>
      </c>
      <c r="K192" s="18" t="n">
        <v>47</v>
      </c>
      <c r="L192" s="18" t="n">
        <v>47</v>
      </c>
    </row>
    <row r="193" customFormat="false" ht="15.75" hidden="false" customHeight="false" outlineLevel="0" collapsed="false">
      <c r="B193" s="18" t="s">
        <v>253</v>
      </c>
      <c r="C193" s="14" t="str">
        <f aca="false">IF(B193="","",IFERROR(INDEX('CLM &amp; IM Mapping'!$B$2:$B$270,MATCH(TRIM(B193),'CLM &amp; IM Mapping'!$A$2:$A$270,0)),"Not Mapped"))</f>
        <v>Girish N</v>
      </c>
      <c r="D193" s="14" t="str">
        <f aca="false">IF(B193="","",IFERROR(INDEX('CLM &amp; IM Mapping'!$C$2:$C$270,MATCH(TRIM(B193),'CLM &amp; IM Mapping'!$A$2:$A$270,0)),"Not Mapped"))</f>
        <v>Un Mapped</v>
      </c>
      <c r="E193" s="18" t="n">
        <v>0</v>
      </c>
      <c r="F193" s="18" t="n">
        <v>15</v>
      </c>
      <c r="G193" s="18" t="n">
        <v>0</v>
      </c>
      <c r="H193" s="18" t="n">
        <v>24</v>
      </c>
      <c r="I193" s="18" t="n">
        <v>0</v>
      </c>
      <c r="J193" s="18" t="n">
        <v>8</v>
      </c>
      <c r="K193" s="18" t="n">
        <v>47</v>
      </c>
      <c r="L193" s="18" t="n">
        <v>47</v>
      </c>
    </row>
    <row r="194" customFormat="false" ht="15.75" hidden="false" customHeight="false" outlineLevel="0" collapsed="false">
      <c r="B194" s="18" t="s">
        <v>146</v>
      </c>
      <c r="C194" s="14" t="str">
        <f aca="false">IF(B194="","",IFERROR(INDEX('CLM &amp; IM Mapping'!$B$2:$B$270,MATCH(TRIM(B194),'CLM &amp; IM Mapping'!$A$2:$A$270,0)),"Not Mapped"))</f>
        <v>Basil Scariya</v>
      </c>
      <c r="D194" s="14" t="str">
        <f aca="false">IF(B194="","",IFERROR(INDEX('CLM &amp; IM Mapping'!$C$2:$C$270,MATCH(TRIM(B194),'CLM &amp; IM Mapping'!$A$2:$A$270,0)),"Not Mapped"))</f>
        <v>Prakash BS</v>
      </c>
      <c r="E194" s="18" t="n">
        <v>2</v>
      </c>
      <c r="F194" s="18" t="n">
        <v>39</v>
      </c>
      <c r="G194" s="18" t="n">
        <v>0</v>
      </c>
      <c r="H194" s="18" t="n">
        <v>5</v>
      </c>
      <c r="I194" s="18" t="n">
        <v>0</v>
      </c>
      <c r="J194" s="18" t="n">
        <v>1</v>
      </c>
      <c r="K194" s="18" t="n">
        <v>47</v>
      </c>
      <c r="L194" s="18" t="n">
        <v>45</v>
      </c>
    </row>
    <row r="195" customFormat="false" ht="15.75" hidden="false" customHeight="false" outlineLevel="0" collapsed="false">
      <c r="B195" s="18" t="s">
        <v>191</v>
      </c>
      <c r="C195" s="14" t="str">
        <f aca="false">IF(B195="","",IFERROR(INDEX('CLM &amp; IM Mapping'!$B$2:$B$270,MATCH(TRIM(B195),'CLM &amp; IM Mapping'!$A$2:$A$270,0)),"Not Mapped"))</f>
        <v>Raghavendra Vernekar</v>
      </c>
      <c r="D195" s="14" t="str">
        <f aca="false">IF(B195="","",IFERROR(INDEX('CLM &amp; IM Mapping'!$C$2:$C$270,MATCH(TRIM(B195),'CLM &amp; IM Mapping'!$A$2:$A$270,0)),"Not Mapped"))</f>
        <v>Prakash BS</v>
      </c>
      <c r="E195" s="18" t="n">
        <v>0</v>
      </c>
      <c r="F195" s="18" t="n">
        <v>1</v>
      </c>
      <c r="G195" s="18" t="n">
        <v>0</v>
      </c>
      <c r="H195" s="18" t="n">
        <v>6</v>
      </c>
      <c r="I195" s="18" t="n">
        <v>19</v>
      </c>
      <c r="J195" s="18" t="n">
        <v>21</v>
      </c>
      <c r="K195" s="18" t="n">
        <v>47</v>
      </c>
      <c r="L195" s="18" t="n">
        <v>47</v>
      </c>
    </row>
    <row r="196" customFormat="false" ht="15.75" hidden="false" customHeight="false" outlineLevel="0" collapsed="false">
      <c r="B196" s="18" t="s">
        <v>252</v>
      </c>
      <c r="C196" s="14" t="str">
        <f aca="false">IF(B196="","",IFERROR(INDEX('CLM &amp; IM Mapping'!$B$2:$B$270,MATCH(TRIM(B196),'CLM &amp; IM Mapping'!$A$2:$A$270,0)),"Not Mapped"))</f>
        <v>Akshay P</v>
      </c>
      <c r="D196" s="14" t="str">
        <f aca="false">IF(B196="","",IFERROR(INDEX('CLM &amp; IM Mapping'!$C$2:$C$270,MATCH(TRIM(B196),'CLM &amp; IM Mapping'!$A$2:$A$270,0)),"Not Mapped"))</f>
        <v>Srittam Dhal</v>
      </c>
      <c r="E196" s="18" t="n">
        <v>13</v>
      </c>
      <c r="F196" s="18" t="n">
        <v>1</v>
      </c>
      <c r="G196" s="18" t="n">
        <v>4</v>
      </c>
      <c r="H196" s="18" t="n">
        <v>21</v>
      </c>
      <c r="I196" s="18" t="n">
        <v>0</v>
      </c>
      <c r="J196" s="18" t="n">
        <v>3</v>
      </c>
      <c r="K196" s="18" t="n">
        <v>42</v>
      </c>
      <c r="L196" s="18" t="n">
        <v>42</v>
      </c>
    </row>
    <row r="197" customFormat="false" ht="15.75" hidden="false" customHeight="false" outlineLevel="0" collapsed="false">
      <c r="B197" s="18" t="s">
        <v>40</v>
      </c>
      <c r="C197" s="14" t="str">
        <f aca="false">IF(B197="","",IFERROR(INDEX('CLM &amp; IM Mapping'!$B$2:$B$270,MATCH(TRIM(B197),'CLM &amp; IM Mapping'!$A$2:$A$270,0)),"Not Mapped"))</f>
        <v>Narasimhamurthy R</v>
      </c>
      <c r="D197" s="14" t="str">
        <f aca="false">IF(B197="","",IFERROR(INDEX('CLM &amp; IM Mapping'!$C$2:$C$270,MATCH(TRIM(B197),'CLM &amp; IM Mapping'!$A$2:$A$270,0)),"Not Mapped"))</f>
        <v>Kishor K</v>
      </c>
      <c r="E197" s="18" t="n">
        <v>0</v>
      </c>
      <c r="F197" s="18" t="n">
        <v>5</v>
      </c>
      <c r="G197" s="18" t="n">
        <v>0</v>
      </c>
      <c r="H197" s="18" t="n">
        <v>32</v>
      </c>
      <c r="I197" s="18" t="n">
        <v>3</v>
      </c>
      <c r="J197" s="18" t="n">
        <v>1</v>
      </c>
      <c r="K197" s="18" t="n">
        <v>41</v>
      </c>
      <c r="L197" s="18" t="n">
        <v>41</v>
      </c>
    </row>
    <row r="198" customFormat="false" ht="15.75" hidden="false" customHeight="false" outlineLevel="0" collapsed="false">
      <c r="B198" s="18" t="s">
        <v>67</v>
      </c>
      <c r="C198" s="14" t="str">
        <f aca="false">IF(B198="","",IFERROR(INDEX('CLM &amp; IM Mapping'!$B$2:$B$270,MATCH(TRIM(B198),'CLM &amp; IM Mapping'!$A$2:$A$270,0)),"Not Mapped"))</f>
        <v>Raghavendra Vernekar</v>
      </c>
      <c r="D198" s="14" t="str">
        <f aca="false">IF(B198="","",IFERROR(INDEX('CLM &amp; IM Mapping'!$C$2:$C$270,MATCH(TRIM(B198),'CLM &amp; IM Mapping'!$A$2:$A$270,0)),"Not Mapped"))</f>
        <v>Prakash BS</v>
      </c>
      <c r="E198" s="18" t="n">
        <v>0</v>
      </c>
      <c r="F198" s="18" t="n">
        <v>0</v>
      </c>
      <c r="G198" s="18" t="n">
        <v>0</v>
      </c>
      <c r="H198" s="18" t="n">
        <v>30</v>
      </c>
      <c r="I198" s="18" t="n">
        <v>0</v>
      </c>
      <c r="J198" s="18" t="n">
        <v>10</v>
      </c>
      <c r="K198" s="18" t="n">
        <v>40</v>
      </c>
      <c r="L198" s="18" t="n">
        <v>40</v>
      </c>
    </row>
    <row r="199" customFormat="false" ht="15.75" hidden="false" customHeight="false" outlineLevel="0" collapsed="false">
      <c r="B199" s="18" t="s">
        <v>163</v>
      </c>
      <c r="C199" s="14" t="str">
        <f aca="false">IF(B199="","",IFERROR(INDEX('CLM &amp; IM Mapping'!$B$2:$B$270,MATCH(TRIM(B199),'CLM &amp; IM Mapping'!$A$2:$A$270,0)),"Not Mapped"))</f>
        <v>Suhas N</v>
      </c>
      <c r="D199" s="14" t="str">
        <f aca="false">IF(B199="","",IFERROR(INDEX('CLM &amp; IM Mapping'!$C$2:$C$270,MATCH(TRIM(B199),'CLM &amp; IM Mapping'!$A$2:$A$270,0)),"Not Mapped"))</f>
        <v>Aravind S</v>
      </c>
      <c r="E199" s="18" t="n">
        <v>0</v>
      </c>
      <c r="F199" s="18" t="n">
        <v>0</v>
      </c>
      <c r="G199" s="18" t="n">
        <v>2</v>
      </c>
      <c r="H199" s="18" t="n">
        <v>4</v>
      </c>
      <c r="I199" s="18" t="n">
        <v>3</v>
      </c>
      <c r="J199" s="18" t="n">
        <v>30</v>
      </c>
      <c r="K199" s="18" t="n">
        <v>39</v>
      </c>
      <c r="L199" s="18" t="n">
        <v>37</v>
      </c>
    </row>
    <row r="200" customFormat="false" ht="15.75" hidden="false" customHeight="false" outlineLevel="0" collapsed="false">
      <c r="B200" s="18" t="s">
        <v>120</v>
      </c>
      <c r="C200" s="14" t="str">
        <f aca="false">IF(B200="","",IFERROR(INDEX('CLM &amp; IM Mapping'!$B$2:$B$270,MATCH(TRIM(B200),'CLM &amp; IM Mapping'!$A$2:$A$270,0)),"Not Mapped"))</f>
        <v>Arun Raj</v>
      </c>
      <c r="D200" s="14" t="str">
        <f aca="false">IF(B200="","",IFERROR(INDEX('CLM &amp; IM Mapping'!$C$2:$C$270,MATCH(TRIM(B200),'CLM &amp; IM Mapping'!$A$2:$A$270,0)),"Not Mapped"))</f>
        <v>Simon Manoharan</v>
      </c>
      <c r="E200" s="18"/>
      <c r="F200" s="18" t="n">
        <v>6</v>
      </c>
      <c r="G200" s="18"/>
      <c r="H200" s="18" t="n">
        <v>29</v>
      </c>
      <c r="I200" s="18" t="n">
        <v>3</v>
      </c>
      <c r="J200" s="18" t="n">
        <v>0</v>
      </c>
      <c r="K200" s="18" t="n">
        <v>38</v>
      </c>
      <c r="L200" s="18" t="n">
        <v>2</v>
      </c>
    </row>
    <row r="201" customFormat="false" ht="15.75" hidden="false" customHeight="false" outlineLevel="0" collapsed="false">
      <c r="B201" s="18" t="s">
        <v>254</v>
      </c>
      <c r="C201" s="14" t="str">
        <f aca="false">IF(B201="","",IFERROR(INDEX('CLM &amp; IM Mapping'!$B$2:$B$270,MATCH(TRIM(B201),'CLM &amp; IM Mapping'!$A$2:$A$270,0)),"Not Mapped"))</f>
        <v>Suhas N</v>
      </c>
      <c r="D201" s="14" t="str">
        <f aca="false">IF(B201="","",IFERROR(INDEX('CLM &amp; IM Mapping'!$C$2:$C$270,MATCH(TRIM(B201),'CLM &amp; IM Mapping'!$A$2:$A$270,0)),"Not Mapped"))</f>
        <v>Aravind S</v>
      </c>
      <c r="E201" s="18" t="n">
        <v>1</v>
      </c>
      <c r="F201" s="18" t="n">
        <v>13</v>
      </c>
      <c r="G201" s="18"/>
      <c r="H201" s="18" t="n">
        <v>7</v>
      </c>
      <c r="I201" s="18" t="n">
        <v>17</v>
      </c>
      <c r="J201" s="18" t="n">
        <v>0</v>
      </c>
      <c r="K201" s="18" t="n">
        <v>38</v>
      </c>
      <c r="L201" s="18" t="n">
        <v>36</v>
      </c>
    </row>
    <row r="202" customFormat="false" ht="15.75" hidden="false" customHeight="false" outlineLevel="0" collapsed="false">
      <c r="B202" s="18" t="s">
        <v>82</v>
      </c>
      <c r="C202" s="14" t="str">
        <f aca="false">IF(B202="","",IFERROR(INDEX('CLM &amp; IM Mapping'!$B$2:$B$270,MATCH(TRIM(B202),'CLM &amp; IM Mapping'!$A$2:$A$270,0)),"Not Mapped"))</f>
        <v>Narasimhamurthy R</v>
      </c>
      <c r="D202" s="14" t="str">
        <f aca="false">IF(B202="","",IFERROR(INDEX('CLM &amp; IM Mapping'!$C$2:$C$270,MATCH(TRIM(B202),'CLM &amp; IM Mapping'!$A$2:$A$270,0)),"Not Mapped"))</f>
        <v>Kishor K</v>
      </c>
      <c r="E202" s="18" t="n">
        <v>7</v>
      </c>
      <c r="F202" s="18" t="n">
        <v>2</v>
      </c>
      <c r="G202" s="18" t="n">
        <v>14</v>
      </c>
      <c r="H202" s="18" t="n">
        <v>0</v>
      </c>
      <c r="I202" s="18" t="n">
        <v>1</v>
      </c>
      <c r="J202" s="18" t="n">
        <v>13</v>
      </c>
      <c r="K202" s="18" t="n">
        <v>37</v>
      </c>
      <c r="L202" s="18" t="n">
        <v>37</v>
      </c>
    </row>
    <row r="203" customFormat="false" ht="15.75" hidden="false" customHeight="false" outlineLevel="0" collapsed="false">
      <c r="B203" s="18" t="s">
        <v>45</v>
      </c>
      <c r="C203" s="14" t="str">
        <f aca="false">IF(B203="","",IFERROR(INDEX('CLM &amp; IM Mapping'!$B$2:$B$270,MATCH(TRIM(B203),'CLM &amp; IM Mapping'!$A$2:$A$270,0)),"Not Mapped"))</f>
        <v>Vishnu V</v>
      </c>
      <c r="D203" s="14" t="str">
        <f aca="false">IF(B203="","",IFERROR(INDEX('CLM &amp; IM Mapping'!$C$2:$C$270,MATCH(TRIM(B203),'CLM &amp; IM Mapping'!$A$2:$A$270,0)),"Not Mapped"))</f>
        <v>Arivind S</v>
      </c>
      <c r="E203" s="18" t="n">
        <v>0</v>
      </c>
      <c r="F203" s="18" t="n">
        <v>32</v>
      </c>
      <c r="G203" s="18"/>
      <c r="H203" s="18" t="n">
        <v>5</v>
      </c>
      <c r="I203" s="18"/>
      <c r="J203" s="18"/>
      <c r="K203" s="18" t="n">
        <v>37</v>
      </c>
      <c r="L203" s="18" t="n">
        <v>13</v>
      </c>
    </row>
    <row r="204" customFormat="false" ht="15.75" hidden="false" customHeight="false" outlineLevel="0" collapsed="false">
      <c r="B204" s="18" t="s">
        <v>39</v>
      </c>
      <c r="C204" s="14" t="str">
        <f aca="false">IF(B204="","",IFERROR(INDEX('CLM &amp; IM Mapping'!$B$2:$B$270,MATCH(TRIM(B204),'CLM &amp; IM Mapping'!$A$2:$A$270,0)),"Not Mapped"))</f>
        <v>Arun Raj</v>
      </c>
      <c r="D204" s="14" t="str">
        <f aca="false">IF(B204="","",IFERROR(INDEX('CLM &amp; IM Mapping'!$C$2:$C$270,MATCH(TRIM(B204),'CLM &amp; IM Mapping'!$A$2:$A$270,0)),"Not Mapped"))</f>
        <v>Simon Manoharan</v>
      </c>
      <c r="E204" s="18" t="n">
        <v>15</v>
      </c>
      <c r="F204" s="18" t="n">
        <v>10</v>
      </c>
      <c r="G204" s="18" t="n">
        <v>5</v>
      </c>
      <c r="H204" s="18" t="n">
        <v>1</v>
      </c>
      <c r="I204" s="18" t="n">
        <v>2</v>
      </c>
      <c r="J204" s="18"/>
      <c r="K204" s="18" t="n">
        <v>33</v>
      </c>
      <c r="L204" s="18" t="n">
        <v>31</v>
      </c>
    </row>
    <row r="205" customFormat="false" ht="15.75" hidden="false" customHeight="false" outlineLevel="0" collapsed="false">
      <c r="B205" s="18" t="s">
        <v>213</v>
      </c>
      <c r="C205" s="14" t="str">
        <f aca="false">IF(B205="","",IFERROR(INDEX('CLM &amp; IM Mapping'!$B$2:$B$270,MATCH(TRIM(B205),'CLM &amp; IM Mapping'!$A$2:$A$270,0)),"Not Mapped"))</f>
        <v>Arun Raj</v>
      </c>
      <c r="D205" s="14" t="str">
        <f aca="false">IF(B205="","",IFERROR(INDEX('CLM &amp; IM Mapping'!$C$2:$C$270,MATCH(TRIM(B205),'CLM &amp; IM Mapping'!$A$2:$A$270,0)),"Not Mapped"))</f>
        <v>Simon Manoharan</v>
      </c>
      <c r="E205" s="18" t="n">
        <v>0</v>
      </c>
      <c r="F205" s="18" t="n">
        <v>3</v>
      </c>
      <c r="G205" s="18" t="n">
        <v>0</v>
      </c>
      <c r="H205" s="18" t="n">
        <v>23</v>
      </c>
      <c r="I205" s="18" t="n">
        <v>6</v>
      </c>
      <c r="J205" s="18"/>
      <c r="K205" s="18" t="n">
        <v>32</v>
      </c>
      <c r="L205" s="18" t="n">
        <v>25</v>
      </c>
    </row>
    <row r="206" customFormat="false" ht="15.75" hidden="false" customHeight="false" outlineLevel="0" collapsed="false">
      <c r="B206" s="18" t="s">
        <v>243</v>
      </c>
      <c r="C206" s="14" t="str">
        <f aca="false">IF(B206="","",IFERROR(INDEX('CLM &amp; IM Mapping'!$B$2:$B$270,MATCH(TRIM(B206),'CLM &amp; IM Mapping'!$A$2:$A$270,0)),"Not Mapped"))</f>
        <v>Santhosha M</v>
      </c>
      <c r="D206" s="14" t="str">
        <f aca="false">IF(B206="","",IFERROR(INDEX('CLM &amp; IM Mapping'!$C$2:$C$270,MATCH(TRIM(B206),'CLM &amp; IM Mapping'!$A$2:$A$270,0)),"Not Mapped"))</f>
        <v>Aravind S</v>
      </c>
      <c r="E206" s="18" t="n">
        <v>19</v>
      </c>
      <c r="F206" s="18" t="n">
        <v>4</v>
      </c>
      <c r="G206" s="18" t="n">
        <v>2</v>
      </c>
      <c r="H206" s="18" t="n">
        <v>0</v>
      </c>
      <c r="I206" s="18" t="n">
        <v>1</v>
      </c>
      <c r="J206" s="18" t="n">
        <v>0</v>
      </c>
      <c r="K206" s="18" t="n">
        <v>26</v>
      </c>
      <c r="L206" s="18" t="n">
        <v>26</v>
      </c>
    </row>
    <row r="207" customFormat="false" ht="15.75" hidden="false" customHeight="false" outlineLevel="0" collapsed="false">
      <c r="B207" s="18" t="s">
        <v>88</v>
      </c>
      <c r="C207" s="14" t="str">
        <f aca="false">IF(B207="","",IFERROR(INDEX('CLM &amp; IM Mapping'!$B$2:$B$270,MATCH(TRIM(B207),'CLM &amp; IM Mapping'!$A$2:$A$270,0)),"Not Mapped"))</f>
        <v>John Britto</v>
      </c>
      <c r="D207" s="14" t="str">
        <f aca="false">IF(B207="","",IFERROR(INDEX('CLM &amp; IM Mapping'!$C$2:$C$270,MATCH(TRIM(B207),'CLM &amp; IM Mapping'!$A$2:$A$270,0)),"Not Mapped"))</f>
        <v>Aravind S</v>
      </c>
      <c r="E207" s="18" t="n">
        <v>0</v>
      </c>
      <c r="F207" s="18" t="n">
        <v>15</v>
      </c>
      <c r="G207" s="18" t="n">
        <v>0</v>
      </c>
      <c r="H207" s="18" t="n">
        <v>9</v>
      </c>
      <c r="I207" s="18" t="n">
        <v>0</v>
      </c>
      <c r="J207" s="18" t="n">
        <v>0</v>
      </c>
      <c r="K207" s="18" t="n">
        <v>24</v>
      </c>
      <c r="L207" s="18" t="n">
        <v>24</v>
      </c>
    </row>
    <row r="208" customFormat="false" ht="15.75" hidden="false" customHeight="false" outlineLevel="0" collapsed="false">
      <c r="B208" s="18" t="s">
        <v>118</v>
      </c>
      <c r="C208" s="14" t="str">
        <f aca="false">IF(B208="","",IFERROR(INDEX('CLM &amp; IM Mapping'!$B$2:$B$270,MATCH(TRIM(B208),'CLM &amp; IM Mapping'!$A$2:$A$270,0)),"Not Mapped"))</f>
        <v>Balaji G</v>
      </c>
      <c r="D208" s="14" t="str">
        <f aca="false">IF(B208="","",IFERROR(INDEX('CLM &amp; IM Mapping'!$C$2:$C$270,MATCH(TRIM(B208),'CLM &amp; IM Mapping'!$A$2:$A$270,0)),"Not Mapped"))</f>
        <v>Mohammed Akbar</v>
      </c>
      <c r="E208" s="18" t="n">
        <v>9</v>
      </c>
      <c r="F208" s="18" t="n">
        <v>3</v>
      </c>
      <c r="G208" s="18" t="n">
        <v>4</v>
      </c>
      <c r="H208" s="18" t="n">
        <v>4</v>
      </c>
      <c r="I208" s="18" t="n">
        <v>1</v>
      </c>
      <c r="J208" s="18" t="n">
        <v>3</v>
      </c>
      <c r="K208" s="18" t="n">
        <v>24</v>
      </c>
      <c r="L208" s="18" t="n">
        <v>24</v>
      </c>
    </row>
    <row r="209" customFormat="false" ht="15.75" hidden="false" customHeight="false" outlineLevel="0" collapsed="false">
      <c r="B209" s="18" t="s">
        <v>135</v>
      </c>
      <c r="C209" s="14" t="str">
        <f aca="false">IF(B209="","",IFERROR(INDEX('CLM &amp; IM Mapping'!$B$2:$B$270,MATCH(TRIM(B209),'CLM &amp; IM Mapping'!$A$2:$A$270,0)),"Not Mapped"))</f>
        <v>John Britto</v>
      </c>
      <c r="D209" s="14" t="str">
        <f aca="false">IF(B209="","",IFERROR(INDEX('CLM &amp; IM Mapping'!$C$2:$C$270,MATCH(TRIM(B209),'CLM &amp; IM Mapping'!$A$2:$A$270,0)),"Not Mapped"))</f>
        <v>Aravind S</v>
      </c>
      <c r="E209" s="18" t="n">
        <v>0</v>
      </c>
      <c r="F209" s="18" t="n">
        <v>22</v>
      </c>
      <c r="G209" s="18" t="n">
        <v>0</v>
      </c>
      <c r="H209" s="18" t="n">
        <v>1</v>
      </c>
      <c r="I209" s="18" t="n">
        <v>0</v>
      </c>
      <c r="J209" s="18" t="n">
        <v>1</v>
      </c>
      <c r="K209" s="18" t="n">
        <v>24</v>
      </c>
      <c r="L209" s="18" t="n">
        <v>24</v>
      </c>
    </row>
    <row r="210" customFormat="false" ht="15.75" hidden="false" customHeight="false" outlineLevel="0" collapsed="false">
      <c r="B210" s="18" t="s">
        <v>63</v>
      </c>
      <c r="C210" s="14" t="str">
        <f aca="false">IF(B210="","",IFERROR(INDEX('CLM &amp; IM Mapping'!$B$2:$B$270,MATCH(TRIM(B210),'CLM &amp; IM Mapping'!$A$2:$A$270,0)),"Not Mapped"))</f>
        <v>Ravishankar gowda</v>
      </c>
      <c r="D210" s="14" t="str">
        <f aca="false">IF(B210="","",IFERROR(INDEX('CLM &amp; IM Mapping'!$C$2:$C$270,MATCH(TRIM(B210),'CLM &amp; IM Mapping'!$A$2:$A$270,0)),"Not Mapped"))</f>
        <v>Kishor K</v>
      </c>
      <c r="E210" s="18" t="n">
        <v>2</v>
      </c>
      <c r="F210" s="18" t="n">
        <v>0</v>
      </c>
      <c r="G210" s="18" t="n">
        <v>0</v>
      </c>
      <c r="H210" s="18" t="n">
        <v>2</v>
      </c>
      <c r="I210" s="18" t="n">
        <v>5</v>
      </c>
      <c r="J210" s="18" t="n">
        <v>15</v>
      </c>
      <c r="K210" s="18" t="n">
        <v>24</v>
      </c>
      <c r="L210" s="18" t="n">
        <v>24</v>
      </c>
    </row>
    <row r="211" customFormat="false" ht="15.75" hidden="false" customHeight="false" outlineLevel="0" collapsed="false">
      <c r="B211" s="18" t="s">
        <v>265</v>
      </c>
      <c r="C211" s="14" t="str">
        <f aca="false">IF(B211="","",IFERROR(INDEX('CLM &amp; IM Mapping'!$B$2:$B$270,MATCH(TRIM(B211),'CLM &amp; IM Mapping'!$A$2:$A$270,0)),"Not Mapped"))</f>
        <v>Arun Raj</v>
      </c>
      <c r="D211" s="14" t="str">
        <f aca="false">IF(B211="","",IFERROR(INDEX('CLM &amp; IM Mapping'!$C$2:$C$270,MATCH(TRIM(B211),'CLM &amp; IM Mapping'!$A$2:$A$270,0)),"Not Mapped"))</f>
        <v>Simon Manoharan</v>
      </c>
      <c r="E211" s="18" t="n">
        <v>0</v>
      </c>
      <c r="F211" s="18" t="n">
        <v>0</v>
      </c>
      <c r="G211" s="18" t="n">
        <v>0</v>
      </c>
      <c r="H211" s="18" t="n">
        <v>21</v>
      </c>
      <c r="I211" s="18" t="n">
        <v>2</v>
      </c>
      <c r="J211" s="18"/>
      <c r="K211" s="18" t="n">
        <v>23</v>
      </c>
      <c r="L211" s="18" t="n">
        <v>22</v>
      </c>
    </row>
    <row r="212" customFormat="false" ht="15.75" hidden="false" customHeight="false" outlineLevel="0" collapsed="false">
      <c r="B212" s="18" t="s">
        <v>250</v>
      </c>
      <c r="C212" s="14" t="str">
        <f aca="false">IF(B212="","",IFERROR(INDEX('CLM &amp; IM Mapping'!$B$2:$B$270,MATCH(TRIM(B212),'CLM &amp; IM Mapping'!$A$2:$A$270,0)),"Not Mapped"))</f>
        <v>John Britto</v>
      </c>
      <c r="D212" s="14" t="str">
        <f aca="false">IF(B212="","",IFERROR(INDEX('CLM &amp; IM Mapping'!$C$2:$C$270,MATCH(TRIM(B212),'CLM &amp; IM Mapping'!$A$2:$A$270,0)),"Not Mapped"))</f>
        <v>Aravind S</v>
      </c>
      <c r="E212" s="18" t="n">
        <v>0</v>
      </c>
      <c r="F212" s="18" t="n">
        <v>0</v>
      </c>
      <c r="G212" s="18" t="n">
        <v>1</v>
      </c>
      <c r="H212" s="18" t="n">
        <v>0</v>
      </c>
      <c r="I212" s="18" t="n">
        <v>0</v>
      </c>
      <c r="J212" s="18" t="n">
        <v>22</v>
      </c>
      <c r="K212" s="18" t="n">
        <v>23</v>
      </c>
      <c r="L212" s="18" t="n">
        <v>1</v>
      </c>
    </row>
    <row r="213" customFormat="false" ht="15.75" hidden="false" customHeight="false" outlineLevel="0" collapsed="false">
      <c r="B213" s="18" t="s">
        <v>155</v>
      </c>
      <c r="C213" s="14" t="str">
        <f aca="false">IF(B213="","",IFERROR(INDEX('CLM &amp; IM Mapping'!$B$2:$B$270,MATCH(TRIM(B213),'CLM &amp; IM Mapping'!$A$2:$A$270,0)),"Not Mapped"))</f>
        <v>Akshay P</v>
      </c>
      <c r="D213" s="14" t="str">
        <f aca="false">IF(B213="","",IFERROR(INDEX('CLM &amp; IM Mapping'!$C$2:$C$270,MATCH(TRIM(B213),'CLM &amp; IM Mapping'!$A$2:$A$270,0)),"Not Mapped"))</f>
        <v>Srittam Dhal</v>
      </c>
      <c r="E213" s="18" t="n">
        <v>0</v>
      </c>
      <c r="F213" s="18" t="n">
        <v>0</v>
      </c>
      <c r="G213" s="18" t="n">
        <v>0</v>
      </c>
      <c r="H213" s="18" t="n">
        <v>1</v>
      </c>
      <c r="I213" s="18" t="n">
        <v>0</v>
      </c>
      <c r="J213" s="18" t="n">
        <v>22</v>
      </c>
      <c r="K213" s="18" t="n">
        <v>23</v>
      </c>
      <c r="L213" s="18" t="n">
        <v>23</v>
      </c>
    </row>
    <row r="214" customFormat="false" ht="15.75" hidden="false" customHeight="false" outlineLevel="0" collapsed="false">
      <c r="B214" s="18" t="s">
        <v>157</v>
      </c>
      <c r="C214" s="14" t="str">
        <f aca="false">IF(B214="","",IFERROR(INDEX('CLM &amp; IM Mapping'!$B$2:$B$270,MATCH(TRIM(B214),'CLM &amp; IM Mapping'!$A$2:$A$270,0)),"Not Mapped"))</f>
        <v>Arun Raj</v>
      </c>
      <c r="D214" s="14" t="str">
        <f aca="false">IF(B214="","",IFERROR(INDEX('CLM &amp; IM Mapping'!$C$2:$C$270,MATCH(TRIM(B214),'CLM &amp; IM Mapping'!$A$2:$A$270,0)),"Not Mapped"))</f>
        <v>Simon Manoharan</v>
      </c>
      <c r="E214" s="18" t="n">
        <v>14</v>
      </c>
      <c r="F214" s="18" t="n">
        <v>0</v>
      </c>
      <c r="G214" s="18" t="n">
        <v>8</v>
      </c>
      <c r="H214" s="18" t="n">
        <v>0</v>
      </c>
      <c r="I214" s="18" t="n">
        <v>0</v>
      </c>
      <c r="J214" s="18"/>
      <c r="K214" s="18" t="n">
        <v>22</v>
      </c>
      <c r="L214" s="18" t="n">
        <v>22</v>
      </c>
    </row>
    <row r="215" customFormat="false" ht="15.75" hidden="false" customHeight="false" outlineLevel="0" collapsed="false">
      <c r="B215" s="18" t="s">
        <v>49</v>
      </c>
      <c r="C215" s="14" t="str">
        <f aca="false">IF(B215="","",IFERROR(INDEX('CLM &amp; IM Mapping'!$B$2:$B$270,MATCH(TRIM(B215),'CLM &amp; IM Mapping'!$A$2:$A$270,0)),"Not Mapped"))</f>
        <v>Vishnu V</v>
      </c>
      <c r="D215" s="14" t="str">
        <f aca="false">IF(B215="","",IFERROR(INDEX('CLM &amp; IM Mapping'!$C$2:$C$270,MATCH(TRIM(B215),'CLM &amp; IM Mapping'!$A$2:$A$270,0)),"Not Mapped"))</f>
        <v>Arivind S</v>
      </c>
      <c r="E215" s="18" t="n">
        <v>0</v>
      </c>
      <c r="F215" s="18" t="n">
        <v>0</v>
      </c>
      <c r="G215" s="18" t="n">
        <v>0</v>
      </c>
      <c r="H215" s="18" t="n">
        <v>5</v>
      </c>
      <c r="I215" s="18" t="n">
        <v>0</v>
      </c>
      <c r="J215" s="18" t="n">
        <v>17</v>
      </c>
      <c r="K215" s="18" t="n">
        <v>22</v>
      </c>
      <c r="L215" s="18" t="n">
        <v>22</v>
      </c>
    </row>
    <row r="216" customFormat="false" ht="15.75" hidden="false" customHeight="false" outlineLevel="0" collapsed="false">
      <c r="B216" s="18" t="s">
        <v>300</v>
      </c>
      <c r="C216" s="14" t="str">
        <f aca="false">IF(B216="","",IFERROR(INDEX('CLM &amp; IM Mapping'!$B$2:$B$270,MATCH(TRIM(B216),'CLM &amp; IM Mapping'!$A$2:$A$270,0)),"Not Mapped"))</f>
        <v>Arun Raj</v>
      </c>
      <c r="D216" s="14" t="str">
        <f aca="false">IF(B216="","",IFERROR(INDEX('CLM &amp; IM Mapping'!$C$2:$C$270,MATCH(TRIM(B216),'CLM &amp; IM Mapping'!$A$2:$A$270,0)),"Not Mapped"))</f>
        <v>Simon Manoharan</v>
      </c>
      <c r="E216" s="18" t="n">
        <v>0</v>
      </c>
      <c r="F216" s="18" t="n">
        <v>18</v>
      </c>
      <c r="G216" s="18"/>
      <c r="H216" s="18" t="n">
        <v>2</v>
      </c>
      <c r="I216" s="18"/>
      <c r="J216" s="18"/>
      <c r="K216" s="18" t="n">
        <v>20</v>
      </c>
      <c r="L216" s="18" t="n">
        <v>3</v>
      </c>
    </row>
    <row r="217" customFormat="false" ht="15.75" hidden="false" customHeight="false" outlineLevel="0" collapsed="false">
      <c r="B217" s="18" t="s">
        <v>130</v>
      </c>
      <c r="C217" s="14" t="str">
        <f aca="false">IF(B217="","",IFERROR(INDEX('CLM &amp; IM Mapping'!$B$2:$B$270,MATCH(TRIM(B217),'CLM &amp; IM Mapping'!$A$2:$A$270,0)),"Not Mapped"))</f>
        <v>Arun Raj</v>
      </c>
      <c r="D217" s="14" t="str">
        <f aca="false">IF(B217="","",IFERROR(INDEX('CLM &amp; IM Mapping'!$C$2:$C$270,MATCH(TRIM(B217),'CLM &amp; IM Mapping'!$A$2:$A$270,0)),"Not Mapped"))</f>
        <v>Simon Manoharan</v>
      </c>
      <c r="E217" s="18" t="n">
        <v>0</v>
      </c>
      <c r="F217" s="18" t="n">
        <v>2</v>
      </c>
      <c r="G217" s="18" t="n">
        <v>4</v>
      </c>
      <c r="H217" s="18" t="n">
        <v>3</v>
      </c>
      <c r="I217" s="18" t="n">
        <v>11</v>
      </c>
      <c r="J217" s="18"/>
      <c r="K217" s="18" t="n">
        <v>20</v>
      </c>
      <c r="L217" s="18" t="n">
        <v>11</v>
      </c>
    </row>
    <row r="218" customFormat="false" ht="15.75" hidden="false" customHeight="false" outlineLevel="0" collapsed="false">
      <c r="B218" s="18" t="s">
        <v>282</v>
      </c>
      <c r="C218" s="14" t="str">
        <f aca="false">IF(B218="","",IFERROR(INDEX('CLM &amp; IM Mapping'!$B$2:$B$270,MATCH(TRIM(B218),'CLM &amp; IM Mapping'!$A$2:$A$270,0)),"Not Mapped"))</f>
        <v>Santhosha M</v>
      </c>
      <c r="D218" s="14" t="str">
        <f aca="false">IF(B218="","",IFERROR(INDEX('CLM &amp; IM Mapping'!$C$2:$C$270,MATCH(TRIM(B218),'CLM &amp; IM Mapping'!$A$2:$A$270,0)),"Not Mapped"))</f>
        <v>Aravind S</v>
      </c>
      <c r="E218" s="18" t="n">
        <v>2</v>
      </c>
      <c r="F218" s="18" t="n">
        <v>4</v>
      </c>
      <c r="G218" s="18" t="n">
        <v>11</v>
      </c>
      <c r="H218" s="18" t="n">
        <v>3</v>
      </c>
      <c r="I218" s="18" t="n">
        <v>0</v>
      </c>
      <c r="J218" s="18" t="n">
        <v>0</v>
      </c>
      <c r="K218" s="18" t="n">
        <v>20</v>
      </c>
      <c r="L218" s="18" t="n">
        <v>15</v>
      </c>
    </row>
    <row r="219" customFormat="false" ht="15.75" hidden="false" customHeight="false" outlineLevel="0" collapsed="false">
      <c r="B219" s="18" t="s">
        <v>70</v>
      </c>
      <c r="C219" s="14" t="str">
        <f aca="false">IF(B219="","",IFERROR(INDEX('CLM &amp; IM Mapping'!$B$2:$B$270,MATCH(TRIM(B219),'CLM &amp; IM Mapping'!$A$2:$A$270,0)),"Not Mapped"))</f>
        <v>Arun Raj</v>
      </c>
      <c r="D219" s="14" t="str">
        <f aca="false">IF(B219="","",IFERROR(INDEX('CLM &amp; IM Mapping'!$C$2:$C$270,MATCH(TRIM(B219),'CLM &amp; IM Mapping'!$A$2:$A$270,0)),"Not Mapped"))</f>
        <v>Simon Manoharan</v>
      </c>
      <c r="E219" s="18" t="n">
        <v>0</v>
      </c>
      <c r="F219" s="18" t="n">
        <v>3</v>
      </c>
      <c r="G219" s="18"/>
      <c r="H219" s="18" t="n">
        <v>14</v>
      </c>
      <c r="I219" s="18" t="n">
        <v>1</v>
      </c>
      <c r="J219" s="18"/>
      <c r="K219" s="18" t="n">
        <v>18</v>
      </c>
      <c r="L219" s="18" t="n">
        <v>15</v>
      </c>
    </row>
    <row r="220" customFormat="false" ht="15.75" hidden="false" customHeight="false" outlineLevel="0" collapsed="false">
      <c r="B220" s="18" t="s">
        <v>21</v>
      </c>
      <c r="C220" s="14" t="str">
        <f aca="false">IF(B220="","",IFERROR(INDEX('CLM &amp; IM Mapping'!$B$2:$B$270,MATCH(TRIM(B220),'CLM &amp; IM Mapping'!$A$2:$A$270,0)),"Not Mapped"))</f>
        <v>Arun Raj</v>
      </c>
      <c r="D220" s="14" t="str">
        <f aca="false">IF(B220="","",IFERROR(INDEX('CLM &amp; IM Mapping'!$C$2:$C$270,MATCH(TRIM(B220),'CLM &amp; IM Mapping'!$A$2:$A$270,0)),"Not Mapped"))</f>
        <v>Simon Manoharan</v>
      </c>
      <c r="E220" s="18" t="n">
        <v>0</v>
      </c>
      <c r="F220" s="18" t="n">
        <v>4</v>
      </c>
      <c r="G220" s="18"/>
      <c r="H220" s="18" t="n">
        <v>13</v>
      </c>
      <c r="I220" s="18" t="n">
        <v>1</v>
      </c>
      <c r="J220" s="18"/>
      <c r="K220" s="18" t="n">
        <v>18</v>
      </c>
      <c r="L220" s="18" t="n">
        <v>16</v>
      </c>
    </row>
    <row r="221" customFormat="false" ht="15.75" hidden="false" customHeight="false" outlineLevel="0" collapsed="false">
      <c r="B221" s="18" t="s">
        <v>164</v>
      </c>
      <c r="C221" s="14" t="str">
        <f aca="false">IF(B221="","",IFERROR(INDEX('CLM &amp; IM Mapping'!$B$2:$B$270,MATCH(TRIM(B221),'CLM &amp; IM Mapping'!$A$2:$A$270,0)),"Not Mapped"))</f>
        <v>Saddam Hussain</v>
      </c>
      <c r="D221" s="14" t="str">
        <f aca="false">IF(B221="","",IFERROR(INDEX('CLM &amp; IM Mapping'!$C$2:$C$270,MATCH(TRIM(B221),'CLM &amp; IM Mapping'!$A$2:$A$270,0)),"Not Mapped"))</f>
        <v>Un Mapped</v>
      </c>
      <c r="E221" s="18" t="n">
        <v>0</v>
      </c>
      <c r="F221" s="18" t="n">
        <v>0</v>
      </c>
      <c r="G221" s="18" t="n">
        <v>0</v>
      </c>
      <c r="H221" s="18" t="n">
        <v>8</v>
      </c>
      <c r="I221" s="18" t="n">
        <v>9</v>
      </c>
      <c r="J221" s="18" t="n">
        <v>0</v>
      </c>
      <c r="K221" s="18" t="n">
        <v>17</v>
      </c>
      <c r="L221" s="18" t="n">
        <v>17</v>
      </c>
    </row>
    <row r="222" customFormat="false" ht="15.75" hidden="false" customHeight="false" outlineLevel="0" collapsed="false">
      <c r="B222" s="18" t="s">
        <v>221</v>
      </c>
      <c r="C222" s="14" t="str">
        <f aca="false">IF(B222="","",IFERROR(INDEX('CLM &amp; IM Mapping'!$B$2:$B$270,MATCH(TRIM(B222),'CLM &amp; IM Mapping'!$A$2:$A$270,0)),"Not Mapped"))</f>
        <v>Balaji G</v>
      </c>
      <c r="D222" s="14" t="str">
        <f aca="false">IF(B222="","",IFERROR(INDEX('CLM &amp; IM Mapping'!$C$2:$C$270,MATCH(TRIM(B222),'CLM &amp; IM Mapping'!$A$2:$A$270,0)),"Not Mapped"))</f>
        <v>Mohammed Akbar</v>
      </c>
      <c r="E222" s="18" t="n">
        <v>0</v>
      </c>
      <c r="F222" s="18" t="n">
        <v>0</v>
      </c>
      <c r="G222" s="18" t="n">
        <v>0</v>
      </c>
      <c r="H222" s="18" t="n">
        <v>12</v>
      </c>
      <c r="I222" s="18" t="n">
        <v>0</v>
      </c>
      <c r="J222" s="18" t="n">
        <v>5</v>
      </c>
      <c r="K222" s="18" t="n">
        <v>17</v>
      </c>
      <c r="L222" s="18" t="n">
        <v>17</v>
      </c>
    </row>
    <row r="223" customFormat="false" ht="15.75" hidden="false" customHeight="false" outlineLevel="0" collapsed="false">
      <c r="B223" s="18" t="s">
        <v>85</v>
      </c>
      <c r="C223" s="14" t="str">
        <f aca="false">IF(B223="","",IFERROR(INDEX('CLM &amp; IM Mapping'!$B$2:$B$270,MATCH(TRIM(B223),'CLM &amp; IM Mapping'!$A$2:$A$270,0)),"Not Mapped"))</f>
        <v>Narasimhamurthy R</v>
      </c>
      <c r="D223" s="14" t="str">
        <f aca="false">IF(B223="","",IFERROR(INDEX('CLM &amp; IM Mapping'!$C$2:$C$270,MATCH(TRIM(B223),'CLM &amp; IM Mapping'!$A$2:$A$270,0)),"Not Mapped"))</f>
        <v>Kishor K</v>
      </c>
      <c r="E223" s="18" t="n">
        <v>0</v>
      </c>
      <c r="F223" s="18" t="n">
        <v>0</v>
      </c>
      <c r="G223" s="18" t="n">
        <v>4</v>
      </c>
      <c r="H223" s="18" t="n">
        <v>1</v>
      </c>
      <c r="I223" s="18" t="n">
        <v>4</v>
      </c>
      <c r="J223" s="18" t="n">
        <v>7</v>
      </c>
      <c r="K223" s="18" t="n">
        <v>16</v>
      </c>
      <c r="L223" s="18" t="n">
        <v>12</v>
      </c>
    </row>
    <row r="224" customFormat="false" ht="15.75" hidden="false" customHeight="false" outlineLevel="0" collapsed="false">
      <c r="B224" s="18" t="s">
        <v>272</v>
      </c>
      <c r="C224" s="14" t="str">
        <f aca="false">IF(B224="","",IFERROR(INDEX('CLM &amp; IM Mapping'!$B$2:$B$270,MATCH(TRIM(B224),'CLM &amp; IM Mapping'!$A$2:$A$270,0)),"Not Mapped"))</f>
        <v>Arun Raj</v>
      </c>
      <c r="D224" s="14" t="str">
        <f aca="false">IF(B224="","",IFERROR(INDEX('CLM &amp; IM Mapping'!$C$2:$C$270,MATCH(TRIM(B224),'CLM &amp; IM Mapping'!$A$2:$A$270,0)),"Not Mapped"))</f>
        <v>Simon Manoharan</v>
      </c>
      <c r="E224" s="18" t="n">
        <v>0</v>
      </c>
      <c r="F224" s="18" t="n">
        <v>6</v>
      </c>
      <c r="G224" s="18" t="n">
        <v>0</v>
      </c>
      <c r="H224" s="18" t="n">
        <v>7</v>
      </c>
      <c r="I224" s="18" t="n">
        <v>3</v>
      </c>
      <c r="J224" s="18"/>
      <c r="K224" s="18" t="n">
        <v>16</v>
      </c>
      <c r="L224" s="18" t="n">
        <v>16</v>
      </c>
    </row>
    <row r="225" customFormat="false" ht="15.75" hidden="false" customHeight="false" outlineLevel="0" collapsed="false">
      <c r="B225" s="18" t="s">
        <v>277</v>
      </c>
      <c r="C225" s="14" t="str">
        <f aca="false">IF(B225="","",IFERROR(INDEX('CLM &amp; IM Mapping'!$B$2:$B$270,MATCH(TRIM(B225),'CLM &amp; IM Mapping'!$A$2:$A$270,0)),"Not Mapped"))</f>
        <v>Silambarasan E</v>
      </c>
      <c r="D225" s="14" t="str">
        <f aca="false">IF(B225="","",IFERROR(INDEX('CLM &amp; IM Mapping'!$C$2:$C$270,MATCH(TRIM(B225),'CLM &amp; IM Mapping'!$A$2:$A$270,0)),"Not Mapped"))</f>
        <v>Arivind S</v>
      </c>
      <c r="E225" s="18" t="n">
        <v>2</v>
      </c>
      <c r="F225" s="18" t="n">
        <v>13</v>
      </c>
      <c r="G225" s="18" t="n">
        <v>0</v>
      </c>
      <c r="H225" s="18" t="n">
        <v>0</v>
      </c>
      <c r="I225" s="18" t="n">
        <v>0</v>
      </c>
      <c r="J225" s="18" t="n">
        <v>0</v>
      </c>
      <c r="K225" s="18" t="n">
        <v>15</v>
      </c>
      <c r="L225" s="18" t="n">
        <v>15</v>
      </c>
    </row>
    <row r="226" customFormat="false" ht="15.75" hidden="false" customHeight="false" outlineLevel="0" collapsed="false">
      <c r="B226" s="18" t="s">
        <v>150</v>
      </c>
      <c r="C226" s="14" t="str">
        <f aca="false">IF(B226="","",IFERROR(INDEX('CLM &amp; IM Mapping'!$B$2:$B$270,MATCH(TRIM(B226),'CLM &amp; IM Mapping'!$A$2:$A$270,0)),"Not Mapped"))</f>
        <v>Manoj Kj</v>
      </c>
      <c r="D226" s="14" t="str">
        <f aca="false">IF(B226="","",IFERROR(INDEX('CLM &amp; IM Mapping'!$C$2:$C$270,MATCH(TRIM(B226),'CLM &amp; IM Mapping'!$A$2:$A$270,0)),"Not Mapped"))</f>
        <v>Srittam Dhal</v>
      </c>
      <c r="E226" s="18" t="n">
        <v>1</v>
      </c>
      <c r="F226" s="18" t="n">
        <v>0</v>
      </c>
      <c r="G226" s="18" t="n">
        <v>10</v>
      </c>
      <c r="H226" s="18" t="n">
        <v>0</v>
      </c>
      <c r="I226" s="18" t="n">
        <v>2</v>
      </c>
      <c r="J226" s="18" t="n">
        <v>0</v>
      </c>
      <c r="K226" s="18" t="n">
        <v>13</v>
      </c>
      <c r="L226" s="18" t="n">
        <v>13</v>
      </c>
    </row>
    <row r="227" customFormat="false" ht="15.75" hidden="false" customHeight="false" outlineLevel="0" collapsed="false">
      <c r="B227" s="18" t="s">
        <v>95</v>
      </c>
      <c r="C227" s="14" t="str">
        <f aca="false">IF(B227="","",IFERROR(INDEX('CLM &amp; IM Mapping'!$B$2:$B$270,MATCH(TRIM(B227),'CLM &amp; IM Mapping'!$A$2:$A$270,0)),"Not Mapped"))</f>
        <v>Arun Raj</v>
      </c>
      <c r="D227" s="14" t="str">
        <f aca="false">IF(B227="","",IFERROR(INDEX('CLM &amp; IM Mapping'!$C$2:$C$270,MATCH(TRIM(B227),'CLM &amp; IM Mapping'!$A$2:$A$270,0)),"Not Mapped"))</f>
        <v>Simon Manoharan</v>
      </c>
      <c r="E227" s="18" t="n">
        <v>1</v>
      </c>
      <c r="F227" s="18" t="n">
        <v>4</v>
      </c>
      <c r="G227" s="18" t="n">
        <v>0</v>
      </c>
      <c r="H227" s="18" t="n">
        <v>5</v>
      </c>
      <c r="I227" s="18" t="n">
        <v>3</v>
      </c>
      <c r="J227" s="18"/>
      <c r="K227" s="18" t="n">
        <v>13</v>
      </c>
      <c r="L227" s="18" t="n">
        <v>11</v>
      </c>
    </row>
    <row r="228" customFormat="false" ht="15.75" hidden="false" customHeight="false" outlineLevel="0" collapsed="false">
      <c r="B228" s="18" t="s">
        <v>161</v>
      </c>
      <c r="C228" s="14" t="str">
        <f aca="false">IF(B228="","",IFERROR(INDEX('CLM &amp; IM Mapping'!$B$2:$B$270,MATCH(TRIM(B228),'CLM &amp; IM Mapping'!$A$2:$A$270,0)),"Not Mapped"))</f>
        <v>Raghavendra Vernekar</v>
      </c>
      <c r="D228" s="14" t="str">
        <f aca="false">IF(B228="","",IFERROR(INDEX('CLM &amp; IM Mapping'!$C$2:$C$270,MATCH(TRIM(B228),'CLM &amp; IM Mapping'!$A$2:$A$270,0)),"Not Mapped"))</f>
        <v>Prakash BS</v>
      </c>
      <c r="E228" s="18" t="n">
        <v>0</v>
      </c>
      <c r="F228" s="18" t="n">
        <v>0</v>
      </c>
      <c r="G228" s="18" t="n">
        <v>0</v>
      </c>
      <c r="H228" s="18" t="n">
        <v>11</v>
      </c>
      <c r="I228" s="18" t="n">
        <v>0</v>
      </c>
      <c r="J228" s="18" t="n">
        <v>0</v>
      </c>
      <c r="K228" s="18" t="n">
        <v>11</v>
      </c>
      <c r="L228" s="18" t="n">
        <v>11</v>
      </c>
    </row>
    <row r="229" customFormat="false" ht="15.75" hidden="false" customHeight="false" outlineLevel="0" collapsed="false">
      <c r="B229" s="18" t="s">
        <v>148</v>
      </c>
      <c r="C229" s="14" t="str">
        <f aca="false">IF(B229="","",IFERROR(INDEX('CLM &amp; IM Mapping'!$B$2:$B$270,MATCH(TRIM(B229),'CLM &amp; IM Mapping'!$A$2:$A$270,0)),"Not Mapped"))</f>
        <v>Santhosha M</v>
      </c>
      <c r="D229" s="14" t="str">
        <f aca="false">IF(B229="","",IFERROR(INDEX('CLM &amp; IM Mapping'!$C$2:$C$270,MATCH(TRIM(B229),'CLM &amp; IM Mapping'!$A$2:$A$270,0)),"Not Mapped"))</f>
        <v>Aravind S</v>
      </c>
      <c r="E229" s="18" t="n">
        <v>0</v>
      </c>
      <c r="F229" s="18" t="n">
        <v>9</v>
      </c>
      <c r="G229" s="18" t="n">
        <v>0</v>
      </c>
      <c r="H229" s="18" t="n">
        <v>1</v>
      </c>
      <c r="I229" s="18" t="n">
        <v>0</v>
      </c>
      <c r="J229" s="18" t="n">
        <v>0</v>
      </c>
      <c r="K229" s="18" t="n">
        <v>10</v>
      </c>
      <c r="L229" s="18" t="n">
        <v>1</v>
      </c>
    </row>
    <row r="230" customFormat="false" ht="15.75" hidden="false" customHeight="false" outlineLevel="0" collapsed="false">
      <c r="B230" s="18" t="s">
        <v>268</v>
      </c>
      <c r="C230" s="14" t="str">
        <f aca="false">IF(B230="","",IFERROR(INDEX('CLM &amp; IM Mapping'!$B$2:$B$270,MATCH(TRIM(B230),'CLM &amp; IM Mapping'!$A$2:$A$270,0)),"Not Mapped"))</f>
        <v>Arun Raj</v>
      </c>
      <c r="D230" s="14" t="str">
        <f aca="false">IF(B230="","",IFERROR(INDEX('CLM &amp; IM Mapping'!$C$2:$C$270,MATCH(TRIM(B230),'CLM &amp; IM Mapping'!$A$2:$A$270,0)),"Not Mapped"))</f>
        <v>Simon Manoharan</v>
      </c>
      <c r="E230" s="18" t="n">
        <v>6</v>
      </c>
      <c r="F230" s="18" t="n">
        <v>1</v>
      </c>
      <c r="G230" s="18" t="n">
        <v>0</v>
      </c>
      <c r="H230" s="18" t="n">
        <v>0</v>
      </c>
      <c r="I230" s="18" t="n">
        <v>3</v>
      </c>
      <c r="J230" s="18"/>
      <c r="K230" s="18" t="n">
        <v>10</v>
      </c>
      <c r="L230" s="18" t="n">
        <v>10</v>
      </c>
    </row>
    <row r="231" customFormat="false" ht="15.75" hidden="false" customHeight="false" outlineLevel="0" collapsed="false">
      <c r="B231" s="18" t="s">
        <v>30</v>
      </c>
      <c r="C231" s="14" t="str">
        <f aca="false">IF(B231="","",IFERROR(INDEX('CLM &amp; IM Mapping'!$B$2:$B$270,MATCH(TRIM(B231),'CLM &amp; IM Mapping'!$A$2:$A$270,0)),"Not Mapped"))</f>
        <v>Ravishankar gowda</v>
      </c>
      <c r="D231" s="14" t="str">
        <f aca="false">IF(B231="","",IFERROR(INDEX('CLM &amp; IM Mapping'!$C$2:$C$270,MATCH(TRIM(B231),'CLM &amp; IM Mapping'!$A$2:$A$270,0)),"Not Mapped"))</f>
        <v>Kishor K</v>
      </c>
      <c r="E231" s="18" t="n">
        <v>0</v>
      </c>
      <c r="F231" s="18" t="n">
        <v>3</v>
      </c>
      <c r="G231" s="18" t="n">
        <v>0</v>
      </c>
      <c r="H231" s="18" t="n">
        <v>5</v>
      </c>
      <c r="I231" s="18" t="n">
        <v>0</v>
      </c>
      <c r="J231" s="18" t="n">
        <v>1</v>
      </c>
      <c r="K231" s="18" t="n">
        <v>9</v>
      </c>
      <c r="L231" s="18" t="n">
        <v>7</v>
      </c>
    </row>
    <row r="232" customFormat="false" ht="15.75" hidden="false" customHeight="false" outlineLevel="0" collapsed="false">
      <c r="B232" s="18" t="s">
        <v>269</v>
      </c>
      <c r="C232" s="14" t="str">
        <f aca="false">IF(B232="","",IFERROR(INDEX('CLM &amp; IM Mapping'!$B$2:$B$270,MATCH(TRIM(B232),'CLM &amp; IM Mapping'!$A$2:$A$270,0)),"Not Mapped"))</f>
        <v>Santhosha M</v>
      </c>
      <c r="D232" s="14" t="str">
        <f aca="false">IF(B232="","",IFERROR(INDEX('CLM &amp; IM Mapping'!$C$2:$C$270,MATCH(TRIM(B232),'CLM &amp; IM Mapping'!$A$2:$A$270,0)),"Not Mapped"))</f>
        <v>Aravind S</v>
      </c>
      <c r="E232" s="18" t="n">
        <v>1</v>
      </c>
      <c r="F232" s="18" t="n">
        <v>0</v>
      </c>
      <c r="G232" s="18" t="n">
        <v>0</v>
      </c>
      <c r="H232" s="18" t="n">
        <v>4</v>
      </c>
      <c r="I232" s="18" t="n">
        <v>2</v>
      </c>
      <c r="J232" s="18" t="n">
        <v>0</v>
      </c>
      <c r="K232" s="18" t="n">
        <v>7</v>
      </c>
      <c r="L232" s="18" t="n">
        <v>6</v>
      </c>
    </row>
    <row r="233" customFormat="false" ht="15.75" hidden="false" customHeight="false" outlineLevel="0" collapsed="false">
      <c r="B233" s="18" t="s">
        <v>101</v>
      </c>
      <c r="C233" s="14" t="str">
        <f aca="false">IF(B233="","",IFERROR(INDEX('CLM &amp; IM Mapping'!$B$2:$B$270,MATCH(TRIM(B233),'CLM &amp; IM Mapping'!$A$2:$A$270,0)),"Not Mapped"))</f>
        <v>Arun Raj</v>
      </c>
      <c r="D233" s="14" t="str">
        <f aca="false">IF(B233="","",IFERROR(INDEX('CLM &amp; IM Mapping'!$C$2:$C$270,MATCH(TRIM(B233),'CLM &amp; IM Mapping'!$A$2:$A$270,0)),"Not Mapped"))</f>
        <v>Simon Manoharan</v>
      </c>
      <c r="E233" s="18" t="n">
        <v>0</v>
      </c>
      <c r="F233" s="18" t="n">
        <v>1</v>
      </c>
      <c r="G233" s="18"/>
      <c r="H233" s="18" t="n">
        <v>6</v>
      </c>
      <c r="I233" s="18"/>
      <c r="J233" s="18"/>
      <c r="K233" s="18" t="n">
        <v>7</v>
      </c>
      <c r="L233" s="18" t="n">
        <v>7</v>
      </c>
    </row>
    <row r="234" customFormat="false" ht="15.75" hidden="false" customHeight="false" outlineLevel="0" collapsed="false">
      <c r="B234" s="18" t="s">
        <v>50</v>
      </c>
      <c r="C234" s="14" t="str">
        <f aca="false">IF(B234="","",IFERROR(INDEX('CLM &amp; IM Mapping'!$B$2:$B$270,MATCH(TRIM(B234),'CLM &amp; IM Mapping'!$A$2:$A$270,0)),"Not Mapped"))</f>
        <v>Akshay P</v>
      </c>
      <c r="D234" s="14" t="str">
        <f aca="false">IF(B234="","",IFERROR(INDEX('CLM &amp; IM Mapping'!$C$2:$C$270,MATCH(TRIM(B234),'CLM &amp; IM Mapping'!$A$2:$A$270,0)),"Not Mapped"))</f>
        <v>Srittam Dhal</v>
      </c>
      <c r="E234" s="18" t="n">
        <v>0</v>
      </c>
      <c r="F234" s="18" t="n">
        <v>2</v>
      </c>
      <c r="G234" s="18" t="n">
        <v>2</v>
      </c>
      <c r="H234" s="18" t="n">
        <v>0</v>
      </c>
      <c r="I234" s="18" t="n">
        <v>2</v>
      </c>
      <c r="J234" s="18" t="n">
        <v>0</v>
      </c>
      <c r="K234" s="18" t="n">
        <v>6</v>
      </c>
      <c r="L234" s="18" t="n">
        <v>6</v>
      </c>
    </row>
    <row r="235" customFormat="false" ht="15.75" hidden="false" customHeight="false" outlineLevel="0" collapsed="false">
      <c r="B235" s="18" t="s">
        <v>97</v>
      </c>
      <c r="C235" s="14" t="str">
        <f aca="false">IF(B235="","",IFERROR(INDEX('CLM &amp; IM Mapping'!$B$2:$B$270,MATCH(TRIM(B235),'CLM &amp; IM Mapping'!$A$2:$A$270,0)),"Not Mapped"))</f>
        <v>Arun Raj</v>
      </c>
      <c r="D235" s="14" t="str">
        <f aca="false">IF(B235="","",IFERROR(INDEX('CLM &amp; IM Mapping'!$C$2:$C$270,MATCH(TRIM(B235),'CLM &amp; IM Mapping'!$A$2:$A$270,0)),"Not Mapped"))</f>
        <v>Simon Manoharan</v>
      </c>
      <c r="E235" s="18" t="n">
        <v>0</v>
      </c>
      <c r="F235" s="18" t="n">
        <v>0</v>
      </c>
      <c r="G235" s="18" t="n">
        <v>0</v>
      </c>
      <c r="H235" s="18" t="n">
        <v>5</v>
      </c>
      <c r="I235" s="18" t="n">
        <v>1</v>
      </c>
      <c r="J235" s="18"/>
      <c r="K235" s="18" t="n">
        <v>6</v>
      </c>
      <c r="L235" s="18" t="n">
        <v>6</v>
      </c>
    </row>
    <row r="236" customFormat="false" ht="15.75" hidden="false" customHeight="false" outlineLevel="0" collapsed="false">
      <c r="B236" s="18" t="s">
        <v>168</v>
      </c>
      <c r="C236" s="14" t="str">
        <f aca="false">IF(B236="","",IFERROR(INDEX('CLM &amp; IM Mapping'!$B$2:$B$270,MATCH(TRIM(B236),'CLM &amp; IM Mapping'!$A$2:$A$270,0)),"Not Mapped"))</f>
        <v>Arun Raj</v>
      </c>
      <c r="D236" s="14" t="str">
        <f aca="false">IF(B236="","",IFERROR(INDEX('CLM &amp; IM Mapping'!$C$2:$C$270,MATCH(TRIM(B236),'CLM &amp; IM Mapping'!$A$2:$A$270,0)),"Not Mapped"))</f>
        <v>Simon Manoharan</v>
      </c>
      <c r="E236" s="18" t="n">
        <v>1</v>
      </c>
      <c r="F236" s="18" t="n">
        <v>3</v>
      </c>
      <c r="G236" s="18"/>
      <c r="H236" s="18" t="n">
        <v>1</v>
      </c>
      <c r="I236" s="18"/>
      <c r="J236" s="18"/>
      <c r="K236" s="18" t="n">
        <v>5</v>
      </c>
      <c r="L236" s="18" t="n">
        <v>4</v>
      </c>
    </row>
    <row r="237" customFormat="false" ht="15.75" hidden="false" customHeight="false" outlineLevel="0" collapsed="false">
      <c r="B237" s="18" t="s">
        <v>226</v>
      </c>
      <c r="C237" s="14" t="str">
        <f aca="false">IF(B237="","",IFERROR(INDEX('CLM &amp; IM Mapping'!$B$2:$B$270,MATCH(TRIM(B237),'CLM &amp; IM Mapping'!$A$2:$A$270,0)),"Not Mapped"))</f>
        <v>Arun Raj</v>
      </c>
      <c r="D237" s="14" t="str">
        <f aca="false">IF(B237="","",IFERROR(INDEX('CLM &amp; IM Mapping'!$C$2:$C$270,MATCH(TRIM(B237),'CLM &amp; IM Mapping'!$A$2:$A$270,0)),"Not Mapped"))</f>
        <v>Simon Manoharan</v>
      </c>
      <c r="E237" s="18" t="n">
        <v>1</v>
      </c>
      <c r="F237" s="18" t="n">
        <v>1</v>
      </c>
      <c r="G237" s="18"/>
      <c r="H237" s="18" t="n">
        <v>2</v>
      </c>
      <c r="I237" s="18"/>
      <c r="J237" s="18"/>
      <c r="K237" s="18" t="n">
        <v>4</v>
      </c>
      <c r="L237" s="18" t="n">
        <v>4</v>
      </c>
    </row>
    <row r="238" customFormat="false" ht="15.75" hidden="false" customHeight="false" outlineLevel="0" collapsed="false">
      <c r="B238" s="18" t="s">
        <v>119</v>
      </c>
      <c r="C238" s="14" t="str">
        <f aca="false">IF(B238="","",IFERROR(INDEX('CLM &amp; IM Mapping'!$B$2:$B$270,MATCH(TRIM(B238),'CLM &amp; IM Mapping'!$A$2:$A$270,0)),"Not Mapped"))</f>
        <v>Arun Raj</v>
      </c>
      <c r="D238" s="14" t="str">
        <f aca="false">IF(B238="","",IFERROR(INDEX('CLM &amp; IM Mapping'!$C$2:$C$270,MATCH(TRIM(B238),'CLM &amp; IM Mapping'!$A$2:$A$270,0)),"Not Mapped"))</f>
        <v>Simon Manoharan</v>
      </c>
      <c r="E238" s="18"/>
      <c r="F238" s="18" t="n">
        <v>4</v>
      </c>
      <c r="G238" s="18"/>
      <c r="H238" s="18"/>
      <c r="I238" s="18"/>
      <c r="J238" s="18"/>
      <c r="K238" s="18" t="n">
        <v>4</v>
      </c>
      <c r="L238" s="18" t="n">
        <v>3</v>
      </c>
    </row>
    <row r="239" customFormat="false" ht="15.75" hidden="false" customHeight="false" outlineLevel="0" collapsed="false">
      <c r="B239" s="18" t="s">
        <v>27</v>
      </c>
      <c r="C239" s="14" t="str">
        <f aca="false">IF(B239="","",IFERROR(INDEX('CLM &amp; IM Mapping'!$B$2:$B$270,MATCH(TRIM(B239),'CLM &amp; IM Mapping'!$A$2:$A$270,0)),"Not Mapped"))</f>
        <v>Arun Raj</v>
      </c>
      <c r="D239" s="14" t="str">
        <f aca="false">IF(B239="","",IFERROR(INDEX('CLM &amp; IM Mapping'!$C$2:$C$270,MATCH(TRIM(B239),'CLM &amp; IM Mapping'!$A$2:$A$270,0)),"Not Mapped"))</f>
        <v>Simon Manoharan</v>
      </c>
      <c r="E239" s="18" t="n">
        <v>0</v>
      </c>
      <c r="F239" s="18" t="n">
        <v>1</v>
      </c>
      <c r="G239" s="18" t="n">
        <v>0</v>
      </c>
      <c r="H239" s="18" t="n">
        <v>2</v>
      </c>
      <c r="I239" s="18" t="n">
        <v>0</v>
      </c>
      <c r="J239" s="18"/>
      <c r="K239" s="18" t="n">
        <v>3</v>
      </c>
      <c r="L239" s="18" t="n">
        <v>2</v>
      </c>
    </row>
    <row r="240" customFormat="false" ht="15.75" hidden="false" customHeight="false" outlineLevel="0" collapsed="false">
      <c r="B240" s="18" t="s">
        <v>201</v>
      </c>
      <c r="C240" s="14" t="str">
        <f aca="false">IF(B240="","",IFERROR(INDEX('CLM &amp; IM Mapping'!$B$2:$B$270,MATCH(TRIM(B240),'CLM &amp; IM Mapping'!$A$2:$A$270,0)),"Not Mapped"))</f>
        <v>Vishnu V</v>
      </c>
      <c r="D240" s="14" t="str">
        <f aca="false">IF(B240="","",IFERROR(INDEX('CLM &amp; IM Mapping'!$C$2:$C$270,MATCH(TRIM(B240),'CLM &amp; IM Mapping'!$A$2:$A$270,0)),"Not Mapped"))</f>
        <v>Arivind S</v>
      </c>
      <c r="E240" s="18" t="n">
        <v>0</v>
      </c>
      <c r="F240" s="18" t="n">
        <v>0</v>
      </c>
      <c r="G240" s="18" t="n">
        <v>0</v>
      </c>
      <c r="H240" s="18" t="n">
        <v>1</v>
      </c>
      <c r="I240" s="18" t="n">
        <v>2</v>
      </c>
      <c r="J240" s="18" t="n">
        <v>0</v>
      </c>
      <c r="K240" s="18" t="n">
        <v>3</v>
      </c>
      <c r="L240" s="18" t="n">
        <v>3</v>
      </c>
    </row>
    <row r="241" customFormat="false" ht="15.75" hidden="false" customHeight="false" outlineLevel="0" collapsed="false">
      <c r="B241" s="18" t="s">
        <v>230</v>
      </c>
      <c r="C241" s="14" t="str">
        <f aca="false">IF(B241="","",IFERROR(INDEX('CLM &amp; IM Mapping'!$B$2:$B$270,MATCH(TRIM(B241),'CLM &amp; IM Mapping'!$A$2:$A$270,0)),"Not Mapped"))</f>
        <v>Vishnu V</v>
      </c>
      <c r="D241" s="14" t="str">
        <f aca="false">IF(B241="","",IFERROR(INDEX('CLM &amp; IM Mapping'!$C$2:$C$270,MATCH(TRIM(B241),'CLM &amp; IM Mapping'!$A$2:$A$270,0)),"Not Mapped"))</f>
        <v>Arivind S</v>
      </c>
      <c r="E241" s="18" t="n">
        <v>0</v>
      </c>
      <c r="F241" s="18" t="n">
        <v>0</v>
      </c>
      <c r="G241" s="18" t="n">
        <v>0</v>
      </c>
      <c r="H241" s="18" t="n">
        <v>3</v>
      </c>
      <c r="I241" s="18" t="n">
        <v>0</v>
      </c>
      <c r="J241" s="18" t="n">
        <v>0</v>
      </c>
      <c r="K241" s="18" t="n">
        <v>3</v>
      </c>
      <c r="L241" s="18" t="n">
        <v>3</v>
      </c>
    </row>
    <row r="242" customFormat="false" ht="15.75" hidden="false" customHeight="false" outlineLevel="0" collapsed="false">
      <c r="B242" s="18" t="s">
        <v>264</v>
      </c>
      <c r="C242" s="14" t="str">
        <f aca="false">IF(B242="","",IFERROR(INDEX('CLM &amp; IM Mapping'!$B$2:$B$270,MATCH(TRIM(B242),'CLM &amp; IM Mapping'!$A$2:$A$270,0)),"Not Mapped"))</f>
        <v>Basil Scariya</v>
      </c>
      <c r="D242" s="14" t="str">
        <f aca="false">IF(B242="","",IFERROR(INDEX('CLM &amp; IM Mapping'!$C$2:$C$270,MATCH(TRIM(B242),'CLM &amp; IM Mapping'!$A$2:$A$270,0)),"Not Mapped"))</f>
        <v>Prakash BS</v>
      </c>
      <c r="E242" s="18" t="n">
        <v>0</v>
      </c>
      <c r="F242" s="18" t="n">
        <v>2</v>
      </c>
      <c r="G242" s="18" t="n">
        <v>0</v>
      </c>
      <c r="H242" s="18" t="n">
        <v>1</v>
      </c>
      <c r="I242" s="18" t="n">
        <v>0</v>
      </c>
      <c r="J242" s="18" t="n">
        <v>0</v>
      </c>
      <c r="K242" s="18" t="n">
        <v>3</v>
      </c>
      <c r="L242" s="18" t="n">
        <v>1</v>
      </c>
    </row>
    <row r="243" customFormat="false" ht="15.75" hidden="false" customHeight="false" outlineLevel="0" collapsed="false">
      <c r="B243" s="18" t="s">
        <v>177</v>
      </c>
      <c r="C243" s="14" t="str">
        <f aca="false">IF(B243="","",IFERROR(INDEX('CLM &amp; IM Mapping'!$B$2:$B$270,MATCH(TRIM(B243),'CLM &amp; IM Mapping'!$A$2:$A$270,0)),"Not Mapped"))</f>
        <v>Santhosha M</v>
      </c>
      <c r="D243" s="14" t="str">
        <f aca="false">IF(B243="","",IFERROR(INDEX('CLM &amp; IM Mapping'!$C$2:$C$270,MATCH(TRIM(B243),'CLM &amp; IM Mapping'!$A$2:$A$270,0)),"Not Mapped"))</f>
        <v>Aravind S</v>
      </c>
      <c r="E243" s="18" t="n">
        <v>0</v>
      </c>
      <c r="F243" s="18" t="n">
        <v>0</v>
      </c>
      <c r="G243" s="18" t="n">
        <v>0</v>
      </c>
      <c r="H243" s="18" t="n">
        <v>1</v>
      </c>
      <c r="I243" s="18" t="n">
        <v>0</v>
      </c>
      <c r="J243" s="18" t="n">
        <v>0</v>
      </c>
      <c r="K243" s="18" t="n">
        <v>1</v>
      </c>
      <c r="L243" s="18" t="n">
        <v>1</v>
      </c>
    </row>
    <row r="244" customFormat="false" ht="15.75" hidden="false" customHeight="false" outlineLevel="0" collapsed="false">
      <c r="B244" s="18" t="s">
        <v>112</v>
      </c>
      <c r="C244" s="14" t="str">
        <f aca="false">IF(B244="","",IFERROR(INDEX('CLM &amp; IM Mapping'!$B$2:$B$270,MATCH(TRIM(B244),'CLM &amp; IM Mapping'!$A$2:$A$270,0)),"Not Mapped"))</f>
        <v>Arun Raj</v>
      </c>
      <c r="D244" s="14" t="str">
        <f aca="false">IF(B244="","",IFERROR(INDEX('CLM &amp; IM Mapping'!$C$2:$C$270,MATCH(TRIM(B244),'CLM &amp; IM Mapping'!$A$2:$A$270,0)),"Not Mapped"))</f>
        <v>Simon Manoharan</v>
      </c>
      <c r="E244" s="18" t="n">
        <v>0</v>
      </c>
      <c r="F244" s="18" t="n">
        <v>0</v>
      </c>
      <c r="G244" s="18" t="n">
        <v>0</v>
      </c>
      <c r="H244" s="18" t="n">
        <v>1</v>
      </c>
      <c r="I244" s="18"/>
      <c r="J244" s="18"/>
      <c r="K244" s="18" t="n">
        <v>1</v>
      </c>
      <c r="L244" s="18" t="n">
        <v>1</v>
      </c>
    </row>
    <row r="245" customFormat="false" ht="15.75" hidden="false" customHeight="false" outlineLevel="0" collapsed="false">
      <c r="B245" s="18" t="s">
        <v>136</v>
      </c>
      <c r="C245" s="14" t="str">
        <f aca="false">IF(B245="","",IFERROR(INDEX('CLM &amp; IM Mapping'!$B$2:$B$270,MATCH(TRIM(B245),'CLM &amp; IM Mapping'!$A$2:$A$270,0)),"Not Mapped"))</f>
        <v>Vishnu V</v>
      </c>
      <c r="D245" s="14" t="str">
        <f aca="false">IF(B245="","",IFERROR(INDEX('CLM &amp; IM Mapping'!$C$2:$C$270,MATCH(TRIM(B245),'CLM &amp; IM Mapping'!$A$2:$A$270,0)),"Not Mapped"))</f>
        <v>Arivind S</v>
      </c>
      <c r="E245" s="18" t="n">
        <v>0</v>
      </c>
      <c r="F245" s="18" t="n">
        <v>0</v>
      </c>
      <c r="G245" s="18" t="n">
        <v>0</v>
      </c>
      <c r="H245" s="18" t="n">
        <v>0</v>
      </c>
      <c r="I245" s="18" t="n">
        <v>0</v>
      </c>
      <c r="J245" s="18" t="n">
        <v>0</v>
      </c>
      <c r="K245" s="18" t="n">
        <v>0</v>
      </c>
      <c r="L245" s="18" t="n">
        <v>0</v>
      </c>
    </row>
    <row r="246" customFormat="false" ht="15.75" hidden="false" customHeight="false" outlineLevel="0" collapsed="false">
      <c r="B246" s="18" t="s">
        <v>299</v>
      </c>
      <c r="C246" s="14" t="str">
        <f aca="false">IF(B246="","",IFERROR(INDEX('CLM &amp; IM Mapping'!$B$2:$B$270,MATCH(TRIM(B246),'CLM &amp; IM Mapping'!$A$2:$A$270,0)),"Not Mapped"))</f>
        <v>Basil Scariya</v>
      </c>
      <c r="D246" s="14" t="str">
        <f aca="false">IF(B246="","",IFERROR(INDEX('CLM &amp; IM Mapping'!$C$2:$C$270,MATCH(TRIM(B246),'CLM &amp; IM Mapping'!$A$2:$A$270,0)),"Not Mapped"))</f>
        <v>Prakash BS</v>
      </c>
      <c r="E246" s="18" t="n">
        <v>0</v>
      </c>
      <c r="F246" s="18" t="n">
        <v>0</v>
      </c>
      <c r="G246" s="18"/>
      <c r="H246" s="18"/>
      <c r="I246" s="18"/>
      <c r="J246" s="18" t="n">
        <v>0</v>
      </c>
      <c r="K246" s="18" t="n">
        <v>0</v>
      </c>
      <c r="L246" s="18"/>
    </row>
    <row r="247" customFormat="false" ht="15.75" hidden="false" customHeight="false" outlineLevel="0" collapsed="false">
      <c r="B247" s="18" t="s">
        <v>132</v>
      </c>
      <c r="C247" s="14" t="str">
        <f aca="false">IF(B247="","",IFERROR(INDEX('CLM &amp; IM Mapping'!$B$2:$B$270,MATCH(TRIM(B247),'CLM &amp; IM Mapping'!$A$2:$A$270,0)),"Not Mapped"))</f>
        <v>Arun Raj</v>
      </c>
      <c r="D247" s="14" t="str">
        <f aca="false">IF(B247="","",IFERROR(INDEX('CLM &amp; IM Mapping'!$C$2:$C$270,MATCH(TRIM(B247),'CLM &amp; IM Mapping'!$A$2:$A$270,0)),"Not Mapped"))</f>
        <v>Simon Manoharan</v>
      </c>
      <c r="E247" s="18" t="n">
        <v>0</v>
      </c>
      <c r="F247" s="18" t="n">
        <v>0</v>
      </c>
      <c r="G247" s="18" t="n">
        <v>0</v>
      </c>
      <c r="H247" s="18" t="n">
        <v>0</v>
      </c>
      <c r="I247" s="18" t="n">
        <v>0</v>
      </c>
      <c r="J247" s="18"/>
      <c r="K247" s="18" t="n">
        <v>0</v>
      </c>
      <c r="L247" s="18" t="n">
        <v>0</v>
      </c>
    </row>
    <row r="248" customFormat="false" ht="15.75" hidden="false" customHeight="false" outlineLevel="0" collapsed="false">
      <c r="B248" s="18" t="s">
        <v>209</v>
      </c>
      <c r="C248" s="14" t="str">
        <f aca="false">IF(B248="","",IFERROR(INDEX('CLM &amp; IM Mapping'!$B$2:$B$270,MATCH(TRIM(B248),'CLM &amp; IM Mapping'!$A$2:$A$270,0)),"Not Mapped"))</f>
        <v>Vishnu V</v>
      </c>
      <c r="D248" s="14" t="str">
        <f aca="false">IF(B248="","",IFERROR(INDEX('CLM &amp; IM Mapping'!$C$2:$C$270,MATCH(TRIM(B248),'CLM &amp; IM Mapping'!$A$2:$A$270,0)),"Not Mapped"))</f>
        <v>Arivind S</v>
      </c>
      <c r="E248" s="18" t="n">
        <v>0</v>
      </c>
      <c r="F248" s="18" t="n">
        <v>0</v>
      </c>
      <c r="G248" s="18" t="n">
        <v>0</v>
      </c>
      <c r="H248" s="18" t="n">
        <v>0</v>
      </c>
      <c r="I248" s="18" t="n">
        <v>0</v>
      </c>
      <c r="J248" s="18" t="n">
        <v>0</v>
      </c>
      <c r="K248" s="18" t="n">
        <v>0</v>
      </c>
      <c r="L248" s="18" t="n">
        <v>0</v>
      </c>
    </row>
    <row r="249" customFormat="false" ht="15.75" hidden="false" customHeight="false" outlineLevel="0" collapsed="false">
      <c r="B249" s="18" t="s">
        <v>34</v>
      </c>
      <c r="C249" s="14" t="str">
        <f aca="false">IF(B249="","",IFERROR(INDEX('CLM &amp; IM Mapping'!$B$2:$B$270,MATCH(TRIM(B249),'CLM &amp; IM Mapping'!$A$2:$A$270,0)),"Not Mapped"))</f>
        <v>Vishnu V</v>
      </c>
      <c r="D249" s="14" t="str">
        <f aca="false">IF(B249="","",IFERROR(INDEX('CLM &amp; IM Mapping'!$C$2:$C$270,MATCH(TRIM(B249),'CLM &amp; IM Mapping'!$A$2:$A$270,0)),"Not Mapped"))</f>
        <v>Arivind S</v>
      </c>
      <c r="E249" s="18" t="n">
        <v>0</v>
      </c>
      <c r="F249" s="18" t="n">
        <v>0</v>
      </c>
      <c r="G249" s="18" t="n">
        <v>0</v>
      </c>
      <c r="H249" s="18" t="n">
        <v>0</v>
      </c>
      <c r="I249" s="18" t="n">
        <v>0</v>
      </c>
      <c r="J249" s="18" t="n">
        <v>0</v>
      </c>
      <c r="K249" s="18" t="n">
        <v>0</v>
      </c>
      <c r="L249" s="18" t="n">
        <v>0</v>
      </c>
    </row>
    <row r="250" customFormat="false" ht="15.75" hidden="false" customHeight="false" outlineLevel="0" collapsed="false">
      <c r="B250" s="18" t="s">
        <v>170</v>
      </c>
      <c r="C250" s="14" t="str">
        <f aca="false">IF(B250="","",IFERROR(INDEX('CLM &amp; IM Mapping'!$B$2:$B$270,MATCH(TRIM(B250),'CLM &amp; IM Mapping'!$A$2:$A$270,0)),"Not Mapped"))</f>
        <v>John Britto</v>
      </c>
      <c r="D250" s="14" t="str">
        <f aca="false">IF(B250="","",IFERROR(INDEX('CLM &amp; IM Mapping'!$C$2:$C$270,MATCH(TRIM(B250),'CLM &amp; IM Mapping'!$A$2:$A$270,0)),"Not Mapped"))</f>
        <v>Aravind S</v>
      </c>
      <c r="E250" s="18" t="n">
        <v>0</v>
      </c>
      <c r="F250" s="18" t="n">
        <v>0</v>
      </c>
      <c r="G250" s="18" t="n">
        <v>0</v>
      </c>
      <c r="H250" s="18" t="n">
        <v>0</v>
      </c>
      <c r="I250" s="18" t="n">
        <v>0</v>
      </c>
      <c r="J250" s="18" t="n">
        <v>0</v>
      </c>
      <c r="K250" s="18" t="n">
        <v>0</v>
      </c>
      <c r="L250" s="18" t="n">
        <v>0</v>
      </c>
    </row>
    <row r="251" customFormat="false" ht="15.75" hidden="false" customHeight="false" outlineLevel="0" collapsed="false">
      <c r="B251" s="18" t="s">
        <v>51</v>
      </c>
      <c r="C251" s="14" t="str">
        <f aca="false">IF(B251="","",IFERROR(INDEX('CLM &amp; IM Mapping'!$B$2:$B$270,MATCH(TRIM(B251),'CLM &amp; IM Mapping'!$A$2:$A$270,0)),"Not Mapped"))</f>
        <v>Arun Raj</v>
      </c>
      <c r="D251" s="14" t="str">
        <f aca="false">IF(B251="","",IFERROR(INDEX('CLM &amp; IM Mapping'!$C$2:$C$270,MATCH(TRIM(B251),'CLM &amp; IM Mapping'!$A$2:$A$270,0)),"Not Mapped"))</f>
        <v>Simon Manoharan</v>
      </c>
      <c r="E251" s="18" t="n">
        <v>0</v>
      </c>
      <c r="F251" s="18" t="n">
        <v>0</v>
      </c>
      <c r="G251" s="18" t="n">
        <v>0</v>
      </c>
      <c r="H251" s="18" t="n">
        <v>0</v>
      </c>
      <c r="I251" s="18" t="n">
        <v>0</v>
      </c>
      <c r="J251" s="18"/>
      <c r="K251" s="18" t="n">
        <v>0</v>
      </c>
      <c r="L251" s="18" t="n">
        <v>0</v>
      </c>
    </row>
    <row r="252" customFormat="false" ht="15.75" hidden="false" customHeight="false" outlineLevel="0" collapsed="false">
      <c r="B252" s="18" t="s">
        <v>241</v>
      </c>
      <c r="C252" s="14" t="str">
        <f aca="false">IF(B252="","",IFERROR(INDEX('CLM &amp; IM Mapping'!$B$2:$B$270,MATCH(TRIM(B252),'CLM &amp; IM Mapping'!$A$2:$A$270,0)),"Not Mapped"))</f>
        <v>Arun Raj</v>
      </c>
      <c r="D252" s="14" t="str">
        <f aca="false">IF(B252="","",IFERROR(INDEX('CLM &amp; IM Mapping'!$C$2:$C$270,MATCH(TRIM(B252),'CLM &amp; IM Mapping'!$A$2:$A$270,0)),"Not Mapped"))</f>
        <v>Simon Manoharan</v>
      </c>
      <c r="E252" s="18" t="n">
        <v>0</v>
      </c>
      <c r="F252" s="18" t="n">
        <v>0</v>
      </c>
      <c r="G252" s="18" t="n">
        <v>0</v>
      </c>
      <c r="H252" s="18" t="n">
        <v>0</v>
      </c>
      <c r="I252" s="18" t="n">
        <v>0</v>
      </c>
      <c r="J252" s="18"/>
      <c r="K252" s="18" t="n">
        <v>0</v>
      </c>
      <c r="L252" s="18" t="n">
        <v>0</v>
      </c>
    </row>
    <row r="253" customFormat="false" ht="15.75" hidden="false" customHeight="false" outlineLevel="0" collapsed="false">
      <c r="B253" s="18" t="s">
        <v>131</v>
      </c>
      <c r="C253" s="14" t="str">
        <f aca="false">IF(B253="","",IFERROR(INDEX('CLM &amp; IM Mapping'!$B$2:$B$270,MATCH(TRIM(B253),'CLM &amp; IM Mapping'!$A$2:$A$270,0)),"Not Mapped"))</f>
        <v>Arun Raj</v>
      </c>
      <c r="D253" s="14" t="str">
        <f aca="false">IF(B253="","",IFERROR(INDEX('CLM &amp; IM Mapping'!$C$2:$C$270,MATCH(TRIM(B253),'CLM &amp; IM Mapping'!$A$2:$A$270,0)),"Not Mapped"))</f>
        <v>Simon Manoharan</v>
      </c>
      <c r="E253" s="18" t="n">
        <v>0</v>
      </c>
      <c r="F253" s="18"/>
      <c r="G253" s="18"/>
      <c r="H253" s="18"/>
      <c r="I253" s="18"/>
      <c r="J253" s="18"/>
      <c r="K253" s="18" t="n">
        <v>0</v>
      </c>
      <c r="L253" s="18"/>
    </row>
    <row r="254" customFormat="false" ht="15.75" hidden="false" customHeight="false" outlineLevel="0" collapsed="false">
      <c r="B254" s="30"/>
      <c r="E254" s="30"/>
      <c r="F254" s="30"/>
      <c r="G254" s="30"/>
      <c r="H254" s="30"/>
      <c r="I254" s="30"/>
      <c r="J254" s="30"/>
      <c r="K254" s="30"/>
      <c r="L254" s="30"/>
    </row>
    <row r="255" customFormat="false" ht="15.75" hidden="false" customHeight="false" outlineLevel="0" collapsed="false">
      <c r="B255" s="30"/>
      <c r="E255" s="30"/>
      <c r="F255" s="30"/>
      <c r="G255" s="30"/>
      <c r="H255" s="30"/>
      <c r="I255" s="30"/>
      <c r="J255" s="30"/>
      <c r="K255" s="30"/>
      <c r="L255" s="30"/>
    </row>
    <row r="256" customFormat="false" ht="15.75" hidden="false" customHeight="false" outlineLevel="0" collapsed="false">
      <c r="B256" s="30"/>
      <c r="E256" s="30"/>
      <c r="F256" s="30"/>
      <c r="G256" s="30"/>
      <c r="H256" s="30"/>
      <c r="I256" s="30"/>
      <c r="J256" s="30"/>
      <c r="K256" s="30"/>
      <c r="L256" s="30"/>
    </row>
    <row r="257" customFormat="false" ht="15.75" hidden="false" customHeight="false" outlineLevel="0" collapsed="false">
      <c r="B257" s="30"/>
      <c r="E257" s="30"/>
      <c r="F257" s="30"/>
      <c r="G257" s="30"/>
      <c r="H257" s="30"/>
      <c r="I257" s="30"/>
      <c r="J257" s="30"/>
      <c r="K257" s="30"/>
      <c r="L257" s="30"/>
    </row>
    <row r="258" customFormat="false" ht="15.75" hidden="false" customHeight="false" outlineLevel="0" collapsed="false">
      <c r="B258" s="30"/>
      <c r="E258" s="30"/>
      <c r="F258" s="30"/>
      <c r="G258" s="30"/>
      <c r="H258" s="30"/>
      <c r="I258" s="30"/>
      <c r="J258" s="30"/>
      <c r="K258" s="30"/>
      <c r="L258" s="30"/>
    </row>
    <row r="259" customFormat="false" ht="15.75" hidden="false" customHeight="false" outlineLevel="0" collapsed="false">
      <c r="B259" s="30"/>
      <c r="E259" s="30"/>
      <c r="F259" s="30"/>
      <c r="G259" s="30"/>
      <c r="H259" s="30"/>
      <c r="I259" s="30"/>
      <c r="J259" s="30"/>
      <c r="K259" s="30"/>
      <c r="L259" s="30"/>
    </row>
    <row r="260" customFormat="false" ht="15.75" hidden="false" customHeight="false" outlineLevel="0" collapsed="false">
      <c r="B260" s="30"/>
      <c r="E260" s="30"/>
      <c r="F260" s="30"/>
      <c r="G260" s="30"/>
      <c r="H260" s="30"/>
      <c r="I260" s="30"/>
      <c r="J260" s="30"/>
      <c r="K260" s="30"/>
      <c r="L260" s="30"/>
    </row>
    <row r="261" customFormat="false" ht="15.75" hidden="false" customHeight="false" outlineLevel="0" collapsed="false">
      <c r="B261" s="30"/>
      <c r="E261" s="30"/>
      <c r="F261" s="30"/>
      <c r="G261" s="30"/>
      <c r="H261" s="30"/>
      <c r="I261" s="30"/>
      <c r="J261" s="30"/>
      <c r="K261" s="30"/>
      <c r="L261" s="30"/>
    </row>
    <row r="262" customFormat="false" ht="15.75" hidden="false" customHeight="false" outlineLevel="0" collapsed="false">
      <c r="B262" s="30"/>
      <c r="E262" s="30"/>
      <c r="F262" s="30"/>
      <c r="G262" s="30"/>
      <c r="H262" s="30"/>
      <c r="I262" s="30"/>
      <c r="J262" s="30"/>
      <c r="K262" s="30"/>
      <c r="L262" s="30"/>
    </row>
    <row r="263" customFormat="false" ht="15.75" hidden="false" customHeight="false" outlineLevel="0" collapsed="false">
      <c r="B263" s="30"/>
      <c r="E263" s="30"/>
      <c r="F263" s="30"/>
      <c r="G263" s="30"/>
      <c r="H263" s="30"/>
      <c r="I263" s="30"/>
      <c r="J263" s="30"/>
      <c r="K263" s="30"/>
      <c r="L263" s="30"/>
    </row>
    <row r="264" customFormat="false" ht="15.75" hidden="false" customHeight="false" outlineLevel="0" collapsed="false">
      <c r="B264" s="30"/>
      <c r="E264" s="30"/>
      <c r="F264" s="30"/>
      <c r="G264" s="30"/>
      <c r="H264" s="30"/>
      <c r="I264" s="30"/>
      <c r="J264" s="30"/>
      <c r="K264" s="30"/>
      <c r="L264" s="30"/>
    </row>
    <row r="265" customFormat="false" ht="15.75" hidden="false" customHeight="false" outlineLevel="0" collapsed="false">
      <c r="B265" s="30"/>
      <c r="E265" s="30"/>
      <c r="F265" s="30"/>
      <c r="G265" s="30"/>
      <c r="H265" s="30"/>
      <c r="I265" s="30"/>
      <c r="J265" s="30"/>
      <c r="K265" s="30"/>
      <c r="L265" s="30"/>
    </row>
    <row r="266" customFormat="false" ht="15.75" hidden="false" customHeight="false" outlineLevel="0" collapsed="false">
      <c r="B266" s="30"/>
      <c r="E266" s="30"/>
      <c r="F266" s="30"/>
      <c r="G266" s="30"/>
      <c r="H266" s="30"/>
      <c r="I266" s="30"/>
      <c r="J266" s="30"/>
      <c r="K266" s="30"/>
      <c r="L266" s="30"/>
    </row>
    <row r="267" customFormat="false" ht="15.75" hidden="false" customHeight="false" outlineLevel="0" collapsed="false">
      <c r="B267" s="30"/>
      <c r="E267" s="30"/>
      <c r="F267" s="30"/>
      <c r="G267" s="30"/>
      <c r="H267" s="30"/>
      <c r="I267" s="30"/>
      <c r="J267" s="30"/>
      <c r="K267" s="30"/>
      <c r="L267" s="30"/>
    </row>
    <row r="268" customFormat="false" ht="15.75" hidden="false" customHeight="false" outlineLevel="0" collapsed="false">
      <c r="B268" s="30"/>
      <c r="E268" s="30"/>
      <c r="F268" s="30"/>
      <c r="G268" s="30"/>
      <c r="H268" s="30"/>
      <c r="I268" s="30"/>
      <c r="J268" s="30"/>
      <c r="K268" s="30"/>
      <c r="L268" s="30"/>
    </row>
    <row r="269" customFormat="false" ht="15.75" hidden="false" customHeight="false" outlineLevel="0" collapsed="false">
      <c r="B269" s="30"/>
      <c r="E269" s="30"/>
      <c r="F269" s="30"/>
      <c r="G269" s="30"/>
      <c r="H269" s="30"/>
      <c r="I269" s="30"/>
      <c r="J269" s="30"/>
      <c r="K269" s="30"/>
      <c r="L269" s="30"/>
    </row>
    <row r="270" customFormat="false" ht="15.75" hidden="false" customHeight="false" outlineLevel="0" collapsed="false">
      <c r="B270" s="30"/>
      <c r="E270" s="30"/>
      <c r="F270" s="30"/>
      <c r="G270" s="30"/>
      <c r="H270" s="30"/>
      <c r="I270" s="30"/>
      <c r="J270" s="30"/>
      <c r="K270" s="30"/>
      <c r="L270" s="30"/>
    </row>
    <row r="271" customFormat="false" ht="15.75" hidden="false" customHeight="false" outlineLevel="0" collapsed="false">
      <c r="B271" s="30"/>
      <c r="E271" s="30"/>
      <c r="F271" s="30"/>
      <c r="G271" s="30"/>
      <c r="H271" s="30"/>
      <c r="I271" s="30"/>
      <c r="J271" s="30"/>
      <c r="K271" s="30"/>
      <c r="L271" s="30"/>
    </row>
    <row r="272" customFormat="false" ht="15.75" hidden="false" customHeight="false" outlineLevel="0" collapsed="false">
      <c r="B272" s="30"/>
      <c r="E272" s="30"/>
      <c r="F272" s="30"/>
      <c r="G272" s="30"/>
      <c r="H272" s="30"/>
      <c r="I272" s="30"/>
      <c r="J272" s="30"/>
      <c r="K272" s="30"/>
      <c r="L272" s="30"/>
    </row>
    <row r="273" customFormat="false" ht="15.75" hidden="false" customHeight="false" outlineLevel="0" collapsed="false">
      <c r="B273" s="30"/>
      <c r="E273" s="30"/>
      <c r="F273" s="30"/>
      <c r="G273" s="30"/>
      <c r="H273" s="30"/>
      <c r="I273" s="30"/>
      <c r="J273" s="30"/>
      <c r="K273" s="30"/>
      <c r="L273" s="30"/>
    </row>
    <row r="274" customFormat="false" ht="15.75" hidden="false" customHeight="false" outlineLevel="0" collapsed="false">
      <c r="B274" s="30"/>
      <c r="E274" s="30"/>
      <c r="F274" s="30"/>
      <c r="G274" s="30"/>
      <c r="H274" s="30"/>
      <c r="I274" s="30"/>
      <c r="J274" s="30"/>
      <c r="K274" s="30"/>
      <c r="L274" s="30"/>
    </row>
    <row r="275" customFormat="false" ht="15.75" hidden="false" customHeight="false" outlineLevel="0" collapsed="false">
      <c r="B275" s="30"/>
      <c r="E275" s="30"/>
      <c r="F275" s="30"/>
      <c r="G275" s="30"/>
      <c r="H275" s="30"/>
      <c r="I275" s="30"/>
      <c r="J275" s="30"/>
      <c r="K275" s="30"/>
      <c r="L275" s="30"/>
    </row>
    <row r="276" customFormat="false" ht="15.75" hidden="false" customHeight="false" outlineLevel="0" collapsed="false">
      <c r="B276" s="30"/>
      <c r="E276" s="30"/>
      <c r="F276" s="30"/>
      <c r="G276" s="30"/>
      <c r="H276" s="30"/>
      <c r="I276" s="30"/>
      <c r="J276" s="30"/>
      <c r="K276" s="30"/>
      <c r="L276" s="30"/>
    </row>
    <row r="277" customFormat="false" ht="15.75" hidden="false" customHeight="false" outlineLevel="0" collapsed="false">
      <c r="B277" s="30"/>
      <c r="E277" s="30"/>
      <c r="F277" s="30"/>
      <c r="G277" s="30"/>
      <c r="H277" s="30"/>
      <c r="I277" s="30"/>
      <c r="J277" s="30"/>
      <c r="K277" s="30"/>
      <c r="L277" s="30"/>
    </row>
    <row r="278" customFormat="false" ht="15.75" hidden="false" customHeight="false" outlineLevel="0" collapsed="false">
      <c r="B278" s="30"/>
      <c r="E278" s="30"/>
      <c r="F278" s="30"/>
      <c r="G278" s="30"/>
      <c r="H278" s="30"/>
      <c r="I278" s="30"/>
      <c r="J278" s="30"/>
      <c r="K278" s="30"/>
      <c r="L278" s="30"/>
    </row>
    <row r="279" customFormat="false" ht="15.75" hidden="false" customHeight="false" outlineLevel="0" collapsed="false">
      <c r="B279" s="30"/>
      <c r="E279" s="30"/>
      <c r="F279" s="30"/>
      <c r="G279" s="30"/>
      <c r="H279" s="30"/>
      <c r="I279" s="30"/>
      <c r="J279" s="30"/>
      <c r="K279" s="30"/>
      <c r="L279" s="30"/>
    </row>
    <row r="280" customFormat="false" ht="15.75" hidden="false" customHeight="false" outlineLevel="0" collapsed="false">
      <c r="B280" s="30"/>
      <c r="E280" s="30"/>
      <c r="F280" s="30"/>
      <c r="G280" s="30"/>
      <c r="H280" s="30"/>
      <c r="I280" s="30"/>
      <c r="J280" s="30"/>
      <c r="K280" s="30"/>
      <c r="L280" s="30"/>
    </row>
    <row r="281" customFormat="false" ht="15.75" hidden="false" customHeight="false" outlineLevel="0" collapsed="false">
      <c r="B281" s="30"/>
      <c r="E281" s="30"/>
      <c r="F281" s="30"/>
      <c r="G281" s="30"/>
      <c r="H281" s="30"/>
      <c r="I281" s="30"/>
      <c r="J281" s="30"/>
      <c r="K281" s="30"/>
      <c r="L281" s="30"/>
    </row>
    <row r="282" customFormat="false" ht="15.75" hidden="false" customHeight="false" outlineLevel="0" collapsed="false">
      <c r="B282" s="30"/>
      <c r="E282" s="30"/>
      <c r="F282" s="30"/>
      <c r="G282" s="30"/>
      <c r="H282" s="30"/>
      <c r="I282" s="30"/>
      <c r="J282" s="30"/>
      <c r="K282" s="30"/>
      <c r="L282" s="30"/>
    </row>
    <row r="283" customFormat="false" ht="15.75" hidden="false" customHeight="false" outlineLevel="0" collapsed="false">
      <c r="B283" s="30"/>
      <c r="E283" s="30"/>
      <c r="F283" s="30"/>
      <c r="G283" s="30"/>
      <c r="H283" s="30"/>
      <c r="I283" s="30"/>
      <c r="J283" s="30"/>
      <c r="K283" s="30"/>
      <c r="L283" s="30"/>
    </row>
    <row r="284" customFormat="false" ht="15.75" hidden="false" customHeight="false" outlineLevel="0" collapsed="false">
      <c r="B284" s="30"/>
      <c r="E284" s="30"/>
      <c r="F284" s="30"/>
      <c r="G284" s="30"/>
      <c r="H284" s="30"/>
      <c r="I284" s="30"/>
      <c r="J284" s="30"/>
      <c r="K284" s="30"/>
      <c r="L284" s="30"/>
    </row>
    <row r="285" customFormat="false" ht="15.75" hidden="false" customHeight="false" outlineLevel="0" collapsed="false">
      <c r="B285" s="30"/>
      <c r="E285" s="30"/>
      <c r="F285" s="30"/>
      <c r="G285" s="30"/>
      <c r="H285" s="30"/>
      <c r="I285" s="30"/>
      <c r="J285" s="30"/>
      <c r="K285" s="30"/>
      <c r="L285" s="30"/>
    </row>
    <row r="286" customFormat="false" ht="15.75" hidden="false" customHeight="false" outlineLevel="0" collapsed="false">
      <c r="B286" s="30"/>
      <c r="E286" s="30"/>
      <c r="F286" s="30"/>
      <c r="G286" s="30"/>
      <c r="H286" s="30"/>
      <c r="I286" s="30"/>
      <c r="J286" s="30"/>
      <c r="K286" s="30"/>
      <c r="L286" s="30"/>
    </row>
    <row r="287" customFormat="false" ht="15.75" hidden="false" customHeight="false" outlineLevel="0" collapsed="false">
      <c r="B287" s="30"/>
      <c r="E287" s="30"/>
      <c r="F287" s="30"/>
      <c r="G287" s="30"/>
      <c r="H287" s="30"/>
      <c r="I287" s="30"/>
      <c r="J287" s="30"/>
      <c r="K287" s="30"/>
      <c r="L287" s="30"/>
    </row>
    <row r="288" customFormat="false" ht="15.75" hidden="false" customHeight="false" outlineLevel="0" collapsed="false">
      <c r="B288" s="30"/>
      <c r="E288" s="30"/>
      <c r="F288" s="30"/>
      <c r="G288" s="30"/>
      <c r="H288" s="30"/>
      <c r="I288" s="30"/>
      <c r="J288" s="30"/>
      <c r="K288" s="30"/>
      <c r="L288" s="30"/>
    </row>
    <row r="289" customFormat="false" ht="15.75" hidden="false" customHeight="false" outlineLevel="0" collapsed="false">
      <c r="B289" s="30"/>
      <c r="E289" s="30"/>
      <c r="F289" s="30"/>
      <c r="G289" s="30"/>
      <c r="H289" s="30"/>
      <c r="I289" s="30"/>
      <c r="J289" s="30"/>
      <c r="K289" s="30"/>
      <c r="L289" s="30"/>
    </row>
    <row r="290" customFormat="false" ht="15.75" hidden="false" customHeight="false" outlineLevel="0" collapsed="false">
      <c r="B290" s="30"/>
      <c r="E290" s="30"/>
      <c r="F290" s="30"/>
      <c r="G290" s="30"/>
      <c r="H290" s="30"/>
      <c r="I290" s="30"/>
      <c r="J290" s="30"/>
      <c r="K290" s="30"/>
      <c r="L290" s="30"/>
    </row>
    <row r="291" customFormat="false" ht="15.75" hidden="false" customHeight="false" outlineLevel="0" collapsed="false">
      <c r="B291" s="30"/>
      <c r="E291" s="30"/>
      <c r="F291" s="30"/>
      <c r="G291" s="30"/>
      <c r="H291" s="30"/>
      <c r="I291" s="30"/>
      <c r="J291" s="30"/>
      <c r="K291" s="30"/>
      <c r="L291" s="30"/>
    </row>
    <row r="292" customFormat="false" ht="15.75" hidden="false" customHeight="false" outlineLevel="0" collapsed="false">
      <c r="B292" s="30"/>
      <c r="E292" s="30"/>
      <c r="F292" s="30"/>
      <c r="G292" s="30"/>
      <c r="H292" s="30"/>
      <c r="I292" s="30"/>
      <c r="J292" s="30"/>
      <c r="K292" s="30"/>
      <c r="L292" s="30"/>
    </row>
    <row r="293" customFormat="false" ht="15.75" hidden="false" customHeight="false" outlineLevel="0" collapsed="false">
      <c r="B293" s="30"/>
      <c r="E293" s="30"/>
      <c r="F293" s="30"/>
      <c r="G293" s="30"/>
      <c r="H293" s="30"/>
      <c r="I293" s="30"/>
      <c r="J293" s="30"/>
      <c r="K293" s="30"/>
      <c r="L293" s="30"/>
    </row>
    <row r="294" customFormat="false" ht="15.75" hidden="false" customHeight="false" outlineLevel="0" collapsed="false">
      <c r="B294" s="30"/>
      <c r="E294" s="30"/>
      <c r="F294" s="30"/>
      <c r="G294" s="30"/>
      <c r="H294" s="30"/>
      <c r="I294" s="30"/>
      <c r="J294" s="30"/>
      <c r="K294" s="30"/>
      <c r="L294" s="30"/>
    </row>
    <row r="295" customFormat="false" ht="15.75" hidden="false" customHeight="false" outlineLevel="0" collapsed="false">
      <c r="B295" s="30"/>
      <c r="E295" s="30"/>
      <c r="F295" s="30"/>
      <c r="G295" s="30"/>
      <c r="H295" s="30"/>
      <c r="I295" s="30"/>
      <c r="J295" s="30"/>
      <c r="K295" s="30"/>
      <c r="L295" s="30"/>
    </row>
    <row r="296" customFormat="false" ht="15.75" hidden="false" customHeight="false" outlineLevel="0" collapsed="false">
      <c r="B296" s="30"/>
      <c r="E296" s="30"/>
      <c r="F296" s="30"/>
      <c r="G296" s="30"/>
      <c r="H296" s="30"/>
      <c r="I296" s="30"/>
      <c r="J296" s="30"/>
      <c r="K296" s="30"/>
      <c r="L296" s="30"/>
    </row>
    <row r="297" customFormat="false" ht="15.75" hidden="false" customHeight="false" outlineLevel="0" collapsed="false">
      <c r="B297" s="30"/>
      <c r="E297" s="30"/>
      <c r="F297" s="30"/>
      <c r="G297" s="30"/>
      <c r="H297" s="30"/>
      <c r="I297" s="30"/>
      <c r="J297" s="30"/>
      <c r="K297" s="30"/>
      <c r="L297" s="30"/>
    </row>
    <row r="298" customFormat="false" ht="15.75" hidden="false" customHeight="false" outlineLevel="0" collapsed="false">
      <c r="B298" s="30"/>
      <c r="E298" s="30"/>
      <c r="F298" s="30"/>
      <c r="G298" s="30"/>
      <c r="H298" s="30"/>
      <c r="I298" s="30"/>
      <c r="J298" s="30"/>
      <c r="K298" s="30"/>
      <c r="L298" s="30"/>
    </row>
    <row r="299" customFormat="false" ht="15.75" hidden="false" customHeight="false" outlineLevel="0" collapsed="false">
      <c r="B299" s="30"/>
      <c r="E299" s="30"/>
      <c r="F299" s="30"/>
      <c r="G299" s="30"/>
      <c r="H299" s="30"/>
      <c r="I299" s="30"/>
      <c r="J299" s="30"/>
      <c r="K299" s="30"/>
      <c r="L299" s="30"/>
    </row>
    <row r="300" customFormat="false" ht="15.75" hidden="false" customHeight="false" outlineLevel="0" collapsed="false">
      <c r="B300" s="30"/>
      <c r="E300" s="30"/>
      <c r="F300" s="30"/>
      <c r="G300" s="30"/>
      <c r="H300" s="30"/>
      <c r="I300" s="30"/>
      <c r="J300" s="30"/>
      <c r="K300" s="30"/>
      <c r="L300" s="30"/>
    </row>
    <row r="301" customFormat="false" ht="15.75" hidden="false" customHeight="false" outlineLevel="0" collapsed="false">
      <c r="B301" s="30"/>
      <c r="E301" s="30"/>
      <c r="F301" s="30"/>
      <c r="G301" s="30"/>
      <c r="H301" s="30"/>
      <c r="I301" s="30"/>
      <c r="J301" s="30"/>
      <c r="K301" s="30"/>
      <c r="L301" s="30"/>
    </row>
    <row r="302" customFormat="false" ht="15.75" hidden="false" customHeight="false" outlineLevel="0" collapsed="false">
      <c r="B302" s="30"/>
      <c r="E302" s="30"/>
      <c r="F302" s="30"/>
      <c r="G302" s="30"/>
      <c r="H302" s="30"/>
      <c r="I302" s="30"/>
      <c r="J302" s="30"/>
      <c r="K302" s="30"/>
      <c r="L302" s="30"/>
    </row>
    <row r="303" customFormat="false" ht="15.75" hidden="false" customHeight="false" outlineLevel="0" collapsed="false">
      <c r="B303" s="30"/>
      <c r="E303" s="30"/>
      <c r="F303" s="30"/>
      <c r="G303" s="30"/>
      <c r="H303" s="30"/>
      <c r="I303" s="30"/>
      <c r="J303" s="30"/>
      <c r="K303" s="30"/>
      <c r="L303" s="30"/>
    </row>
    <row r="304" customFormat="false" ht="15.75" hidden="false" customHeight="false" outlineLevel="0" collapsed="false">
      <c r="B304" s="30"/>
      <c r="E304" s="30"/>
      <c r="F304" s="30"/>
      <c r="G304" s="30"/>
      <c r="H304" s="30"/>
      <c r="I304" s="30"/>
      <c r="J304" s="30"/>
      <c r="K304" s="30"/>
      <c r="L304" s="30"/>
    </row>
    <row r="305" customFormat="false" ht="15.75" hidden="false" customHeight="false" outlineLevel="0" collapsed="false">
      <c r="B305" s="30"/>
      <c r="E305" s="30"/>
      <c r="F305" s="30"/>
      <c r="G305" s="30"/>
      <c r="H305" s="30"/>
      <c r="I305" s="30"/>
      <c r="J305" s="30"/>
      <c r="K305" s="30"/>
      <c r="L305" s="30"/>
    </row>
    <row r="306" customFormat="false" ht="15.75" hidden="false" customHeight="false" outlineLevel="0" collapsed="false">
      <c r="B306" s="30"/>
      <c r="E306" s="30"/>
      <c r="F306" s="30"/>
      <c r="G306" s="30"/>
      <c r="H306" s="30"/>
      <c r="I306" s="30"/>
      <c r="J306" s="30"/>
      <c r="K306" s="30"/>
      <c r="L306" s="30"/>
    </row>
    <row r="307" customFormat="false" ht="15.75" hidden="false" customHeight="false" outlineLevel="0" collapsed="false">
      <c r="B307" s="30"/>
      <c r="E307" s="30"/>
      <c r="F307" s="30"/>
      <c r="G307" s="30"/>
      <c r="H307" s="30"/>
      <c r="I307" s="30"/>
      <c r="J307" s="30"/>
      <c r="K307" s="30"/>
      <c r="L307" s="30"/>
    </row>
    <row r="308" customFormat="false" ht="15.75" hidden="false" customHeight="false" outlineLevel="0" collapsed="false">
      <c r="B308" s="30"/>
      <c r="E308" s="30"/>
      <c r="F308" s="30"/>
      <c r="G308" s="30"/>
      <c r="H308" s="30"/>
      <c r="I308" s="30"/>
      <c r="J308" s="30"/>
      <c r="K308" s="30"/>
      <c r="L308" s="30"/>
    </row>
    <row r="309" customFormat="false" ht="15.75" hidden="false" customHeight="false" outlineLevel="0" collapsed="false">
      <c r="B309" s="30"/>
      <c r="E309" s="30"/>
      <c r="F309" s="30"/>
      <c r="G309" s="30"/>
      <c r="H309" s="30"/>
      <c r="I309" s="30"/>
      <c r="J309" s="30"/>
      <c r="K309" s="30"/>
      <c r="L309" s="30"/>
    </row>
    <row r="310" customFormat="false" ht="15.75" hidden="false" customHeight="false" outlineLevel="0" collapsed="false">
      <c r="B310" s="30"/>
      <c r="E310" s="30"/>
      <c r="F310" s="30"/>
      <c r="G310" s="30"/>
      <c r="H310" s="30"/>
      <c r="I310" s="30"/>
      <c r="J310" s="30"/>
      <c r="K310" s="30"/>
      <c r="L310" s="30"/>
    </row>
    <row r="311" customFormat="false" ht="15.75" hidden="false" customHeight="false" outlineLevel="0" collapsed="false">
      <c r="B311" s="30"/>
      <c r="E311" s="30"/>
      <c r="F311" s="30"/>
      <c r="G311" s="30"/>
      <c r="H311" s="30"/>
      <c r="I311" s="30"/>
      <c r="J311" s="30"/>
      <c r="K311" s="30"/>
      <c r="L311" s="30"/>
    </row>
    <row r="312" customFormat="false" ht="15.75" hidden="false" customHeight="false" outlineLevel="0" collapsed="false">
      <c r="B312" s="30"/>
      <c r="E312" s="30"/>
      <c r="F312" s="30"/>
      <c r="G312" s="30"/>
      <c r="H312" s="30"/>
      <c r="I312" s="30"/>
      <c r="J312" s="30"/>
      <c r="K312" s="30"/>
      <c r="L312" s="30"/>
    </row>
    <row r="313" customFormat="false" ht="15.75" hidden="false" customHeight="false" outlineLevel="0" collapsed="false">
      <c r="B313" s="30"/>
      <c r="E313" s="30"/>
      <c r="F313" s="30"/>
      <c r="G313" s="30"/>
      <c r="H313" s="30"/>
      <c r="I313" s="30"/>
      <c r="J313" s="30"/>
      <c r="K313" s="30"/>
      <c r="L313" s="30"/>
    </row>
    <row r="314" customFormat="false" ht="15.75" hidden="false" customHeight="false" outlineLevel="0" collapsed="false">
      <c r="B314" s="30"/>
      <c r="E314" s="30"/>
      <c r="F314" s="30"/>
      <c r="G314" s="30"/>
      <c r="H314" s="30"/>
      <c r="I314" s="30"/>
      <c r="J314" s="30"/>
      <c r="K314" s="30"/>
      <c r="L314" s="30"/>
    </row>
    <row r="315" customFormat="false" ht="15.75" hidden="false" customHeight="false" outlineLevel="0" collapsed="false">
      <c r="B315" s="30"/>
      <c r="E315" s="30"/>
      <c r="F315" s="30"/>
      <c r="G315" s="30"/>
      <c r="H315" s="30"/>
      <c r="I315" s="30"/>
      <c r="J315" s="30"/>
      <c r="K315" s="30"/>
      <c r="L315" s="30"/>
    </row>
    <row r="316" customFormat="false" ht="15.75" hidden="false" customHeight="false" outlineLevel="0" collapsed="false">
      <c r="B316" s="30"/>
      <c r="E316" s="30"/>
      <c r="F316" s="30"/>
      <c r="G316" s="30"/>
      <c r="H316" s="30"/>
      <c r="I316" s="30"/>
      <c r="J316" s="30"/>
      <c r="K316" s="30"/>
      <c r="L316" s="30"/>
    </row>
    <row r="317" customFormat="false" ht="15.75" hidden="false" customHeight="false" outlineLevel="0" collapsed="false">
      <c r="B317" s="30"/>
      <c r="E317" s="30"/>
      <c r="F317" s="30"/>
      <c r="G317" s="30"/>
      <c r="H317" s="30"/>
      <c r="I317" s="30"/>
      <c r="J317" s="30"/>
      <c r="K317" s="30"/>
      <c r="L317" s="30"/>
    </row>
    <row r="318" customFormat="false" ht="15.75" hidden="false" customHeight="false" outlineLevel="0" collapsed="false">
      <c r="B318" s="30"/>
      <c r="E318" s="30"/>
      <c r="F318" s="30"/>
      <c r="G318" s="30"/>
      <c r="H318" s="30"/>
      <c r="I318" s="30"/>
      <c r="J318" s="30"/>
      <c r="K318" s="30"/>
      <c r="L318" s="30"/>
    </row>
    <row r="319" customFormat="false" ht="15.75" hidden="false" customHeight="false" outlineLevel="0" collapsed="false">
      <c r="B319" s="30"/>
      <c r="E319" s="30"/>
      <c r="F319" s="30"/>
      <c r="G319" s="30"/>
      <c r="H319" s="30"/>
      <c r="I319" s="30"/>
      <c r="J319" s="30"/>
      <c r="K319" s="30"/>
      <c r="L319" s="30"/>
    </row>
    <row r="320" customFormat="false" ht="15.75" hidden="false" customHeight="false" outlineLevel="0" collapsed="false">
      <c r="B320" s="30"/>
      <c r="E320" s="30"/>
      <c r="F320" s="30"/>
      <c r="G320" s="30"/>
      <c r="H320" s="30"/>
      <c r="I320" s="30"/>
      <c r="J320" s="30"/>
      <c r="K320" s="30"/>
      <c r="L320" s="30"/>
    </row>
    <row r="321" customFormat="false" ht="15.75" hidden="false" customHeight="false" outlineLevel="0" collapsed="false">
      <c r="B321" s="30"/>
      <c r="E321" s="30"/>
      <c r="F321" s="30"/>
      <c r="G321" s="30"/>
      <c r="H321" s="30"/>
      <c r="I321" s="30"/>
      <c r="J321" s="30"/>
      <c r="K321" s="30"/>
      <c r="L321" s="30"/>
    </row>
    <row r="322" customFormat="false" ht="15.75" hidden="false" customHeight="false" outlineLevel="0" collapsed="false">
      <c r="B322" s="30"/>
      <c r="E322" s="30"/>
      <c r="F322" s="30"/>
      <c r="G322" s="30"/>
      <c r="H322" s="30"/>
      <c r="I322" s="30"/>
      <c r="J322" s="30"/>
      <c r="K322" s="30"/>
      <c r="L322" s="30"/>
    </row>
    <row r="323" customFormat="false" ht="15.75" hidden="false" customHeight="false" outlineLevel="0" collapsed="false">
      <c r="B323" s="30"/>
      <c r="E323" s="30"/>
      <c r="F323" s="30"/>
      <c r="G323" s="30"/>
      <c r="H323" s="30"/>
      <c r="I323" s="30"/>
      <c r="J323" s="30"/>
      <c r="K323" s="30"/>
      <c r="L323" s="30"/>
    </row>
    <row r="324" customFormat="false" ht="15.75" hidden="false" customHeight="false" outlineLevel="0" collapsed="false">
      <c r="B324" s="30"/>
      <c r="E324" s="30"/>
      <c r="F324" s="30"/>
      <c r="G324" s="30"/>
      <c r="H324" s="30"/>
      <c r="I324" s="30"/>
      <c r="J324" s="30"/>
      <c r="K324" s="30"/>
      <c r="L324" s="30"/>
    </row>
    <row r="325" customFormat="false" ht="15.75" hidden="false" customHeight="false" outlineLevel="0" collapsed="false">
      <c r="B325" s="30"/>
      <c r="E325" s="30"/>
      <c r="F325" s="30"/>
      <c r="G325" s="30"/>
      <c r="H325" s="30"/>
      <c r="I325" s="30"/>
      <c r="J325" s="30"/>
      <c r="K325" s="30"/>
      <c r="L325" s="30"/>
    </row>
    <row r="326" customFormat="false" ht="15.75" hidden="false" customHeight="false" outlineLevel="0" collapsed="false">
      <c r="B326" s="30"/>
      <c r="E326" s="30"/>
      <c r="F326" s="30"/>
      <c r="G326" s="30"/>
      <c r="H326" s="30"/>
      <c r="I326" s="30"/>
      <c r="J326" s="30"/>
      <c r="K326" s="30"/>
      <c r="L326" s="30"/>
    </row>
    <row r="327" customFormat="false" ht="15.75" hidden="false" customHeight="false" outlineLevel="0" collapsed="false">
      <c r="B327" s="30"/>
      <c r="E327" s="30"/>
      <c r="F327" s="30"/>
      <c r="G327" s="30"/>
      <c r="H327" s="30"/>
      <c r="I327" s="30"/>
      <c r="J327" s="30"/>
      <c r="K327" s="30"/>
      <c r="L327" s="30"/>
    </row>
    <row r="328" customFormat="false" ht="15.75" hidden="false" customHeight="false" outlineLevel="0" collapsed="false">
      <c r="B328" s="30"/>
      <c r="E328" s="30"/>
      <c r="F328" s="30"/>
      <c r="G328" s="30"/>
      <c r="H328" s="30"/>
      <c r="I328" s="30"/>
      <c r="J328" s="30"/>
      <c r="K328" s="30"/>
      <c r="L328" s="30"/>
    </row>
    <row r="329" customFormat="false" ht="15.75" hidden="false" customHeight="false" outlineLevel="0" collapsed="false">
      <c r="B329" s="30"/>
      <c r="E329" s="30"/>
      <c r="F329" s="30"/>
      <c r="G329" s="30"/>
      <c r="H329" s="30"/>
      <c r="I329" s="30"/>
      <c r="J329" s="30"/>
      <c r="K329" s="30"/>
      <c r="L329" s="30"/>
    </row>
    <row r="330" customFormat="false" ht="15.75" hidden="false" customHeight="false" outlineLevel="0" collapsed="false">
      <c r="B330" s="30"/>
      <c r="E330" s="30"/>
      <c r="F330" s="30"/>
      <c r="G330" s="30"/>
      <c r="H330" s="30"/>
      <c r="I330" s="30"/>
      <c r="J330" s="30"/>
      <c r="K330" s="30"/>
      <c r="L330" s="30"/>
    </row>
    <row r="331" customFormat="false" ht="15.75" hidden="false" customHeight="false" outlineLevel="0" collapsed="false">
      <c r="B331" s="30"/>
      <c r="E331" s="30"/>
      <c r="F331" s="30"/>
      <c r="G331" s="30"/>
      <c r="H331" s="30"/>
      <c r="I331" s="30"/>
      <c r="J331" s="30"/>
      <c r="K331" s="30"/>
      <c r="L331" s="30"/>
    </row>
    <row r="332" customFormat="false" ht="15.75" hidden="false" customHeight="false" outlineLevel="0" collapsed="false">
      <c r="B332" s="30"/>
      <c r="E332" s="30"/>
      <c r="F332" s="30"/>
      <c r="G332" s="30"/>
      <c r="H332" s="30"/>
      <c r="I332" s="30"/>
      <c r="J332" s="30"/>
      <c r="K332" s="30"/>
      <c r="L332" s="30"/>
    </row>
    <row r="333" customFormat="false" ht="15.75" hidden="false" customHeight="false" outlineLevel="0" collapsed="false">
      <c r="B333" s="30"/>
      <c r="E333" s="30"/>
      <c r="F333" s="30"/>
      <c r="G333" s="30"/>
      <c r="H333" s="30"/>
      <c r="I333" s="30"/>
      <c r="J333" s="30"/>
      <c r="K333" s="30"/>
      <c r="L333" s="30"/>
    </row>
    <row r="334" customFormat="false" ht="15.75" hidden="false" customHeight="false" outlineLevel="0" collapsed="false">
      <c r="B334" s="30"/>
      <c r="E334" s="30"/>
      <c r="F334" s="30"/>
      <c r="G334" s="30"/>
      <c r="H334" s="30"/>
      <c r="I334" s="30"/>
      <c r="J334" s="30"/>
      <c r="K334" s="30"/>
      <c r="L334" s="30"/>
    </row>
    <row r="335" customFormat="false" ht="15.75" hidden="false" customHeight="false" outlineLevel="0" collapsed="false">
      <c r="B335" s="30"/>
      <c r="E335" s="30"/>
      <c r="F335" s="30"/>
      <c r="G335" s="30"/>
      <c r="H335" s="30"/>
      <c r="I335" s="30"/>
      <c r="J335" s="30"/>
      <c r="K335" s="30"/>
      <c r="L335" s="30"/>
    </row>
    <row r="336" customFormat="false" ht="15.75" hidden="false" customHeight="false" outlineLevel="0" collapsed="false">
      <c r="B336" s="30"/>
      <c r="E336" s="30"/>
      <c r="F336" s="30"/>
      <c r="G336" s="30"/>
      <c r="H336" s="30"/>
      <c r="I336" s="30"/>
      <c r="J336" s="30"/>
      <c r="K336" s="30"/>
      <c r="L336" s="30"/>
    </row>
    <row r="337" customFormat="false" ht="15.75" hidden="false" customHeight="false" outlineLevel="0" collapsed="false">
      <c r="B337" s="30"/>
      <c r="E337" s="30"/>
      <c r="F337" s="30"/>
      <c r="G337" s="30"/>
      <c r="H337" s="30"/>
      <c r="I337" s="30"/>
      <c r="J337" s="30"/>
      <c r="K337" s="30"/>
      <c r="L337" s="30"/>
    </row>
    <row r="338" customFormat="false" ht="15.75" hidden="false" customHeight="false" outlineLevel="0" collapsed="false">
      <c r="B338" s="30"/>
      <c r="E338" s="30"/>
      <c r="F338" s="30"/>
      <c r="G338" s="30"/>
      <c r="H338" s="30"/>
      <c r="I338" s="30"/>
      <c r="J338" s="30"/>
      <c r="K338" s="30"/>
      <c r="L338" s="30"/>
    </row>
    <row r="339" customFormat="false" ht="15.75" hidden="false" customHeight="false" outlineLevel="0" collapsed="false">
      <c r="B339" s="30"/>
      <c r="E339" s="30"/>
      <c r="F339" s="30"/>
      <c r="G339" s="30"/>
      <c r="H339" s="30"/>
      <c r="I339" s="30"/>
      <c r="J339" s="30"/>
      <c r="K339" s="30"/>
      <c r="L339" s="30"/>
    </row>
    <row r="340" customFormat="false" ht="15.75" hidden="false" customHeight="false" outlineLevel="0" collapsed="false">
      <c r="B340" s="30"/>
      <c r="E340" s="30"/>
      <c r="F340" s="30"/>
      <c r="G340" s="30"/>
      <c r="H340" s="30"/>
      <c r="I340" s="30"/>
      <c r="J340" s="30"/>
      <c r="K340" s="30"/>
      <c r="L340" s="30"/>
    </row>
    <row r="341" customFormat="false" ht="15.75" hidden="false" customHeight="false" outlineLevel="0" collapsed="false">
      <c r="B341" s="30"/>
      <c r="E341" s="30"/>
      <c r="F341" s="30"/>
      <c r="G341" s="30"/>
      <c r="H341" s="30"/>
      <c r="I341" s="30"/>
      <c r="J341" s="30"/>
      <c r="K341" s="30"/>
      <c r="L341" s="30"/>
    </row>
    <row r="342" customFormat="false" ht="15.75" hidden="false" customHeight="false" outlineLevel="0" collapsed="false">
      <c r="B342" s="30"/>
      <c r="E342" s="30"/>
      <c r="F342" s="30"/>
      <c r="G342" s="30"/>
      <c r="H342" s="30"/>
      <c r="I342" s="30"/>
      <c r="J342" s="30"/>
      <c r="K342" s="30"/>
      <c r="L342" s="30"/>
    </row>
    <row r="343" customFormat="false" ht="15.75" hidden="false" customHeight="false" outlineLevel="0" collapsed="false">
      <c r="B343" s="30"/>
      <c r="E343" s="30"/>
      <c r="F343" s="30"/>
      <c r="G343" s="30"/>
      <c r="H343" s="30"/>
      <c r="I343" s="30"/>
      <c r="J343" s="30"/>
      <c r="K343" s="30"/>
      <c r="L343" s="30"/>
    </row>
    <row r="344" customFormat="false" ht="15.75" hidden="false" customHeight="false" outlineLevel="0" collapsed="false">
      <c r="B344" s="30"/>
      <c r="E344" s="30"/>
      <c r="F344" s="30"/>
      <c r="G344" s="30"/>
      <c r="H344" s="30"/>
      <c r="I344" s="30"/>
      <c r="J344" s="30"/>
      <c r="K344" s="30"/>
      <c r="L344" s="30"/>
    </row>
    <row r="345" customFormat="false" ht="15.75" hidden="false" customHeight="false" outlineLevel="0" collapsed="false">
      <c r="B345" s="30"/>
      <c r="E345" s="30"/>
      <c r="F345" s="30"/>
      <c r="G345" s="30"/>
      <c r="H345" s="30"/>
      <c r="I345" s="30"/>
      <c r="J345" s="30"/>
      <c r="K345" s="30"/>
      <c r="L345" s="30"/>
    </row>
    <row r="346" customFormat="false" ht="15.75" hidden="false" customHeight="false" outlineLevel="0" collapsed="false">
      <c r="B346" s="30"/>
      <c r="E346" s="30"/>
      <c r="F346" s="30"/>
      <c r="G346" s="30"/>
      <c r="H346" s="30"/>
      <c r="I346" s="30"/>
      <c r="J346" s="30"/>
      <c r="K346" s="30"/>
      <c r="L346" s="30"/>
    </row>
    <row r="347" customFormat="false" ht="15.75" hidden="false" customHeight="false" outlineLevel="0" collapsed="false">
      <c r="B347" s="30"/>
      <c r="E347" s="30"/>
      <c r="F347" s="30"/>
      <c r="G347" s="30"/>
      <c r="H347" s="30"/>
      <c r="I347" s="30"/>
      <c r="J347" s="30"/>
      <c r="K347" s="30"/>
      <c r="L347" s="30"/>
    </row>
    <row r="348" customFormat="false" ht="15.75" hidden="false" customHeight="false" outlineLevel="0" collapsed="false">
      <c r="B348" s="30"/>
      <c r="E348" s="30"/>
      <c r="F348" s="30"/>
      <c r="G348" s="30"/>
      <c r="H348" s="30"/>
      <c r="I348" s="30"/>
      <c r="J348" s="30"/>
      <c r="K348" s="30"/>
      <c r="L348" s="30"/>
    </row>
    <row r="349" customFormat="false" ht="15.75" hidden="false" customHeight="false" outlineLevel="0" collapsed="false">
      <c r="B349" s="30"/>
      <c r="E349" s="30"/>
      <c r="F349" s="30"/>
      <c r="G349" s="30"/>
      <c r="H349" s="30"/>
      <c r="I349" s="30"/>
      <c r="J349" s="30"/>
      <c r="K349" s="30"/>
      <c r="L349" s="30"/>
    </row>
    <row r="350" customFormat="false" ht="15.75" hidden="false" customHeight="false" outlineLevel="0" collapsed="false">
      <c r="B350" s="30"/>
      <c r="E350" s="30"/>
      <c r="F350" s="30"/>
      <c r="G350" s="30"/>
      <c r="H350" s="30"/>
      <c r="I350" s="30"/>
      <c r="J350" s="30"/>
      <c r="K350" s="30"/>
      <c r="L350" s="30"/>
    </row>
    <row r="351" customFormat="false" ht="15.75" hidden="false" customHeight="false" outlineLevel="0" collapsed="false">
      <c r="B351" s="30"/>
      <c r="E351" s="30"/>
      <c r="F351" s="30"/>
      <c r="G351" s="30"/>
      <c r="H351" s="30"/>
      <c r="I351" s="30"/>
      <c r="J351" s="30"/>
      <c r="K351" s="30"/>
      <c r="L351" s="30"/>
    </row>
    <row r="352" customFormat="false" ht="15.75" hidden="false" customHeight="false" outlineLevel="0" collapsed="false">
      <c r="B352" s="30"/>
      <c r="E352" s="30"/>
      <c r="F352" s="30"/>
      <c r="G352" s="30"/>
      <c r="H352" s="30"/>
      <c r="I352" s="30"/>
      <c r="J352" s="30"/>
      <c r="K352" s="30"/>
      <c r="L352" s="30"/>
    </row>
    <row r="353" customFormat="false" ht="15.75" hidden="false" customHeight="false" outlineLevel="0" collapsed="false">
      <c r="B353" s="30"/>
      <c r="E353" s="30"/>
      <c r="F353" s="30"/>
      <c r="G353" s="30"/>
      <c r="H353" s="30"/>
      <c r="I353" s="30"/>
      <c r="J353" s="30"/>
      <c r="K353" s="30"/>
      <c r="L353" s="30"/>
    </row>
    <row r="354" customFormat="false" ht="15.75" hidden="false" customHeight="false" outlineLevel="0" collapsed="false">
      <c r="B354" s="30"/>
      <c r="E354" s="30"/>
      <c r="F354" s="30"/>
      <c r="G354" s="30"/>
      <c r="H354" s="30"/>
      <c r="I354" s="30"/>
      <c r="J354" s="30"/>
      <c r="K354" s="30"/>
      <c r="L354" s="30"/>
    </row>
    <row r="355" customFormat="false" ht="15.75" hidden="false" customHeight="false" outlineLevel="0" collapsed="false">
      <c r="B355" s="30"/>
      <c r="E355" s="30"/>
      <c r="F355" s="30"/>
      <c r="G355" s="30"/>
      <c r="H355" s="30"/>
      <c r="I355" s="30"/>
      <c r="J355" s="30"/>
      <c r="K355" s="30"/>
      <c r="L355" s="30"/>
    </row>
    <row r="356" customFormat="false" ht="15.75" hidden="false" customHeight="false" outlineLevel="0" collapsed="false">
      <c r="B356" s="30"/>
      <c r="E356" s="30"/>
      <c r="F356" s="30"/>
      <c r="G356" s="30"/>
      <c r="H356" s="30"/>
      <c r="I356" s="30"/>
      <c r="J356" s="30"/>
      <c r="K356" s="30"/>
      <c r="L356" s="30"/>
    </row>
    <row r="357" customFormat="false" ht="15.75" hidden="false" customHeight="false" outlineLevel="0" collapsed="false">
      <c r="B357" s="30"/>
      <c r="E357" s="30"/>
      <c r="F357" s="30"/>
      <c r="G357" s="30"/>
      <c r="H357" s="30"/>
      <c r="I357" s="30"/>
      <c r="J357" s="30"/>
      <c r="K357" s="30"/>
      <c r="L357" s="30"/>
    </row>
    <row r="358" customFormat="false" ht="15.75" hidden="false" customHeight="false" outlineLevel="0" collapsed="false">
      <c r="B358" s="30"/>
      <c r="E358" s="30"/>
      <c r="F358" s="30"/>
      <c r="G358" s="30"/>
      <c r="H358" s="30"/>
      <c r="I358" s="30"/>
      <c r="J358" s="30"/>
      <c r="K358" s="30"/>
      <c r="L358" s="30"/>
    </row>
    <row r="359" customFormat="false" ht="15.75" hidden="false" customHeight="false" outlineLevel="0" collapsed="false">
      <c r="B359" s="30"/>
      <c r="E359" s="30"/>
      <c r="F359" s="30"/>
      <c r="G359" s="30"/>
      <c r="H359" s="30"/>
      <c r="I359" s="30"/>
      <c r="J359" s="30"/>
      <c r="K359" s="30"/>
      <c r="L359" s="30"/>
    </row>
    <row r="360" customFormat="false" ht="15.75" hidden="false" customHeight="false" outlineLevel="0" collapsed="false">
      <c r="B360" s="30"/>
      <c r="E360" s="30"/>
      <c r="F360" s="30"/>
      <c r="G360" s="30"/>
      <c r="H360" s="30"/>
      <c r="I360" s="30"/>
      <c r="J360" s="30"/>
      <c r="K360" s="30"/>
      <c r="L360" s="30"/>
    </row>
    <row r="361" customFormat="false" ht="15.75" hidden="false" customHeight="false" outlineLevel="0" collapsed="false">
      <c r="B361" s="30"/>
      <c r="E361" s="30"/>
      <c r="F361" s="30"/>
      <c r="G361" s="30"/>
      <c r="H361" s="30"/>
      <c r="I361" s="30"/>
      <c r="J361" s="30"/>
      <c r="K361" s="30"/>
      <c r="L361" s="30"/>
    </row>
    <row r="362" customFormat="false" ht="15.75" hidden="false" customHeight="false" outlineLevel="0" collapsed="false">
      <c r="B362" s="30"/>
      <c r="E362" s="30"/>
      <c r="F362" s="30"/>
      <c r="G362" s="30"/>
      <c r="H362" s="30"/>
      <c r="I362" s="30"/>
      <c r="J362" s="30"/>
      <c r="K362" s="30"/>
      <c r="L362" s="30"/>
    </row>
    <row r="363" customFormat="false" ht="15.75" hidden="false" customHeight="false" outlineLevel="0" collapsed="false">
      <c r="B363" s="30"/>
      <c r="E363" s="30"/>
      <c r="F363" s="30"/>
      <c r="G363" s="30"/>
      <c r="H363" s="30"/>
      <c r="I363" s="30"/>
      <c r="J363" s="30"/>
      <c r="K363" s="30"/>
      <c r="L363" s="30"/>
    </row>
    <row r="364" customFormat="false" ht="15.75" hidden="false" customHeight="false" outlineLevel="0" collapsed="false">
      <c r="B364" s="30"/>
      <c r="E364" s="30"/>
      <c r="F364" s="30"/>
      <c r="G364" s="30"/>
      <c r="H364" s="30"/>
      <c r="I364" s="30"/>
      <c r="J364" s="30"/>
      <c r="K364" s="30"/>
      <c r="L364" s="30"/>
    </row>
    <row r="365" customFormat="false" ht="15.75" hidden="false" customHeight="false" outlineLevel="0" collapsed="false">
      <c r="B365" s="30"/>
      <c r="E365" s="30"/>
      <c r="F365" s="30"/>
      <c r="G365" s="30"/>
      <c r="H365" s="30"/>
      <c r="I365" s="30"/>
      <c r="J365" s="30"/>
      <c r="K365" s="30"/>
      <c r="L365" s="30"/>
    </row>
    <row r="366" customFormat="false" ht="15.75" hidden="false" customHeight="false" outlineLevel="0" collapsed="false">
      <c r="B366" s="30"/>
      <c r="E366" s="30"/>
      <c r="F366" s="30"/>
      <c r="G366" s="30"/>
      <c r="H366" s="30"/>
      <c r="I366" s="30"/>
      <c r="J366" s="30"/>
      <c r="K366" s="30"/>
      <c r="L366" s="30"/>
    </row>
    <row r="367" customFormat="false" ht="15.75" hidden="false" customHeight="false" outlineLevel="0" collapsed="false">
      <c r="B367" s="30"/>
      <c r="E367" s="30"/>
      <c r="F367" s="30"/>
      <c r="G367" s="30"/>
      <c r="H367" s="30"/>
      <c r="I367" s="30"/>
      <c r="J367" s="30"/>
      <c r="K367" s="30"/>
      <c r="L367" s="30"/>
    </row>
    <row r="368" customFormat="false" ht="15.75" hidden="false" customHeight="false" outlineLevel="0" collapsed="false">
      <c r="B368" s="30"/>
      <c r="E368" s="30"/>
      <c r="F368" s="30"/>
      <c r="G368" s="30"/>
      <c r="H368" s="30"/>
      <c r="I368" s="30"/>
      <c r="J368" s="30"/>
      <c r="K368" s="30"/>
      <c r="L368" s="30"/>
    </row>
    <row r="369" customFormat="false" ht="15.75" hidden="false" customHeight="false" outlineLevel="0" collapsed="false">
      <c r="B369" s="30"/>
      <c r="E369" s="30"/>
      <c r="F369" s="30"/>
      <c r="G369" s="30"/>
      <c r="H369" s="30"/>
      <c r="I369" s="30"/>
      <c r="J369" s="30"/>
      <c r="K369" s="30"/>
      <c r="L369" s="30"/>
    </row>
    <row r="370" customFormat="false" ht="15.75" hidden="false" customHeight="false" outlineLevel="0" collapsed="false">
      <c r="B370" s="30"/>
      <c r="E370" s="30"/>
      <c r="F370" s="30"/>
      <c r="G370" s="30"/>
      <c r="H370" s="30"/>
      <c r="I370" s="30"/>
      <c r="J370" s="30"/>
      <c r="K370" s="30"/>
      <c r="L370" s="30"/>
    </row>
    <row r="371" customFormat="false" ht="15.75" hidden="false" customHeight="false" outlineLevel="0" collapsed="false">
      <c r="B371" s="30"/>
      <c r="E371" s="30"/>
      <c r="F371" s="30"/>
      <c r="G371" s="30"/>
      <c r="H371" s="30"/>
      <c r="I371" s="30"/>
      <c r="J371" s="30"/>
      <c r="K371" s="30"/>
      <c r="L371" s="30"/>
    </row>
    <row r="372" customFormat="false" ht="15.75" hidden="false" customHeight="false" outlineLevel="0" collapsed="false">
      <c r="B372" s="30"/>
      <c r="E372" s="30"/>
      <c r="F372" s="30"/>
      <c r="G372" s="30"/>
      <c r="H372" s="30"/>
      <c r="I372" s="30"/>
      <c r="J372" s="30"/>
      <c r="K372" s="30"/>
      <c r="L372" s="30"/>
    </row>
    <row r="373" customFormat="false" ht="15.75" hidden="false" customHeight="false" outlineLevel="0" collapsed="false">
      <c r="B373" s="30"/>
      <c r="E373" s="30"/>
      <c r="F373" s="30"/>
      <c r="G373" s="30"/>
      <c r="H373" s="30"/>
      <c r="I373" s="30"/>
      <c r="J373" s="30"/>
      <c r="K373" s="30"/>
      <c r="L373" s="30"/>
    </row>
    <row r="374" customFormat="false" ht="15.75" hidden="false" customHeight="false" outlineLevel="0" collapsed="false">
      <c r="B374" s="30"/>
      <c r="E374" s="30"/>
      <c r="F374" s="30"/>
      <c r="G374" s="30"/>
      <c r="H374" s="30"/>
      <c r="I374" s="30"/>
      <c r="J374" s="30"/>
      <c r="K374" s="30"/>
      <c r="L374" s="30"/>
    </row>
    <row r="375" customFormat="false" ht="15.75" hidden="false" customHeight="false" outlineLevel="0" collapsed="false">
      <c r="B375" s="30"/>
      <c r="E375" s="30"/>
      <c r="F375" s="30"/>
      <c r="G375" s="30"/>
      <c r="H375" s="30"/>
      <c r="I375" s="30"/>
      <c r="J375" s="30"/>
      <c r="K375" s="30"/>
      <c r="L375" s="30"/>
    </row>
    <row r="376" customFormat="false" ht="15.75" hidden="false" customHeight="false" outlineLevel="0" collapsed="false">
      <c r="B376" s="30"/>
      <c r="E376" s="30"/>
      <c r="F376" s="30"/>
      <c r="G376" s="30"/>
      <c r="H376" s="30"/>
      <c r="I376" s="30"/>
      <c r="J376" s="30"/>
      <c r="K376" s="30"/>
      <c r="L376" s="30"/>
    </row>
    <row r="377" customFormat="false" ht="15.75" hidden="false" customHeight="false" outlineLevel="0" collapsed="false">
      <c r="B377" s="30"/>
      <c r="E377" s="30"/>
      <c r="F377" s="30"/>
      <c r="G377" s="30"/>
      <c r="H377" s="30"/>
      <c r="I377" s="30"/>
      <c r="J377" s="30"/>
      <c r="K377" s="30"/>
      <c r="L377" s="30"/>
    </row>
    <row r="378" customFormat="false" ht="15.75" hidden="false" customHeight="false" outlineLevel="0" collapsed="false">
      <c r="B378" s="30"/>
      <c r="E378" s="30"/>
      <c r="F378" s="30"/>
      <c r="G378" s="30"/>
      <c r="H378" s="30"/>
      <c r="I378" s="30"/>
      <c r="J378" s="30"/>
      <c r="K378" s="30"/>
      <c r="L378" s="30"/>
    </row>
    <row r="379" customFormat="false" ht="15.75" hidden="false" customHeight="false" outlineLevel="0" collapsed="false">
      <c r="B379" s="30"/>
      <c r="E379" s="30"/>
      <c r="F379" s="30"/>
      <c r="G379" s="30"/>
      <c r="H379" s="30"/>
      <c r="I379" s="30"/>
      <c r="J379" s="30"/>
      <c r="K379" s="30"/>
      <c r="L379" s="30"/>
    </row>
    <row r="380" customFormat="false" ht="15.75" hidden="false" customHeight="false" outlineLevel="0" collapsed="false">
      <c r="B380" s="30"/>
      <c r="E380" s="30"/>
      <c r="F380" s="30"/>
      <c r="G380" s="30"/>
      <c r="H380" s="30"/>
      <c r="I380" s="30"/>
      <c r="J380" s="30"/>
      <c r="K380" s="30"/>
      <c r="L380" s="30"/>
    </row>
    <row r="381" customFormat="false" ht="15.75" hidden="false" customHeight="false" outlineLevel="0" collapsed="false">
      <c r="B381" s="30"/>
      <c r="E381" s="30"/>
      <c r="F381" s="30"/>
      <c r="G381" s="30"/>
      <c r="H381" s="30"/>
      <c r="I381" s="30"/>
      <c r="J381" s="30"/>
      <c r="K381" s="30"/>
      <c r="L381" s="30"/>
    </row>
    <row r="382" customFormat="false" ht="15.75" hidden="false" customHeight="false" outlineLevel="0" collapsed="false">
      <c r="B382" s="30"/>
      <c r="E382" s="30"/>
      <c r="F382" s="30"/>
      <c r="G382" s="30"/>
      <c r="H382" s="30"/>
      <c r="I382" s="30"/>
      <c r="J382" s="30"/>
      <c r="K382" s="30"/>
      <c r="L382" s="30"/>
    </row>
    <row r="383" customFormat="false" ht="15.75" hidden="false" customHeight="false" outlineLevel="0" collapsed="false">
      <c r="B383" s="30"/>
      <c r="E383" s="30"/>
      <c r="F383" s="30"/>
      <c r="G383" s="30"/>
      <c r="H383" s="30"/>
      <c r="I383" s="30"/>
      <c r="J383" s="30"/>
      <c r="K383" s="30"/>
      <c r="L383" s="30"/>
    </row>
    <row r="384" customFormat="false" ht="15.75" hidden="false" customHeight="false" outlineLevel="0" collapsed="false">
      <c r="B384" s="30"/>
      <c r="E384" s="30"/>
      <c r="F384" s="30"/>
      <c r="G384" s="30"/>
      <c r="H384" s="30"/>
      <c r="I384" s="30"/>
      <c r="J384" s="30"/>
      <c r="K384" s="30"/>
      <c r="L384" s="30"/>
    </row>
    <row r="385" customFormat="false" ht="15.75" hidden="false" customHeight="false" outlineLevel="0" collapsed="false">
      <c r="B385" s="30"/>
      <c r="E385" s="30"/>
      <c r="F385" s="30"/>
      <c r="G385" s="30"/>
      <c r="H385" s="30"/>
      <c r="I385" s="30"/>
      <c r="J385" s="30"/>
      <c r="K385" s="30"/>
      <c r="L385" s="30"/>
    </row>
    <row r="386" customFormat="false" ht="15.75" hidden="false" customHeight="false" outlineLevel="0" collapsed="false">
      <c r="B386" s="30"/>
      <c r="E386" s="30"/>
      <c r="F386" s="30"/>
      <c r="G386" s="30"/>
      <c r="H386" s="30"/>
      <c r="I386" s="30"/>
      <c r="J386" s="30"/>
      <c r="K386" s="30"/>
      <c r="L386" s="30"/>
    </row>
    <row r="387" customFormat="false" ht="15.75" hidden="false" customHeight="false" outlineLevel="0" collapsed="false">
      <c r="B387" s="30"/>
      <c r="E387" s="30"/>
      <c r="F387" s="30"/>
      <c r="G387" s="30"/>
      <c r="H387" s="30"/>
      <c r="I387" s="30"/>
      <c r="J387" s="30"/>
      <c r="K387" s="30"/>
      <c r="L387" s="30"/>
    </row>
    <row r="388" customFormat="false" ht="15.75" hidden="false" customHeight="false" outlineLevel="0" collapsed="false">
      <c r="B388" s="30"/>
      <c r="E388" s="30"/>
      <c r="F388" s="30"/>
      <c r="G388" s="30"/>
      <c r="H388" s="30"/>
      <c r="I388" s="30"/>
      <c r="J388" s="30"/>
      <c r="K388" s="30"/>
      <c r="L388" s="30"/>
    </row>
    <row r="389" customFormat="false" ht="15.75" hidden="false" customHeight="false" outlineLevel="0" collapsed="false">
      <c r="B389" s="30"/>
      <c r="E389" s="30"/>
      <c r="F389" s="30"/>
      <c r="G389" s="30"/>
      <c r="H389" s="30"/>
      <c r="I389" s="30"/>
      <c r="J389" s="30"/>
      <c r="K389" s="30"/>
      <c r="L389" s="30"/>
    </row>
    <row r="390" customFormat="false" ht="15.75" hidden="false" customHeight="false" outlineLevel="0" collapsed="false">
      <c r="B390" s="30"/>
      <c r="E390" s="30"/>
      <c r="F390" s="30"/>
      <c r="G390" s="30"/>
      <c r="H390" s="30"/>
      <c r="I390" s="30"/>
      <c r="J390" s="30"/>
      <c r="K390" s="30"/>
      <c r="L390" s="30"/>
    </row>
    <row r="391" customFormat="false" ht="15.75" hidden="false" customHeight="false" outlineLevel="0" collapsed="false">
      <c r="B391" s="30"/>
      <c r="E391" s="30"/>
      <c r="F391" s="30"/>
      <c r="G391" s="30"/>
      <c r="H391" s="30"/>
      <c r="I391" s="30"/>
      <c r="J391" s="30"/>
      <c r="K391" s="30"/>
      <c r="L391" s="30"/>
    </row>
    <row r="392" customFormat="false" ht="15.75" hidden="false" customHeight="false" outlineLevel="0" collapsed="false">
      <c r="B392" s="30"/>
      <c r="E392" s="30"/>
      <c r="F392" s="30"/>
      <c r="G392" s="30"/>
      <c r="H392" s="30"/>
      <c r="I392" s="30"/>
      <c r="J392" s="30"/>
      <c r="K392" s="30"/>
      <c r="L392" s="30"/>
    </row>
    <row r="393" customFormat="false" ht="15.75" hidden="false" customHeight="false" outlineLevel="0" collapsed="false">
      <c r="B393" s="30"/>
      <c r="E393" s="30"/>
      <c r="F393" s="30"/>
      <c r="G393" s="30"/>
      <c r="H393" s="30"/>
      <c r="I393" s="30"/>
      <c r="J393" s="30"/>
      <c r="K393" s="30"/>
      <c r="L393" s="30"/>
    </row>
    <row r="394" customFormat="false" ht="15.75" hidden="false" customHeight="false" outlineLevel="0" collapsed="false">
      <c r="B394" s="30"/>
      <c r="E394" s="30"/>
      <c r="F394" s="30"/>
      <c r="G394" s="30"/>
      <c r="H394" s="30"/>
      <c r="I394" s="30"/>
      <c r="J394" s="30"/>
      <c r="K394" s="30"/>
      <c r="L394" s="30"/>
    </row>
    <row r="395" customFormat="false" ht="15.75" hidden="false" customHeight="false" outlineLevel="0" collapsed="false">
      <c r="B395" s="30"/>
      <c r="E395" s="30"/>
      <c r="F395" s="30"/>
      <c r="G395" s="30"/>
      <c r="H395" s="30"/>
      <c r="I395" s="30"/>
      <c r="J395" s="30"/>
      <c r="K395" s="30"/>
      <c r="L395" s="30"/>
    </row>
    <row r="396" customFormat="false" ht="15.75" hidden="false" customHeight="false" outlineLevel="0" collapsed="false">
      <c r="B396" s="30"/>
      <c r="E396" s="30"/>
      <c r="F396" s="30"/>
      <c r="G396" s="30"/>
      <c r="H396" s="30"/>
      <c r="I396" s="30"/>
      <c r="J396" s="30"/>
      <c r="K396" s="30"/>
      <c r="L396" s="30"/>
    </row>
    <row r="397" customFormat="false" ht="15.75" hidden="false" customHeight="false" outlineLevel="0" collapsed="false">
      <c r="B397" s="30"/>
      <c r="E397" s="30"/>
      <c r="F397" s="30"/>
      <c r="G397" s="30"/>
      <c r="H397" s="30"/>
      <c r="I397" s="30"/>
      <c r="J397" s="30"/>
      <c r="K397" s="30"/>
      <c r="L397" s="30"/>
    </row>
    <row r="398" customFormat="false" ht="15.75" hidden="false" customHeight="false" outlineLevel="0" collapsed="false">
      <c r="B398" s="30"/>
      <c r="E398" s="30"/>
      <c r="F398" s="30"/>
      <c r="G398" s="30"/>
      <c r="H398" s="30"/>
      <c r="I398" s="30"/>
      <c r="J398" s="30"/>
      <c r="K398" s="30"/>
      <c r="L398" s="30"/>
    </row>
    <row r="399" customFormat="false" ht="15.75" hidden="false" customHeight="false" outlineLevel="0" collapsed="false">
      <c r="B399" s="30"/>
      <c r="E399" s="30"/>
      <c r="F399" s="30"/>
      <c r="G399" s="30"/>
      <c r="H399" s="30"/>
      <c r="I399" s="30"/>
      <c r="J399" s="30"/>
      <c r="K399" s="30"/>
      <c r="L399" s="30"/>
    </row>
    <row r="400" customFormat="false" ht="15.75" hidden="false" customHeight="false" outlineLevel="0" collapsed="false">
      <c r="B400" s="30"/>
      <c r="E400" s="30"/>
      <c r="F400" s="30"/>
      <c r="G400" s="30"/>
      <c r="H400" s="30"/>
      <c r="I400" s="30"/>
      <c r="J400" s="30"/>
      <c r="K400" s="30"/>
      <c r="L400" s="30"/>
    </row>
    <row r="401" customFormat="false" ht="15.75" hidden="false" customHeight="false" outlineLevel="0" collapsed="false">
      <c r="B401" s="30"/>
      <c r="E401" s="30"/>
      <c r="F401" s="30"/>
      <c r="G401" s="30"/>
      <c r="H401" s="30"/>
      <c r="I401" s="30"/>
      <c r="J401" s="30"/>
      <c r="K401" s="30"/>
      <c r="L401" s="30"/>
    </row>
    <row r="402" customFormat="false" ht="15.75" hidden="false" customHeight="false" outlineLevel="0" collapsed="false">
      <c r="B402" s="30"/>
      <c r="E402" s="30"/>
      <c r="F402" s="30"/>
      <c r="G402" s="30"/>
      <c r="H402" s="30"/>
      <c r="I402" s="30"/>
      <c r="J402" s="30"/>
      <c r="K402" s="30"/>
      <c r="L402" s="30"/>
    </row>
    <row r="403" customFormat="false" ht="15.75" hidden="false" customHeight="false" outlineLevel="0" collapsed="false">
      <c r="B403" s="30"/>
      <c r="E403" s="30"/>
      <c r="F403" s="30"/>
      <c r="G403" s="30"/>
      <c r="H403" s="30"/>
      <c r="I403" s="30"/>
      <c r="J403" s="30"/>
      <c r="K403" s="30"/>
      <c r="L403" s="30"/>
    </row>
    <row r="404" customFormat="false" ht="15.75" hidden="false" customHeight="false" outlineLevel="0" collapsed="false">
      <c r="B404" s="30"/>
      <c r="E404" s="30"/>
      <c r="F404" s="30"/>
      <c r="G404" s="30"/>
      <c r="H404" s="30"/>
      <c r="I404" s="30"/>
      <c r="J404" s="30"/>
      <c r="K404" s="30"/>
      <c r="L404" s="30"/>
    </row>
    <row r="405" customFormat="false" ht="15.75" hidden="false" customHeight="false" outlineLevel="0" collapsed="false">
      <c r="B405" s="30"/>
      <c r="E405" s="30"/>
      <c r="F405" s="30"/>
      <c r="G405" s="30"/>
      <c r="H405" s="30"/>
      <c r="I405" s="30"/>
      <c r="J405" s="30"/>
      <c r="K405" s="30"/>
      <c r="L405" s="30"/>
    </row>
    <row r="406" customFormat="false" ht="15.75" hidden="false" customHeight="false" outlineLevel="0" collapsed="false">
      <c r="B406" s="30"/>
      <c r="E406" s="30"/>
      <c r="F406" s="30"/>
      <c r="G406" s="30"/>
      <c r="H406" s="30"/>
      <c r="I406" s="30"/>
      <c r="J406" s="30"/>
      <c r="K406" s="30"/>
      <c r="L406" s="30"/>
    </row>
    <row r="407" customFormat="false" ht="15.75" hidden="false" customHeight="false" outlineLevel="0" collapsed="false">
      <c r="B407" s="30"/>
      <c r="E407" s="30"/>
      <c r="F407" s="30"/>
      <c r="G407" s="30"/>
      <c r="H407" s="30"/>
      <c r="I407" s="30"/>
      <c r="J407" s="30"/>
      <c r="K407" s="30"/>
      <c r="L407" s="30"/>
    </row>
    <row r="408" customFormat="false" ht="15.75" hidden="false" customHeight="false" outlineLevel="0" collapsed="false">
      <c r="B408" s="30"/>
      <c r="E408" s="30"/>
      <c r="F408" s="30"/>
      <c r="G408" s="30"/>
      <c r="H408" s="30"/>
      <c r="I408" s="30"/>
      <c r="J408" s="30"/>
      <c r="K408" s="30"/>
      <c r="L408" s="30"/>
    </row>
    <row r="409" customFormat="false" ht="15.75" hidden="false" customHeight="false" outlineLevel="0" collapsed="false">
      <c r="B409" s="30"/>
      <c r="E409" s="30"/>
      <c r="F409" s="30"/>
      <c r="G409" s="30"/>
      <c r="H409" s="30"/>
      <c r="I409" s="30"/>
      <c r="J409" s="30"/>
      <c r="K409" s="30"/>
      <c r="L409" s="30"/>
    </row>
    <row r="410" customFormat="false" ht="15.75" hidden="false" customHeight="false" outlineLevel="0" collapsed="false">
      <c r="B410" s="30"/>
      <c r="E410" s="30"/>
      <c r="F410" s="30"/>
      <c r="G410" s="30"/>
      <c r="H410" s="30"/>
      <c r="I410" s="30"/>
      <c r="J410" s="30"/>
      <c r="K410" s="30"/>
      <c r="L410" s="30"/>
    </row>
    <row r="411" customFormat="false" ht="15.75" hidden="false" customHeight="false" outlineLevel="0" collapsed="false">
      <c r="B411" s="30"/>
      <c r="E411" s="30"/>
      <c r="F411" s="30"/>
      <c r="G411" s="30"/>
      <c r="H411" s="30"/>
      <c r="I411" s="30"/>
      <c r="J411" s="30"/>
      <c r="K411" s="30"/>
      <c r="L411" s="30"/>
    </row>
    <row r="412" customFormat="false" ht="15.75" hidden="false" customHeight="false" outlineLevel="0" collapsed="false">
      <c r="B412" s="30"/>
      <c r="E412" s="30"/>
      <c r="F412" s="30"/>
      <c r="G412" s="30"/>
      <c r="H412" s="30"/>
      <c r="I412" s="30"/>
      <c r="J412" s="30"/>
      <c r="K412" s="30"/>
      <c r="L412" s="30"/>
    </row>
    <row r="413" customFormat="false" ht="15.75" hidden="false" customHeight="false" outlineLevel="0" collapsed="false">
      <c r="B413" s="30"/>
      <c r="E413" s="30"/>
      <c r="F413" s="30"/>
      <c r="G413" s="30"/>
      <c r="H413" s="30"/>
      <c r="I413" s="30"/>
      <c r="J413" s="30"/>
      <c r="K413" s="30"/>
      <c r="L413" s="30"/>
    </row>
    <row r="414" customFormat="false" ht="15.75" hidden="false" customHeight="false" outlineLevel="0" collapsed="false">
      <c r="B414" s="30"/>
      <c r="E414" s="30"/>
      <c r="F414" s="30"/>
      <c r="G414" s="30"/>
      <c r="H414" s="30"/>
      <c r="I414" s="30"/>
      <c r="J414" s="30"/>
      <c r="K414" s="30"/>
      <c r="L414" s="30"/>
    </row>
    <row r="415" customFormat="false" ht="15.75" hidden="false" customHeight="false" outlineLevel="0" collapsed="false">
      <c r="B415" s="30"/>
      <c r="E415" s="30"/>
      <c r="F415" s="30"/>
      <c r="G415" s="30"/>
      <c r="H415" s="30"/>
      <c r="I415" s="30"/>
      <c r="J415" s="30"/>
      <c r="K415" s="30"/>
      <c r="L415" s="30"/>
    </row>
    <row r="416" customFormat="false" ht="15.75" hidden="false" customHeight="false" outlineLevel="0" collapsed="false">
      <c r="B416" s="30"/>
      <c r="E416" s="30"/>
      <c r="F416" s="30"/>
      <c r="G416" s="30"/>
      <c r="H416" s="30"/>
      <c r="I416" s="30"/>
      <c r="J416" s="30"/>
      <c r="K416" s="30"/>
      <c r="L416" s="30"/>
    </row>
    <row r="417" customFormat="false" ht="15.75" hidden="false" customHeight="false" outlineLevel="0" collapsed="false">
      <c r="B417" s="30"/>
      <c r="E417" s="30"/>
      <c r="F417" s="30"/>
      <c r="G417" s="30"/>
      <c r="H417" s="30"/>
      <c r="I417" s="30"/>
      <c r="J417" s="30"/>
      <c r="K417" s="30"/>
      <c r="L417" s="30"/>
    </row>
    <row r="418" customFormat="false" ht="15.75" hidden="false" customHeight="false" outlineLevel="0" collapsed="false">
      <c r="B418" s="30"/>
      <c r="E418" s="30"/>
      <c r="F418" s="30"/>
      <c r="G418" s="30"/>
      <c r="H418" s="30"/>
      <c r="I418" s="30"/>
      <c r="J418" s="30"/>
      <c r="K418" s="30"/>
      <c r="L418" s="30"/>
    </row>
    <row r="419" customFormat="false" ht="15.75" hidden="false" customHeight="false" outlineLevel="0" collapsed="false">
      <c r="B419" s="30"/>
      <c r="E419" s="30"/>
      <c r="F419" s="30"/>
      <c r="G419" s="30"/>
      <c r="H419" s="30"/>
      <c r="I419" s="30"/>
      <c r="J419" s="30"/>
      <c r="K419" s="30"/>
      <c r="L419" s="30"/>
    </row>
    <row r="420" customFormat="false" ht="15.75" hidden="false" customHeight="false" outlineLevel="0" collapsed="false">
      <c r="B420" s="30"/>
      <c r="E420" s="30"/>
      <c r="F420" s="30"/>
      <c r="G420" s="30"/>
      <c r="H420" s="30"/>
      <c r="I420" s="30"/>
      <c r="J420" s="30"/>
      <c r="K420" s="30"/>
      <c r="L420" s="30"/>
    </row>
    <row r="421" customFormat="false" ht="15.75" hidden="false" customHeight="false" outlineLevel="0" collapsed="false">
      <c r="B421" s="30"/>
      <c r="E421" s="30"/>
      <c r="F421" s="30"/>
      <c r="G421" s="30"/>
      <c r="H421" s="30"/>
      <c r="I421" s="30"/>
      <c r="J421" s="30"/>
      <c r="K421" s="30"/>
      <c r="L421" s="30"/>
    </row>
    <row r="422" customFormat="false" ht="15.75" hidden="false" customHeight="false" outlineLevel="0" collapsed="false">
      <c r="B422" s="30"/>
      <c r="E422" s="30"/>
      <c r="F422" s="30"/>
      <c r="G422" s="30"/>
      <c r="H422" s="30"/>
      <c r="I422" s="30"/>
      <c r="J422" s="30"/>
      <c r="K422" s="30"/>
      <c r="L422" s="30"/>
    </row>
    <row r="423" customFormat="false" ht="15.75" hidden="false" customHeight="false" outlineLevel="0" collapsed="false">
      <c r="B423" s="30"/>
      <c r="E423" s="30"/>
      <c r="F423" s="30"/>
      <c r="G423" s="30"/>
      <c r="H423" s="30"/>
      <c r="I423" s="30"/>
      <c r="J423" s="30"/>
      <c r="K423" s="30"/>
      <c r="L423" s="30"/>
    </row>
    <row r="424" customFormat="false" ht="15.75" hidden="false" customHeight="false" outlineLevel="0" collapsed="false">
      <c r="B424" s="30"/>
      <c r="E424" s="30"/>
      <c r="F424" s="30"/>
      <c r="G424" s="30"/>
      <c r="H424" s="30"/>
      <c r="I424" s="30"/>
      <c r="J424" s="30"/>
      <c r="K424" s="30"/>
      <c r="L424" s="30"/>
    </row>
    <row r="425" customFormat="false" ht="15.75" hidden="false" customHeight="false" outlineLevel="0" collapsed="false">
      <c r="B425" s="30"/>
      <c r="E425" s="30"/>
      <c r="F425" s="30"/>
      <c r="G425" s="30"/>
      <c r="H425" s="30"/>
      <c r="I425" s="30"/>
      <c r="J425" s="30"/>
      <c r="K425" s="30"/>
      <c r="L425" s="30"/>
    </row>
    <row r="426" customFormat="false" ht="15.75" hidden="false" customHeight="false" outlineLevel="0" collapsed="false">
      <c r="B426" s="30"/>
      <c r="E426" s="30"/>
      <c r="F426" s="30"/>
      <c r="G426" s="30"/>
      <c r="H426" s="30"/>
      <c r="I426" s="30"/>
      <c r="J426" s="30"/>
      <c r="K426" s="30"/>
      <c r="L426" s="30"/>
    </row>
    <row r="427" customFormat="false" ht="15.75" hidden="false" customHeight="false" outlineLevel="0" collapsed="false">
      <c r="B427" s="30"/>
      <c r="E427" s="30"/>
      <c r="F427" s="30"/>
      <c r="G427" s="30"/>
      <c r="H427" s="30"/>
      <c r="I427" s="30"/>
      <c r="J427" s="30"/>
      <c r="K427" s="30"/>
      <c r="L427" s="30"/>
    </row>
    <row r="428" customFormat="false" ht="15.75" hidden="false" customHeight="false" outlineLevel="0" collapsed="false">
      <c r="B428" s="30"/>
      <c r="E428" s="30"/>
      <c r="F428" s="30"/>
      <c r="G428" s="30"/>
      <c r="H428" s="30"/>
      <c r="I428" s="30"/>
      <c r="J428" s="30"/>
      <c r="K428" s="30"/>
      <c r="L428" s="30"/>
    </row>
    <row r="429" customFormat="false" ht="15.75" hidden="false" customHeight="false" outlineLevel="0" collapsed="false">
      <c r="B429" s="30"/>
      <c r="E429" s="30"/>
      <c r="F429" s="30"/>
      <c r="G429" s="30"/>
      <c r="H429" s="30"/>
      <c r="I429" s="30"/>
      <c r="J429" s="30"/>
      <c r="K429" s="30"/>
      <c r="L429" s="30"/>
    </row>
    <row r="430" customFormat="false" ht="15.75" hidden="false" customHeight="false" outlineLevel="0" collapsed="false">
      <c r="B430" s="30"/>
      <c r="E430" s="30"/>
      <c r="F430" s="30"/>
      <c r="G430" s="30"/>
      <c r="H430" s="30"/>
      <c r="I430" s="30"/>
      <c r="J430" s="30"/>
      <c r="K430" s="30"/>
      <c r="L430" s="30"/>
    </row>
    <row r="431" customFormat="false" ht="15.75" hidden="false" customHeight="false" outlineLevel="0" collapsed="false">
      <c r="B431" s="30"/>
      <c r="E431" s="30"/>
      <c r="F431" s="30"/>
      <c r="G431" s="30"/>
      <c r="H431" s="30"/>
      <c r="I431" s="30"/>
      <c r="J431" s="30"/>
      <c r="K431" s="30"/>
      <c r="L431" s="30"/>
    </row>
    <row r="432" customFormat="false" ht="15.75" hidden="false" customHeight="false" outlineLevel="0" collapsed="false">
      <c r="B432" s="30"/>
      <c r="E432" s="30"/>
      <c r="F432" s="30"/>
      <c r="G432" s="30"/>
      <c r="H432" s="30"/>
      <c r="I432" s="30"/>
      <c r="J432" s="30"/>
      <c r="K432" s="30"/>
      <c r="L432" s="30"/>
    </row>
    <row r="433" customFormat="false" ht="15.75" hidden="false" customHeight="false" outlineLevel="0" collapsed="false">
      <c r="B433" s="30"/>
      <c r="E433" s="30"/>
      <c r="F433" s="30"/>
      <c r="G433" s="30"/>
      <c r="H433" s="30"/>
      <c r="I433" s="30"/>
      <c r="J433" s="30"/>
      <c r="K433" s="30"/>
      <c r="L433" s="30"/>
    </row>
    <row r="434" customFormat="false" ht="15.75" hidden="false" customHeight="false" outlineLevel="0" collapsed="false">
      <c r="B434" s="30"/>
      <c r="E434" s="30"/>
      <c r="F434" s="30"/>
      <c r="G434" s="30"/>
      <c r="H434" s="30"/>
      <c r="I434" s="30"/>
      <c r="J434" s="30"/>
      <c r="K434" s="30"/>
      <c r="L434" s="30"/>
    </row>
    <row r="435" customFormat="false" ht="15.75" hidden="false" customHeight="false" outlineLevel="0" collapsed="false">
      <c r="B435" s="30"/>
      <c r="E435" s="30"/>
      <c r="F435" s="30"/>
      <c r="G435" s="30"/>
      <c r="H435" s="30"/>
      <c r="I435" s="30"/>
      <c r="J435" s="30"/>
      <c r="K435" s="30"/>
      <c r="L435" s="30"/>
    </row>
    <row r="436" customFormat="false" ht="15.75" hidden="false" customHeight="false" outlineLevel="0" collapsed="false">
      <c r="B436" s="30"/>
      <c r="E436" s="30"/>
      <c r="F436" s="30"/>
      <c r="G436" s="30"/>
      <c r="H436" s="30"/>
      <c r="I436" s="30"/>
      <c r="J436" s="30"/>
      <c r="K436" s="30"/>
      <c r="L436" s="30"/>
    </row>
    <row r="437" customFormat="false" ht="15.75" hidden="false" customHeight="false" outlineLevel="0" collapsed="false">
      <c r="B437" s="30"/>
      <c r="E437" s="30"/>
      <c r="F437" s="30"/>
      <c r="G437" s="30"/>
      <c r="H437" s="30"/>
      <c r="I437" s="30"/>
      <c r="J437" s="30"/>
      <c r="K437" s="30"/>
      <c r="L437" s="30"/>
    </row>
    <row r="438" customFormat="false" ht="15.75" hidden="false" customHeight="false" outlineLevel="0" collapsed="false">
      <c r="B438" s="30"/>
      <c r="E438" s="30"/>
      <c r="F438" s="30"/>
      <c r="G438" s="30"/>
      <c r="H438" s="30"/>
      <c r="I438" s="30"/>
      <c r="J438" s="30"/>
      <c r="K438" s="30"/>
      <c r="L438" s="30"/>
    </row>
    <row r="439" customFormat="false" ht="15.75" hidden="false" customHeight="false" outlineLevel="0" collapsed="false">
      <c r="B439" s="30"/>
      <c r="E439" s="30"/>
      <c r="F439" s="30"/>
      <c r="G439" s="30"/>
      <c r="H439" s="30"/>
      <c r="I439" s="30"/>
      <c r="J439" s="30"/>
      <c r="K439" s="30"/>
      <c r="L439" s="30"/>
    </row>
    <row r="440" customFormat="false" ht="15.75" hidden="false" customHeight="false" outlineLevel="0" collapsed="false">
      <c r="B440" s="30"/>
      <c r="E440" s="30"/>
      <c r="F440" s="30"/>
      <c r="G440" s="30"/>
      <c r="H440" s="30"/>
      <c r="I440" s="30"/>
      <c r="J440" s="30"/>
      <c r="K440" s="30"/>
      <c r="L440" s="30"/>
    </row>
    <row r="441" customFormat="false" ht="15.75" hidden="false" customHeight="false" outlineLevel="0" collapsed="false">
      <c r="B441" s="30"/>
      <c r="E441" s="30"/>
      <c r="F441" s="30"/>
      <c r="G441" s="30"/>
      <c r="H441" s="30"/>
      <c r="I441" s="30"/>
      <c r="J441" s="30"/>
      <c r="K441" s="30"/>
      <c r="L441" s="30"/>
    </row>
    <row r="442" customFormat="false" ht="15.75" hidden="false" customHeight="false" outlineLevel="0" collapsed="false">
      <c r="B442" s="30"/>
      <c r="E442" s="30"/>
      <c r="F442" s="30"/>
      <c r="G442" s="30"/>
      <c r="H442" s="30"/>
      <c r="I442" s="30"/>
      <c r="J442" s="30"/>
      <c r="K442" s="30"/>
      <c r="L442" s="30"/>
    </row>
    <row r="443" customFormat="false" ht="15.75" hidden="false" customHeight="false" outlineLevel="0" collapsed="false">
      <c r="B443" s="30"/>
      <c r="E443" s="30"/>
      <c r="F443" s="30"/>
      <c r="G443" s="30"/>
      <c r="H443" s="30"/>
      <c r="I443" s="30"/>
      <c r="J443" s="30"/>
      <c r="K443" s="30"/>
      <c r="L443" s="30"/>
    </row>
    <row r="444" customFormat="false" ht="15.75" hidden="false" customHeight="false" outlineLevel="0" collapsed="false">
      <c r="B444" s="30"/>
      <c r="E444" s="30"/>
      <c r="F444" s="30"/>
      <c r="G444" s="30"/>
      <c r="H444" s="30"/>
      <c r="I444" s="30"/>
      <c r="J444" s="30"/>
      <c r="K444" s="30"/>
      <c r="L444" s="30"/>
    </row>
    <row r="445" customFormat="false" ht="15.75" hidden="false" customHeight="false" outlineLevel="0" collapsed="false">
      <c r="B445" s="30"/>
      <c r="E445" s="30"/>
      <c r="F445" s="30"/>
      <c r="G445" s="30"/>
      <c r="H445" s="30"/>
      <c r="I445" s="30"/>
      <c r="J445" s="30"/>
      <c r="K445" s="30"/>
      <c r="L445" s="30"/>
    </row>
    <row r="446" customFormat="false" ht="15.75" hidden="false" customHeight="false" outlineLevel="0" collapsed="false">
      <c r="B446" s="30"/>
      <c r="E446" s="30"/>
      <c r="F446" s="30"/>
      <c r="G446" s="30"/>
      <c r="H446" s="30"/>
      <c r="I446" s="30"/>
      <c r="J446" s="30"/>
      <c r="K446" s="30"/>
      <c r="L446" s="30"/>
    </row>
    <row r="447" customFormat="false" ht="15.75" hidden="false" customHeight="false" outlineLevel="0" collapsed="false">
      <c r="B447" s="30"/>
      <c r="E447" s="30"/>
      <c r="F447" s="30"/>
      <c r="G447" s="30"/>
      <c r="H447" s="30"/>
      <c r="I447" s="30"/>
      <c r="J447" s="30"/>
      <c r="K447" s="30"/>
      <c r="L447" s="30"/>
    </row>
    <row r="448" customFormat="false" ht="15.75" hidden="false" customHeight="false" outlineLevel="0" collapsed="false">
      <c r="B448" s="30"/>
      <c r="E448" s="30"/>
      <c r="F448" s="30"/>
      <c r="G448" s="30"/>
      <c r="H448" s="30"/>
      <c r="I448" s="30"/>
      <c r="J448" s="30"/>
      <c r="K448" s="30"/>
      <c r="L448" s="30"/>
    </row>
    <row r="449" customFormat="false" ht="15.75" hidden="false" customHeight="false" outlineLevel="0" collapsed="false">
      <c r="B449" s="30"/>
      <c r="E449" s="30"/>
      <c r="F449" s="30"/>
      <c r="G449" s="30"/>
      <c r="H449" s="30"/>
      <c r="I449" s="30"/>
      <c r="J449" s="30"/>
      <c r="K449" s="30"/>
      <c r="L449" s="30"/>
    </row>
    <row r="450" customFormat="false" ht="15.75" hidden="false" customHeight="false" outlineLevel="0" collapsed="false">
      <c r="B450" s="30"/>
      <c r="E450" s="30"/>
      <c r="F450" s="30"/>
      <c r="G450" s="30"/>
      <c r="H450" s="30"/>
      <c r="I450" s="30"/>
      <c r="J450" s="30"/>
      <c r="K450" s="30"/>
      <c r="L450" s="30"/>
    </row>
    <row r="451" customFormat="false" ht="15.75" hidden="false" customHeight="false" outlineLevel="0" collapsed="false">
      <c r="B451" s="30"/>
      <c r="E451" s="30"/>
      <c r="F451" s="30"/>
      <c r="G451" s="30"/>
      <c r="H451" s="30"/>
      <c r="I451" s="30"/>
      <c r="J451" s="30"/>
      <c r="K451" s="30"/>
      <c r="L451" s="30"/>
    </row>
    <row r="452" customFormat="false" ht="15.75" hidden="false" customHeight="false" outlineLevel="0" collapsed="false">
      <c r="B452" s="30"/>
      <c r="E452" s="30"/>
      <c r="F452" s="30"/>
      <c r="G452" s="30"/>
      <c r="H452" s="30"/>
      <c r="I452" s="30"/>
      <c r="J452" s="30"/>
      <c r="K452" s="30"/>
      <c r="L452" s="30"/>
    </row>
    <row r="453" customFormat="false" ht="15.75" hidden="false" customHeight="false" outlineLevel="0" collapsed="false">
      <c r="B453" s="30"/>
      <c r="E453" s="30"/>
      <c r="F453" s="30"/>
      <c r="G453" s="30"/>
      <c r="H453" s="30"/>
      <c r="I453" s="30"/>
      <c r="J453" s="30"/>
      <c r="K453" s="30"/>
      <c r="L453" s="30"/>
    </row>
    <row r="454" customFormat="false" ht="15.75" hidden="false" customHeight="false" outlineLevel="0" collapsed="false">
      <c r="B454" s="30"/>
      <c r="E454" s="30"/>
      <c r="F454" s="30"/>
      <c r="G454" s="30"/>
      <c r="H454" s="30"/>
      <c r="I454" s="30"/>
      <c r="J454" s="30"/>
      <c r="K454" s="30"/>
      <c r="L454" s="30"/>
    </row>
    <row r="455" customFormat="false" ht="15.75" hidden="false" customHeight="false" outlineLevel="0" collapsed="false">
      <c r="B455" s="30"/>
      <c r="E455" s="30"/>
      <c r="F455" s="30"/>
      <c r="G455" s="30"/>
      <c r="H455" s="30"/>
      <c r="I455" s="30"/>
      <c r="J455" s="30"/>
      <c r="K455" s="30"/>
      <c r="L455" s="30"/>
    </row>
    <row r="456" customFormat="false" ht="15.75" hidden="false" customHeight="false" outlineLevel="0" collapsed="false">
      <c r="B456" s="30"/>
      <c r="E456" s="30"/>
      <c r="F456" s="30"/>
      <c r="G456" s="30"/>
      <c r="H456" s="30"/>
      <c r="I456" s="30"/>
      <c r="J456" s="30"/>
      <c r="K456" s="30"/>
      <c r="L456" s="30"/>
    </row>
    <row r="457" customFormat="false" ht="15.75" hidden="false" customHeight="false" outlineLevel="0" collapsed="false">
      <c r="B457" s="30"/>
      <c r="E457" s="30"/>
      <c r="F457" s="30"/>
      <c r="G457" s="30"/>
      <c r="H457" s="30"/>
      <c r="I457" s="30"/>
      <c r="J457" s="30"/>
      <c r="K457" s="30"/>
      <c r="L457" s="30"/>
    </row>
    <row r="458" customFormat="false" ht="15.75" hidden="false" customHeight="false" outlineLevel="0" collapsed="false">
      <c r="B458" s="30"/>
      <c r="E458" s="30"/>
      <c r="F458" s="30"/>
      <c r="G458" s="30"/>
      <c r="H458" s="30"/>
      <c r="I458" s="30"/>
      <c r="J458" s="30"/>
      <c r="K458" s="30"/>
      <c r="L458" s="30"/>
    </row>
    <row r="459" customFormat="false" ht="15.75" hidden="false" customHeight="false" outlineLevel="0" collapsed="false">
      <c r="B459" s="30"/>
      <c r="E459" s="30"/>
      <c r="F459" s="30"/>
      <c r="G459" s="30"/>
      <c r="H459" s="30"/>
      <c r="I459" s="30"/>
      <c r="J459" s="30"/>
      <c r="K459" s="30"/>
      <c r="L459" s="30"/>
    </row>
    <row r="460" customFormat="false" ht="15.75" hidden="false" customHeight="false" outlineLevel="0" collapsed="false">
      <c r="B460" s="30"/>
      <c r="E460" s="30"/>
      <c r="F460" s="30"/>
      <c r="G460" s="30"/>
      <c r="H460" s="30"/>
      <c r="I460" s="30"/>
      <c r="J460" s="30"/>
      <c r="K460" s="30"/>
      <c r="L460" s="30"/>
    </row>
    <row r="461" customFormat="false" ht="15.75" hidden="false" customHeight="false" outlineLevel="0" collapsed="false">
      <c r="B461" s="30"/>
      <c r="E461" s="30"/>
      <c r="F461" s="30"/>
      <c r="G461" s="30"/>
      <c r="H461" s="30"/>
      <c r="I461" s="30"/>
      <c r="J461" s="30"/>
      <c r="K461" s="30"/>
      <c r="L461" s="30"/>
    </row>
    <row r="462" customFormat="false" ht="15.75" hidden="false" customHeight="false" outlineLevel="0" collapsed="false">
      <c r="B462" s="30"/>
      <c r="E462" s="30"/>
      <c r="F462" s="30"/>
      <c r="G462" s="30"/>
      <c r="H462" s="30"/>
      <c r="I462" s="30"/>
      <c r="J462" s="30"/>
      <c r="K462" s="30"/>
      <c r="L462" s="30"/>
    </row>
    <row r="463" customFormat="false" ht="15.75" hidden="false" customHeight="false" outlineLevel="0" collapsed="false">
      <c r="B463" s="30"/>
      <c r="E463" s="30"/>
      <c r="F463" s="30"/>
      <c r="G463" s="30"/>
      <c r="H463" s="30"/>
      <c r="I463" s="30"/>
      <c r="J463" s="30"/>
      <c r="K463" s="30"/>
      <c r="L463" s="30"/>
    </row>
    <row r="464" customFormat="false" ht="15.75" hidden="false" customHeight="false" outlineLevel="0" collapsed="false">
      <c r="B464" s="30"/>
      <c r="E464" s="30"/>
      <c r="F464" s="30"/>
      <c r="G464" s="30"/>
      <c r="H464" s="30"/>
      <c r="I464" s="30"/>
      <c r="J464" s="30"/>
      <c r="K464" s="30"/>
      <c r="L464" s="30"/>
    </row>
    <row r="465" customFormat="false" ht="15.75" hidden="false" customHeight="false" outlineLevel="0" collapsed="false">
      <c r="B465" s="30"/>
      <c r="E465" s="30"/>
      <c r="F465" s="30"/>
      <c r="G465" s="30"/>
      <c r="H465" s="30"/>
      <c r="I465" s="30"/>
      <c r="J465" s="30"/>
      <c r="K465" s="30"/>
      <c r="L465" s="30"/>
    </row>
    <row r="466" customFormat="false" ht="15.75" hidden="false" customHeight="false" outlineLevel="0" collapsed="false">
      <c r="B466" s="30"/>
      <c r="E466" s="30"/>
      <c r="F466" s="30"/>
      <c r="G466" s="30"/>
      <c r="H466" s="30"/>
      <c r="I466" s="30"/>
      <c r="J466" s="30"/>
      <c r="K466" s="30"/>
      <c r="L466" s="30"/>
    </row>
    <row r="467" customFormat="false" ht="15.75" hidden="false" customHeight="false" outlineLevel="0" collapsed="false">
      <c r="B467" s="30"/>
      <c r="E467" s="30"/>
      <c r="F467" s="30"/>
      <c r="G467" s="30"/>
      <c r="H467" s="30"/>
      <c r="I467" s="30"/>
      <c r="J467" s="30"/>
      <c r="K467" s="30"/>
      <c r="L467" s="30"/>
    </row>
    <row r="468" customFormat="false" ht="15.75" hidden="false" customHeight="false" outlineLevel="0" collapsed="false">
      <c r="B468" s="30"/>
      <c r="E468" s="30"/>
      <c r="F468" s="30"/>
      <c r="G468" s="30"/>
      <c r="H468" s="30"/>
      <c r="I468" s="30"/>
      <c r="J468" s="30"/>
      <c r="K468" s="30"/>
      <c r="L468" s="30"/>
    </row>
    <row r="469" customFormat="false" ht="15.75" hidden="false" customHeight="false" outlineLevel="0" collapsed="false">
      <c r="B469" s="30"/>
      <c r="E469" s="30"/>
      <c r="F469" s="30"/>
      <c r="G469" s="30"/>
      <c r="H469" s="30"/>
      <c r="I469" s="30"/>
      <c r="J469" s="30"/>
      <c r="K469" s="30"/>
      <c r="L469" s="30"/>
    </row>
    <row r="470" customFormat="false" ht="15.75" hidden="false" customHeight="false" outlineLevel="0" collapsed="false">
      <c r="B470" s="30"/>
      <c r="E470" s="30"/>
      <c r="F470" s="30"/>
      <c r="G470" s="30"/>
      <c r="H470" s="30"/>
      <c r="I470" s="30"/>
      <c r="J470" s="30"/>
      <c r="K470" s="30"/>
      <c r="L470" s="30"/>
    </row>
    <row r="471" customFormat="false" ht="15.75" hidden="false" customHeight="false" outlineLevel="0" collapsed="false">
      <c r="B471" s="30"/>
      <c r="E471" s="30"/>
      <c r="F471" s="30"/>
      <c r="G471" s="30"/>
      <c r="H471" s="30"/>
      <c r="I471" s="30"/>
      <c r="J471" s="30"/>
      <c r="K471" s="30"/>
      <c r="L471" s="30"/>
    </row>
    <row r="472" customFormat="false" ht="15.75" hidden="false" customHeight="false" outlineLevel="0" collapsed="false">
      <c r="B472" s="30"/>
      <c r="E472" s="30"/>
      <c r="F472" s="30"/>
      <c r="G472" s="30"/>
      <c r="H472" s="30"/>
      <c r="I472" s="30"/>
      <c r="J472" s="30"/>
      <c r="K472" s="30"/>
      <c r="L472" s="30"/>
    </row>
    <row r="473" customFormat="false" ht="15.75" hidden="false" customHeight="false" outlineLevel="0" collapsed="false">
      <c r="B473" s="30"/>
      <c r="E473" s="30"/>
      <c r="F473" s="30"/>
      <c r="G473" s="30"/>
      <c r="H473" s="30"/>
      <c r="I473" s="30"/>
      <c r="J473" s="30"/>
      <c r="K473" s="30"/>
      <c r="L473" s="30"/>
    </row>
    <row r="474" customFormat="false" ht="15.75" hidden="false" customHeight="false" outlineLevel="0" collapsed="false">
      <c r="B474" s="30"/>
      <c r="E474" s="30"/>
      <c r="F474" s="30"/>
      <c r="G474" s="30"/>
      <c r="H474" s="30"/>
      <c r="I474" s="30"/>
      <c r="J474" s="30"/>
      <c r="K474" s="30"/>
      <c r="L474" s="30"/>
    </row>
    <row r="475" customFormat="false" ht="15.75" hidden="false" customHeight="false" outlineLevel="0" collapsed="false">
      <c r="B475" s="30"/>
      <c r="E475" s="30"/>
      <c r="F475" s="30"/>
      <c r="G475" s="30"/>
      <c r="H475" s="30"/>
      <c r="I475" s="30"/>
      <c r="J475" s="30"/>
      <c r="K475" s="30"/>
      <c r="L475" s="30"/>
    </row>
    <row r="476" customFormat="false" ht="15.75" hidden="false" customHeight="false" outlineLevel="0" collapsed="false">
      <c r="B476" s="30"/>
      <c r="E476" s="30"/>
      <c r="F476" s="30"/>
      <c r="G476" s="30"/>
      <c r="H476" s="30"/>
      <c r="I476" s="30"/>
      <c r="J476" s="30"/>
      <c r="K476" s="30"/>
      <c r="L476" s="30"/>
    </row>
    <row r="477" customFormat="false" ht="15.75" hidden="false" customHeight="false" outlineLevel="0" collapsed="false">
      <c r="B477" s="30"/>
      <c r="E477" s="30"/>
      <c r="F477" s="30"/>
      <c r="G477" s="30"/>
      <c r="H477" s="30"/>
      <c r="I477" s="30"/>
      <c r="J477" s="30"/>
      <c r="K477" s="30"/>
      <c r="L477" s="30"/>
    </row>
    <row r="478" customFormat="false" ht="15.75" hidden="false" customHeight="false" outlineLevel="0" collapsed="false">
      <c r="B478" s="30"/>
      <c r="E478" s="30"/>
      <c r="F478" s="30"/>
      <c r="G478" s="30"/>
      <c r="H478" s="30"/>
      <c r="I478" s="30"/>
      <c r="J478" s="30"/>
      <c r="K478" s="30"/>
      <c r="L478" s="30"/>
    </row>
    <row r="479" customFormat="false" ht="15.75" hidden="false" customHeight="false" outlineLevel="0" collapsed="false">
      <c r="B479" s="30"/>
      <c r="E479" s="30"/>
      <c r="F479" s="30"/>
      <c r="G479" s="30"/>
      <c r="H479" s="30"/>
      <c r="I479" s="30"/>
      <c r="J479" s="30"/>
      <c r="K479" s="30"/>
      <c r="L479" s="30"/>
    </row>
    <row r="480" customFormat="false" ht="15.75" hidden="false" customHeight="false" outlineLevel="0" collapsed="false">
      <c r="B480" s="30"/>
      <c r="E480" s="30"/>
      <c r="F480" s="30"/>
      <c r="G480" s="30"/>
      <c r="H480" s="30"/>
      <c r="I480" s="30"/>
      <c r="J480" s="30"/>
      <c r="K480" s="30"/>
      <c r="L480" s="30"/>
    </row>
    <row r="481" customFormat="false" ht="15.75" hidden="false" customHeight="false" outlineLevel="0" collapsed="false">
      <c r="B481" s="30"/>
      <c r="E481" s="30"/>
      <c r="F481" s="30"/>
      <c r="G481" s="30"/>
      <c r="H481" s="30"/>
      <c r="I481" s="30"/>
      <c r="J481" s="30"/>
      <c r="K481" s="30"/>
      <c r="L481" s="30"/>
    </row>
    <row r="482" customFormat="false" ht="15.75" hidden="false" customHeight="false" outlineLevel="0" collapsed="false">
      <c r="B482" s="30"/>
      <c r="E482" s="30"/>
      <c r="F482" s="30"/>
      <c r="G482" s="30"/>
      <c r="H482" s="30"/>
      <c r="I482" s="30"/>
      <c r="J482" s="30"/>
      <c r="K482" s="30"/>
      <c r="L482" s="30"/>
    </row>
    <row r="483" customFormat="false" ht="15.75" hidden="false" customHeight="false" outlineLevel="0" collapsed="false">
      <c r="B483" s="30"/>
      <c r="E483" s="30"/>
      <c r="F483" s="30"/>
      <c r="G483" s="30"/>
      <c r="H483" s="30"/>
      <c r="I483" s="30"/>
      <c r="J483" s="30"/>
      <c r="K483" s="30"/>
      <c r="L483" s="30"/>
    </row>
    <row r="484" customFormat="false" ht="15.75" hidden="false" customHeight="false" outlineLevel="0" collapsed="false">
      <c r="B484" s="30"/>
      <c r="E484" s="30"/>
      <c r="F484" s="30"/>
      <c r="G484" s="30"/>
      <c r="H484" s="30"/>
      <c r="I484" s="30"/>
      <c r="J484" s="30"/>
      <c r="K484" s="30"/>
      <c r="L484" s="30"/>
    </row>
    <row r="485" customFormat="false" ht="15.75" hidden="false" customHeight="false" outlineLevel="0" collapsed="false">
      <c r="B485" s="30"/>
      <c r="E485" s="30"/>
      <c r="F485" s="30"/>
      <c r="G485" s="30"/>
      <c r="H485" s="30"/>
      <c r="I485" s="30"/>
      <c r="J485" s="30"/>
      <c r="K485" s="30"/>
      <c r="L485" s="30"/>
    </row>
    <row r="486" customFormat="false" ht="15.75" hidden="false" customHeight="false" outlineLevel="0" collapsed="false">
      <c r="B486" s="30"/>
      <c r="E486" s="30"/>
      <c r="F486" s="30"/>
      <c r="G486" s="30"/>
      <c r="H486" s="30"/>
      <c r="I486" s="30"/>
      <c r="J486" s="30"/>
      <c r="K486" s="30"/>
      <c r="L486" s="30"/>
    </row>
    <row r="487" customFormat="false" ht="15.75" hidden="false" customHeight="false" outlineLevel="0" collapsed="false">
      <c r="B487" s="30"/>
      <c r="E487" s="30"/>
      <c r="F487" s="30"/>
      <c r="G487" s="30"/>
      <c r="H487" s="30"/>
      <c r="I487" s="30"/>
      <c r="J487" s="30"/>
      <c r="K487" s="30"/>
      <c r="L487" s="30"/>
    </row>
    <row r="488" customFormat="false" ht="15.75" hidden="false" customHeight="false" outlineLevel="0" collapsed="false">
      <c r="B488" s="30"/>
      <c r="E488" s="30"/>
      <c r="F488" s="30"/>
      <c r="G488" s="30"/>
      <c r="H488" s="30"/>
      <c r="I488" s="30"/>
      <c r="J488" s="30"/>
      <c r="K488" s="30"/>
      <c r="L488" s="30"/>
    </row>
    <row r="489" customFormat="false" ht="15.75" hidden="false" customHeight="false" outlineLevel="0" collapsed="false">
      <c r="B489" s="30"/>
      <c r="E489" s="30"/>
      <c r="F489" s="30"/>
      <c r="G489" s="30"/>
      <c r="H489" s="30"/>
      <c r="I489" s="30"/>
      <c r="J489" s="30"/>
      <c r="K489" s="30"/>
      <c r="L489" s="30"/>
    </row>
    <row r="490" customFormat="false" ht="15.75" hidden="false" customHeight="false" outlineLevel="0" collapsed="false">
      <c r="B490" s="30"/>
      <c r="E490" s="30"/>
      <c r="F490" s="30"/>
      <c r="G490" s="30"/>
      <c r="H490" s="30"/>
      <c r="I490" s="30"/>
      <c r="J490" s="30"/>
      <c r="K490" s="30"/>
      <c r="L490" s="30"/>
    </row>
    <row r="491" customFormat="false" ht="15.75" hidden="false" customHeight="false" outlineLevel="0" collapsed="false">
      <c r="B491" s="30"/>
      <c r="E491" s="30"/>
      <c r="F491" s="30"/>
      <c r="G491" s="30"/>
      <c r="H491" s="30"/>
      <c r="I491" s="30"/>
      <c r="J491" s="30"/>
      <c r="K491" s="30"/>
      <c r="L491" s="30"/>
    </row>
    <row r="492" customFormat="false" ht="15.75" hidden="false" customHeight="false" outlineLevel="0" collapsed="false">
      <c r="B492" s="30"/>
      <c r="E492" s="30"/>
      <c r="F492" s="30"/>
      <c r="G492" s="30"/>
      <c r="H492" s="30"/>
      <c r="I492" s="30"/>
      <c r="J492" s="30"/>
      <c r="K492" s="30"/>
      <c r="L492" s="30"/>
    </row>
    <row r="493" customFormat="false" ht="15.75" hidden="false" customHeight="false" outlineLevel="0" collapsed="false">
      <c r="B493" s="30"/>
      <c r="E493" s="30"/>
      <c r="F493" s="30"/>
      <c r="G493" s="30"/>
      <c r="H493" s="30"/>
      <c r="I493" s="30"/>
      <c r="J493" s="30"/>
      <c r="K493" s="30"/>
      <c r="L493" s="30"/>
    </row>
    <row r="494" customFormat="false" ht="15.75" hidden="false" customHeight="false" outlineLevel="0" collapsed="false">
      <c r="B494" s="30"/>
      <c r="E494" s="30"/>
      <c r="F494" s="30"/>
      <c r="G494" s="30"/>
      <c r="H494" s="30"/>
      <c r="I494" s="30"/>
      <c r="J494" s="30"/>
      <c r="K494" s="30"/>
      <c r="L494" s="30"/>
    </row>
    <row r="495" customFormat="false" ht="15.75" hidden="false" customHeight="false" outlineLevel="0" collapsed="false">
      <c r="B495" s="30"/>
      <c r="E495" s="30"/>
      <c r="F495" s="30"/>
      <c r="G495" s="30"/>
      <c r="H495" s="30"/>
      <c r="I495" s="30"/>
      <c r="J495" s="30"/>
      <c r="K495" s="30"/>
      <c r="L495" s="30"/>
    </row>
    <row r="496" customFormat="false" ht="15.75" hidden="false" customHeight="false" outlineLevel="0" collapsed="false">
      <c r="B496" s="30"/>
      <c r="E496" s="30"/>
      <c r="F496" s="30"/>
      <c r="G496" s="30"/>
      <c r="H496" s="30"/>
      <c r="I496" s="30"/>
      <c r="J496" s="30"/>
      <c r="K496" s="30"/>
      <c r="L496" s="30"/>
    </row>
    <row r="497" customFormat="false" ht="15.75" hidden="false" customHeight="false" outlineLevel="0" collapsed="false">
      <c r="B497" s="30"/>
      <c r="E497" s="30"/>
      <c r="F497" s="30"/>
      <c r="G497" s="30"/>
      <c r="H497" s="30"/>
      <c r="I497" s="30"/>
      <c r="J497" s="30"/>
      <c r="K497" s="30"/>
      <c r="L497" s="30"/>
    </row>
    <row r="498" customFormat="false" ht="15.75" hidden="false" customHeight="false" outlineLevel="0" collapsed="false">
      <c r="B498" s="30"/>
      <c r="E498" s="30"/>
      <c r="F498" s="30"/>
      <c r="G498" s="30"/>
      <c r="H498" s="30"/>
      <c r="I498" s="30"/>
      <c r="J498" s="30"/>
      <c r="K498" s="30"/>
      <c r="L498" s="30"/>
    </row>
    <row r="499" customFormat="false" ht="15.75" hidden="false" customHeight="false" outlineLevel="0" collapsed="false">
      <c r="B499" s="30"/>
      <c r="E499" s="30"/>
      <c r="F499" s="30"/>
      <c r="G499" s="30"/>
      <c r="H499" s="30"/>
      <c r="I499" s="30"/>
      <c r="J499" s="30"/>
      <c r="K499" s="30"/>
      <c r="L499" s="30"/>
    </row>
    <row r="500" customFormat="false" ht="15.75" hidden="false" customHeight="false" outlineLevel="0" collapsed="false">
      <c r="B500" s="30"/>
      <c r="E500" s="30"/>
      <c r="F500" s="30"/>
      <c r="G500" s="30"/>
      <c r="H500" s="30"/>
      <c r="I500" s="30"/>
      <c r="J500" s="30"/>
      <c r="K500" s="30"/>
      <c r="L500" s="30"/>
    </row>
    <row r="501" customFormat="false" ht="15.75" hidden="false" customHeight="false" outlineLevel="0" collapsed="false">
      <c r="B501" s="30"/>
      <c r="E501" s="30"/>
      <c r="F501" s="30"/>
      <c r="G501" s="30"/>
      <c r="H501" s="30"/>
      <c r="I501" s="30"/>
      <c r="J501" s="30"/>
      <c r="K501" s="30"/>
      <c r="L501" s="30"/>
    </row>
    <row r="502" customFormat="false" ht="15.75" hidden="false" customHeight="false" outlineLevel="0" collapsed="false">
      <c r="B502" s="30"/>
      <c r="E502" s="30"/>
      <c r="F502" s="30"/>
      <c r="G502" s="30"/>
      <c r="H502" s="30"/>
      <c r="I502" s="30"/>
      <c r="J502" s="30"/>
      <c r="K502" s="30"/>
      <c r="L502" s="30"/>
    </row>
    <row r="503" customFormat="false" ht="15.75" hidden="false" customHeight="false" outlineLevel="0" collapsed="false">
      <c r="B503" s="30"/>
      <c r="E503" s="30"/>
      <c r="F503" s="30"/>
      <c r="G503" s="30"/>
      <c r="H503" s="30"/>
      <c r="I503" s="30"/>
      <c r="J503" s="30"/>
      <c r="K503" s="30"/>
      <c r="L503" s="30"/>
    </row>
    <row r="504" customFormat="false" ht="15.75" hidden="false" customHeight="false" outlineLevel="0" collapsed="false">
      <c r="B504" s="30"/>
      <c r="E504" s="30"/>
      <c r="F504" s="30"/>
      <c r="G504" s="30"/>
      <c r="H504" s="30"/>
      <c r="I504" s="30"/>
      <c r="J504" s="30"/>
      <c r="K504" s="30"/>
      <c r="L504" s="30"/>
    </row>
    <row r="505" customFormat="false" ht="15.75" hidden="false" customHeight="false" outlineLevel="0" collapsed="false">
      <c r="B505" s="30"/>
      <c r="E505" s="30"/>
      <c r="F505" s="30"/>
      <c r="G505" s="30"/>
      <c r="H505" s="30"/>
      <c r="I505" s="30"/>
      <c r="J505" s="30"/>
      <c r="K505" s="30"/>
      <c r="L505" s="30"/>
    </row>
    <row r="506" customFormat="false" ht="15.75" hidden="false" customHeight="false" outlineLevel="0" collapsed="false">
      <c r="B506" s="30"/>
      <c r="E506" s="30"/>
      <c r="F506" s="30"/>
      <c r="G506" s="30"/>
      <c r="H506" s="30"/>
      <c r="I506" s="30"/>
      <c r="J506" s="30"/>
      <c r="K506" s="30"/>
      <c r="L506" s="30"/>
    </row>
    <row r="507" customFormat="false" ht="15.75" hidden="false" customHeight="false" outlineLevel="0" collapsed="false">
      <c r="B507" s="30"/>
      <c r="E507" s="30"/>
      <c r="F507" s="30"/>
      <c r="G507" s="30"/>
      <c r="H507" s="30"/>
      <c r="I507" s="30"/>
      <c r="J507" s="30"/>
      <c r="K507" s="30"/>
      <c r="L507" s="30"/>
    </row>
    <row r="508" customFormat="false" ht="15.75" hidden="false" customHeight="false" outlineLevel="0" collapsed="false">
      <c r="B508" s="30"/>
      <c r="E508" s="30"/>
      <c r="F508" s="30"/>
      <c r="G508" s="30"/>
      <c r="H508" s="30"/>
      <c r="I508" s="30"/>
      <c r="J508" s="30"/>
      <c r="K508" s="30"/>
      <c r="L508" s="30"/>
    </row>
    <row r="509" customFormat="false" ht="15.75" hidden="false" customHeight="false" outlineLevel="0" collapsed="false">
      <c r="B509" s="30"/>
      <c r="E509" s="30"/>
      <c r="F509" s="30"/>
      <c r="G509" s="30"/>
      <c r="H509" s="30"/>
      <c r="I509" s="30"/>
      <c r="J509" s="30"/>
      <c r="K509" s="30"/>
      <c r="L509" s="30"/>
    </row>
    <row r="510" customFormat="false" ht="15.75" hidden="false" customHeight="false" outlineLevel="0" collapsed="false">
      <c r="B510" s="30"/>
      <c r="E510" s="30"/>
      <c r="F510" s="30"/>
      <c r="G510" s="30"/>
      <c r="H510" s="30"/>
      <c r="I510" s="30"/>
      <c r="J510" s="30"/>
      <c r="K510" s="30"/>
      <c r="L510" s="30"/>
    </row>
    <row r="511" customFormat="false" ht="15.75" hidden="false" customHeight="false" outlineLevel="0" collapsed="false">
      <c r="B511" s="30"/>
      <c r="E511" s="30"/>
      <c r="F511" s="30"/>
      <c r="G511" s="30"/>
      <c r="H511" s="30"/>
      <c r="I511" s="30"/>
      <c r="J511" s="30"/>
      <c r="K511" s="30"/>
      <c r="L511" s="30"/>
    </row>
    <row r="512" customFormat="false" ht="15.75" hidden="false" customHeight="false" outlineLevel="0" collapsed="false">
      <c r="B512" s="30"/>
      <c r="E512" s="30"/>
      <c r="F512" s="30"/>
      <c r="G512" s="30"/>
      <c r="H512" s="30"/>
      <c r="I512" s="30"/>
      <c r="J512" s="30"/>
      <c r="K512" s="30"/>
      <c r="L512" s="30"/>
    </row>
    <row r="513" customFormat="false" ht="15.75" hidden="false" customHeight="false" outlineLevel="0" collapsed="false">
      <c r="B513" s="30"/>
      <c r="E513" s="30"/>
      <c r="F513" s="30"/>
      <c r="G513" s="30"/>
      <c r="H513" s="30"/>
      <c r="I513" s="30"/>
      <c r="J513" s="30"/>
      <c r="K513" s="30"/>
      <c r="L513" s="30"/>
    </row>
    <row r="514" customFormat="false" ht="15.75" hidden="false" customHeight="false" outlineLevel="0" collapsed="false">
      <c r="B514" s="30"/>
      <c r="E514" s="30"/>
      <c r="F514" s="30"/>
      <c r="G514" s="30"/>
      <c r="H514" s="30"/>
      <c r="I514" s="30"/>
      <c r="J514" s="30"/>
      <c r="K514" s="30"/>
      <c r="L514" s="30"/>
    </row>
    <row r="515" customFormat="false" ht="15.75" hidden="false" customHeight="false" outlineLevel="0" collapsed="false">
      <c r="B515" s="30"/>
      <c r="E515" s="30"/>
      <c r="F515" s="30"/>
      <c r="G515" s="30"/>
      <c r="H515" s="30"/>
      <c r="I515" s="30"/>
      <c r="J515" s="30"/>
      <c r="K515" s="30"/>
      <c r="L515" s="30"/>
    </row>
    <row r="516" customFormat="false" ht="15.75" hidden="false" customHeight="false" outlineLevel="0" collapsed="false">
      <c r="B516" s="30"/>
      <c r="E516" s="30"/>
      <c r="F516" s="30"/>
      <c r="G516" s="30"/>
      <c r="H516" s="30"/>
      <c r="I516" s="30"/>
      <c r="J516" s="30"/>
      <c r="K516" s="30"/>
      <c r="L516" s="30"/>
    </row>
    <row r="517" customFormat="false" ht="15.75" hidden="false" customHeight="false" outlineLevel="0" collapsed="false">
      <c r="B517" s="30"/>
      <c r="E517" s="30"/>
      <c r="F517" s="30"/>
      <c r="G517" s="30"/>
      <c r="H517" s="30"/>
      <c r="I517" s="30"/>
      <c r="J517" s="30"/>
      <c r="K517" s="30"/>
      <c r="L517" s="30"/>
    </row>
    <row r="518" customFormat="false" ht="15.75" hidden="false" customHeight="false" outlineLevel="0" collapsed="false">
      <c r="B518" s="30"/>
      <c r="E518" s="30"/>
      <c r="F518" s="30"/>
      <c r="G518" s="30"/>
      <c r="H518" s="30"/>
      <c r="I518" s="30"/>
      <c r="J518" s="30"/>
      <c r="K518" s="30"/>
      <c r="L518" s="30"/>
    </row>
    <row r="519" customFormat="false" ht="15.75" hidden="false" customHeight="false" outlineLevel="0" collapsed="false">
      <c r="B519" s="30"/>
      <c r="E519" s="30"/>
      <c r="F519" s="30"/>
      <c r="G519" s="30"/>
      <c r="H519" s="30"/>
      <c r="I519" s="30"/>
      <c r="J519" s="30"/>
      <c r="K519" s="30"/>
      <c r="L519" s="30"/>
    </row>
    <row r="520" customFormat="false" ht="15.75" hidden="false" customHeight="false" outlineLevel="0" collapsed="false">
      <c r="B520" s="30"/>
      <c r="E520" s="30"/>
      <c r="F520" s="30"/>
      <c r="G520" s="30"/>
      <c r="H520" s="30"/>
      <c r="I520" s="30"/>
      <c r="J520" s="30"/>
      <c r="K520" s="30"/>
      <c r="L520" s="30"/>
    </row>
    <row r="521" customFormat="false" ht="15.75" hidden="false" customHeight="false" outlineLevel="0" collapsed="false">
      <c r="B521" s="30"/>
      <c r="E521" s="30"/>
      <c r="F521" s="30"/>
      <c r="G521" s="30"/>
      <c r="H521" s="30"/>
      <c r="I521" s="30"/>
      <c r="J521" s="30"/>
      <c r="K521" s="30"/>
      <c r="L521" s="30"/>
    </row>
    <row r="522" customFormat="false" ht="15.75" hidden="false" customHeight="false" outlineLevel="0" collapsed="false">
      <c r="B522" s="30"/>
      <c r="E522" s="30"/>
      <c r="F522" s="30"/>
      <c r="G522" s="30"/>
      <c r="H522" s="30"/>
      <c r="I522" s="30"/>
      <c r="J522" s="30"/>
      <c r="K522" s="30"/>
      <c r="L522" s="30"/>
    </row>
    <row r="523" customFormat="false" ht="15.75" hidden="false" customHeight="false" outlineLevel="0" collapsed="false">
      <c r="B523" s="30"/>
      <c r="E523" s="30"/>
      <c r="F523" s="30"/>
      <c r="G523" s="30"/>
      <c r="H523" s="30"/>
      <c r="I523" s="30"/>
      <c r="J523" s="30"/>
      <c r="K523" s="30"/>
      <c r="L523" s="30"/>
    </row>
    <row r="524" customFormat="false" ht="15.75" hidden="false" customHeight="false" outlineLevel="0" collapsed="false">
      <c r="B524" s="30"/>
      <c r="E524" s="30"/>
      <c r="F524" s="30"/>
      <c r="G524" s="30"/>
      <c r="H524" s="30"/>
      <c r="I524" s="30"/>
      <c r="J524" s="30"/>
      <c r="K524" s="30"/>
      <c r="L524" s="30"/>
    </row>
    <row r="525" customFormat="false" ht="15.75" hidden="false" customHeight="false" outlineLevel="0" collapsed="false">
      <c r="B525" s="30"/>
      <c r="E525" s="30"/>
      <c r="F525" s="30"/>
      <c r="G525" s="30"/>
      <c r="H525" s="30"/>
      <c r="I525" s="30"/>
      <c r="J525" s="30"/>
      <c r="K525" s="30"/>
      <c r="L525" s="30"/>
    </row>
    <row r="526" customFormat="false" ht="15.75" hidden="false" customHeight="false" outlineLevel="0" collapsed="false">
      <c r="B526" s="30"/>
      <c r="E526" s="30"/>
      <c r="F526" s="30"/>
      <c r="G526" s="30"/>
      <c r="H526" s="30"/>
      <c r="I526" s="30"/>
      <c r="J526" s="30"/>
      <c r="K526" s="30"/>
      <c r="L526" s="30"/>
    </row>
    <row r="527" customFormat="false" ht="15.75" hidden="false" customHeight="false" outlineLevel="0" collapsed="false">
      <c r="B527" s="30"/>
      <c r="E527" s="30"/>
      <c r="F527" s="30"/>
      <c r="G527" s="30"/>
      <c r="H527" s="30"/>
      <c r="I527" s="30"/>
      <c r="J527" s="30"/>
      <c r="K527" s="30"/>
      <c r="L527" s="30"/>
    </row>
    <row r="528" customFormat="false" ht="15.75" hidden="false" customHeight="false" outlineLevel="0" collapsed="false">
      <c r="B528" s="30"/>
      <c r="E528" s="30"/>
      <c r="F528" s="30"/>
      <c r="G528" s="30"/>
      <c r="H528" s="30"/>
      <c r="I528" s="30"/>
      <c r="J528" s="30"/>
      <c r="K528" s="30"/>
      <c r="L528" s="30"/>
    </row>
    <row r="529" customFormat="false" ht="15.75" hidden="false" customHeight="false" outlineLevel="0" collapsed="false">
      <c r="B529" s="30"/>
      <c r="E529" s="30"/>
      <c r="F529" s="30"/>
      <c r="G529" s="30"/>
      <c r="H529" s="30"/>
      <c r="I529" s="30"/>
      <c r="J529" s="30"/>
      <c r="K529" s="30"/>
      <c r="L529" s="30"/>
    </row>
    <row r="530" customFormat="false" ht="15.75" hidden="false" customHeight="false" outlineLevel="0" collapsed="false">
      <c r="B530" s="30"/>
      <c r="E530" s="30"/>
      <c r="F530" s="30"/>
      <c r="G530" s="30"/>
      <c r="H530" s="30"/>
      <c r="I530" s="30"/>
      <c r="J530" s="30"/>
      <c r="K530" s="30"/>
      <c r="L530" s="30"/>
    </row>
    <row r="531" customFormat="false" ht="15.75" hidden="false" customHeight="false" outlineLevel="0" collapsed="false">
      <c r="B531" s="30"/>
      <c r="E531" s="30"/>
      <c r="F531" s="30"/>
      <c r="G531" s="30"/>
      <c r="H531" s="30"/>
      <c r="I531" s="30"/>
      <c r="J531" s="30"/>
      <c r="K531" s="30"/>
      <c r="L531" s="30"/>
    </row>
    <row r="532" customFormat="false" ht="15.75" hidden="false" customHeight="false" outlineLevel="0" collapsed="false">
      <c r="B532" s="30"/>
      <c r="E532" s="30"/>
      <c r="F532" s="30"/>
      <c r="G532" s="30"/>
      <c r="H532" s="30"/>
      <c r="I532" s="30"/>
      <c r="J532" s="30"/>
      <c r="K532" s="30"/>
      <c r="L532" s="30"/>
    </row>
    <row r="533" customFormat="false" ht="15.75" hidden="false" customHeight="false" outlineLevel="0" collapsed="false">
      <c r="B533" s="30"/>
      <c r="E533" s="30"/>
      <c r="F533" s="30"/>
      <c r="G533" s="30"/>
      <c r="H533" s="30"/>
      <c r="I533" s="30"/>
      <c r="J533" s="30"/>
      <c r="K533" s="30"/>
      <c r="L533" s="30"/>
    </row>
    <row r="534" customFormat="false" ht="15.75" hidden="false" customHeight="false" outlineLevel="0" collapsed="false">
      <c r="B534" s="30"/>
      <c r="E534" s="30"/>
      <c r="F534" s="30"/>
      <c r="G534" s="30"/>
      <c r="H534" s="30"/>
      <c r="I534" s="30"/>
      <c r="J534" s="30"/>
      <c r="K534" s="30"/>
      <c r="L534" s="30"/>
    </row>
    <row r="535" customFormat="false" ht="15.75" hidden="false" customHeight="false" outlineLevel="0" collapsed="false">
      <c r="B535" s="30"/>
      <c r="E535" s="30"/>
      <c r="F535" s="30"/>
      <c r="G535" s="30"/>
      <c r="H535" s="30"/>
      <c r="I535" s="30"/>
      <c r="J535" s="30"/>
      <c r="K535" s="30"/>
      <c r="L535" s="30"/>
    </row>
    <row r="536" customFormat="false" ht="15.75" hidden="false" customHeight="false" outlineLevel="0" collapsed="false">
      <c r="B536" s="30"/>
      <c r="E536" s="30"/>
      <c r="F536" s="30"/>
      <c r="G536" s="30"/>
      <c r="H536" s="30"/>
      <c r="I536" s="30"/>
      <c r="J536" s="30"/>
      <c r="K536" s="30"/>
      <c r="L536" s="30"/>
    </row>
    <row r="537" customFormat="false" ht="15.75" hidden="false" customHeight="false" outlineLevel="0" collapsed="false">
      <c r="B537" s="30"/>
      <c r="E537" s="30"/>
      <c r="F537" s="30"/>
      <c r="G537" s="30"/>
      <c r="H537" s="30"/>
      <c r="I537" s="30"/>
      <c r="J537" s="30"/>
      <c r="K537" s="30"/>
      <c r="L537" s="30"/>
    </row>
    <row r="538" customFormat="false" ht="15.75" hidden="false" customHeight="false" outlineLevel="0" collapsed="false">
      <c r="B538" s="30"/>
      <c r="E538" s="30"/>
      <c r="F538" s="30"/>
      <c r="G538" s="30"/>
      <c r="H538" s="30"/>
      <c r="I538" s="30"/>
      <c r="J538" s="30"/>
      <c r="K538" s="30"/>
      <c r="L538" s="30"/>
    </row>
    <row r="539" customFormat="false" ht="15.75" hidden="false" customHeight="false" outlineLevel="0" collapsed="false">
      <c r="B539" s="30"/>
      <c r="E539" s="30"/>
      <c r="F539" s="30"/>
      <c r="G539" s="30"/>
      <c r="H539" s="30"/>
      <c r="I539" s="30"/>
      <c r="J539" s="30"/>
      <c r="K539" s="30"/>
      <c r="L539" s="30"/>
    </row>
    <row r="540" customFormat="false" ht="15.75" hidden="false" customHeight="false" outlineLevel="0" collapsed="false">
      <c r="B540" s="30"/>
      <c r="E540" s="30"/>
      <c r="F540" s="30"/>
      <c r="G540" s="30"/>
      <c r="H540" s="30"/>
      <c r="I540" s="30"/>
      <c r="J540" s="30"/>
      <c r="K540" s="30"/>
      <c r="L540" s="30"/>
    </row>
    <row r="541" customFormat="false" ht="15.75" hidden="false" customHeight="false" outlineLevel="0" collapsed="false">
      <c r="B541" s="30"/>
      <c r="E541" s="30"/>
      <c r="F541" s="30"/>
      <c r="G541" s="30"/>
      <c r="H541" s="30"/>
      <c r="I541" s="30"/>
      <c r="J541" s="30"/>
      <c r="K541" s="30"/>
      <c r="L541" s="30"/>
    </row>
    <row r="542" customFormat="false" ht="15.75" hidden="false" customHeight="false" outlineLevel="0" collapsed="false">
      <c r="B542" s="30"/>
      <c r="E542" s="30"/>
      <c r="F542" s="30"/>
      <c r="G542" s="30"/>
      <c r="H542" s="30"/>
      <c r="I542" s="30"/>
      <c r="J542" s="30"/>
      <c r="K542" s="30"/>
      <c r="L542" s="30"/>
    </row>
    <row r="543" customFormat="false" ht="15.75" hidden="false" customHeight="false" outlineLevel="0" collapsed="false">
      <c r="B543" s="30"/>
      <c r="E543" s="30"/>
      <c r="F543" s="30"/>
      <c r="G543" s="30"/>
      <c r="H543" s="30"/>
      <c r="I543" s="30"/>
      <c r="J543" s="30"/>
      <c r="K543" s="30"/>
      <c r="L543" s="30"/>
    </row>
    <row r="544" customFormat="false" ht="15.75" hidden="false" customHeight="false" outlineLevel="0" collapsed="false">
      <c r="B544" s="30"/>
      <c r="E544" s="30"/>
      <c r="F544" s="30"/>
      <c r="G544" s="30"/>
      <c r="H544" s="30"/>
      <c r="I544" s="30"/>
      <c r="J544" s="30"/>
      <c r="K544" s="30"/>
      <c r="L544" s="30"/>
    </row>
    <row r="545" customFormat="false" ht="15.75" hidden="false" customHeight="false" outlineLevel="0" collapsed="false">
      <c r="B545" s="30"/>
      <c r="E545" s="30"/>
      <c r="F545" s="30"/>
      <c r="G545" s="30"/>
      <c r="H545" s="30"/>
      <c r="I545" s="30"/>
      <c r="J545" s="30"/>
      <c r="K545" s="30"/>
      <c r="L545" s="30"/>
    </row>
    <row r="546" customFormat="false" ht="15.75" hidden="false" customHeight="false" outlineLevel="0" collapsed="false">
      <c r="B546" s="30"/>
      <c r="E546" s="30"/>
      <c r="F546" s="30"/>
      <c r="G546" s="30"/>
      <c r="H546" s="30"/>
      <c r="I546" s="30"/>
      <c r="J546" s="30"/>
      <c r="K546" s="30"/>
      <c r="L546" s="30"/>
    </row>
    <row r="547" customFormat="false" ht="15.75" hidden="false" customHeight="false" outlineLevel="0" collapsed="false">
      <c r="B547" s="30"/>
      <c r="E547" s="30"/>
      <c r="F547" s="30"/>
      <c r="G547" s="30"/>
      <c r="H547" s="30"/>
      <c r="I547" s="30"/>
      <c r="J547" s="30"/>
      <c r="K547" s="30"/>
      <c r="L547" s="30"/>
    </row>
    <row r="548" customFormat="false" ht="15.75" hidden="false" customHeight="false" outlineLevel="0" collapsed="false">
      <c r="B548" s="30"/>
      <c r="E548" s="30"/>
      <c r="F548" s="30"/>
      <c r="G548" s="30"/>
      <c r="H548" s="30"/>
      <c r="I548" s="30"/>
      <c r="J548" s="30"/>
      <c r="K548" s="30"/>
      <c r="L548" s="30"/>
    </row>
    <row r="549" customFormat="false" ht="15.75" hidden="false" customHeight="false" outlineLevel="0" collapsed="false">
      <c r="B549" s="30"/>
      <c r="E549" s="30"/>
      <c r="F549" s="30"/>
      <c r="G549" s="30"/>
      <c r="H549" s="30"/>
      <c r="I549" s="30"/>
      <c r="J549" s="30"/>
      <c r="K549" s="30"/>
      <c r="L549" s="30"/>
    </row>
    <row r="550" customFormat="false" ht="15.75" hidden="false" customHeight="false" outlineLevel="0" collapsed="false">
      <c r="B550" s="30"/>
      <c r="E550" s="30"/>
      <c r="F550" s="30"/>
      <c r="G550" s="30"/>
      <c r="H550" s="30"/>
      <c r="I550" s="30"/>
      <c r="J550" s="30"/>
      <c r="K550" s="30"/>
      <c r="L550" s="30"/>
    </row>
    <row r="551" customFormat="false" ht="15.75" hidden="false" customHeight="false" outlineLevel="0" collapsed="false">
      <c r="B551" s="30"/>
      <c r="E551" s="30"/>
      <c r="F551" s="30"/>
      <c r="G551" s="30"/>
      <c r="H551" s="30"/>
      <c r="I551" s="30"/>
      <c r="J551" s="30"/>
      <c r="K551" s="30"/>
      <c r="L551" s="30"/>
    </row>
    <row r="552" customFormat="false" ht="15.75" hidden="false" customHeight="false" outlineLevel="0" collapsed="false">
      <c r="B552" s="30"/>
      <c r="E552" s="30"/>
      <c r="F552" s="30"/>
      <c r="G552" s="30"/>
      <c r="H552" s="30"/>
      <c r="I552" s="30"/>
      <c r="J552" s="30"/>
      <c r="K552" s="30"/>
      <c r="L552" s="30"/>
    </row>
    <row r="553" customFormat="false" ht="15.75" hidden="false" customHeight="false" outlineLevel="0" collapsed="false">
      <c r="B553" s="30"/>
      <c r="E553" s="30"/>
      <c r="F553" s="30"/>
      <c r="G553" s="30"/>
      <c r="H553" s="30"/>
      <c r="I553" s="30"/>
      <c r="J553" s="30"/>
      <c r="K553" s="30"/>
      <c r="L553" s="30"/>
    </row>
    <row r="554" customFormat="false" ht="15.75" hidden="false" customHeight="false" outlineLevel="0" collapsed="false">
      <c r="B554" s="30"/>
      <c r="E554" s="30"/>
      <c r="F554" s="30"/>
      <c r="G554" s="30"/>
      <c r="H554" s="30"/>
      <c r="I554" s="30"/>
      <c r="J554" s="30"/>
      <c r="K554" s="30"/>
      <c r="L554" s="30"/>
    </row>
    <row r="555" customFormat="false" ht="15.75" hidden="false" customHeight="false" outlineLevel="0" collapsed="false">
      <c r="B555" s="30"/>
      <c r="E555" s="30"/>
      <c r="F555" s="30"/>
      <c r="G555" s="30"/>
      <c r="H555" s="30"/>
      <c r="I555" s="30"/>
      <c r="J555" s="30"/>
      <c r="K555" s="30"/>
      <c r="L555" s="30"/>
    </row>
    <row r="556" customFormat="false" ht="15.75" hidden="false" customHeight="false" outlineLevel="0" collapsed="false">
      <c r="B556" s="30"/>
      <c r="E556" s="30"/>
      <c r="F556" s="30"/>
      <c r="G556" s="30"/>
      <c r="H556" s="30"/>
      <c r="I556" s="30"/>
      <c r="J556" s="30"/>
      <c r="K556" s="30"/>
      <c r="L556" s="30"/>
    </row>
    <row r="557" customFormat="false" ht="15.75" hidden="false" customHeight="false" outlineLevel="0" collapsed="false">
      <c r="B557" s="30"/>
      <c r="E557" s="30"/>
      <c r="F557" s="30"/>
      <c r="G557" s="30"/>
      <c r="H557" s="30"/>
      <c r="I557" s="30"/>
      <c r="J557" s="30"/>
      <c r="K557" s="30"/>
      <c r="L557" s="30"/>
    </row>
    <row r="558" customFormat="false" ht="15.75" hidden="false" customHeight="false" outlineLevel="0" collapsed="false">
      <c r="B558" s="30"/>
      <c r="E558" s="30"/>
      <c r="F558" s="30"/>
      <c r="G558" s="30"/>
      <c r="H558" s="30"/>
      <c r="I558" s="30"/>
      <c r="J558" s="30"/>
      <c r="K558" s="30"/>
      <c r="L558" s="30"/>
    </row>
    <row r="559" customFormat="false" ht="15.75" hidden="false" customHeight="false" outlineLevel="0" collapsed="false">
      <c r="B559" s="30"/>
      <c r="E559" s="30"/>
      <c r="F559" s="30"/>
      <c r="G559" s="30"/>
      <c r="H559" s="30"/>
      <c r="I559" s="30"/>
      <c r="J559" s="30"/>
      <c r="K559" s="30"/>
      <c r="L559" s="30"/>
    </row>
    <row r="560" customFormat="false" ht="15.75" hidden="false" customHeight="false" outlineLevel="0" collapsed="false">
      <c r="B560" s="30"/>
      <c r="E560" s="30"/>
      <c r="F560" s="30"/>
      <c r="G560" s="30"/>
      <c r="H560" s="30"/>
      <c r="I560" s="30"/>
      <c r="J560" s="30"/>
      <c r="K560" s="30"/>
      <c r="L560" s="30"/>
    </row>
    <row r="561" customFormat="false" ht="15.75" hidden="false" customHeight="false" outlineLevel="0" collapsed="false">
      <c r="B561" s="30"/>
      <c r="E561" s="30"/>
      <c r="F561" s="30"/>
      <c r="G561" s="30"/>
      <c r="H561" s="30"/>
      <c r="I561" s="30"/>
      <c r="J561" s="30"/>
      <c r="K561" s="30"/>
      <c r="L561" s="30"/>
    </row>
    <row r="562" customFormat="false" ht="15.75" hidden="false" customHeight="false" outlineLevel="0" collapsed="false">
      <c r="B562" s="30"/>
      <c r="E562" s="30"/>
      <c r="F562" s="30"/>
      <c r="G562" s="30"/>
      <c r="H562" s="30"/>
      <c r="I562" s="30"/>
      <c r="J562" s="30"/>
      <c r="K562" s="30"/>
      <c r="L562" s="30"/>
    </row>
    <row r="563" customFormat="false" ht="15.75" hidden="false" customHeight="false" outlineLevel="0" collapsed="false">
      <c r="B563" s="30"/>
      <c r="E563" s="30"/>
      <c r="F563" s="30"/>
      <c r="G563" s="30"/>
      <c r="H563" s="30"/>
      <c r="I563" s="30"/>
      <c r="J563" s="30"/>
      <c r="K563" s="30"/>
      <c r="L563" s="30"/>
    </row>
    <row r="564" customFormat="false" ht="15.75" hidden="false" customHeight="false" outlineLevel="0" collapsed="false">
      <c r="B564" s="30"/>
      <c r="E564" s="30"/>
      <c r="F564" s="30"/>
      <c r="G564" s="30"/>
      <c r="H564" s="30"/>
      <c r="I564" s="30"/>
      <c r="J564" s="30"/>
      <c r="K564" s="30"/>
      <c r="L564" s="30"/>
    </row>
    <row r="565" customFormat="false" ht="15.75" hidden="false" customHeight="false" outlineLevel="0" collapsed="false">
      <c r="B565" s="30"/>
      <c r="E565" s="30"/>
      <c r="F565" s="30"/>
      <c r="G565" s="30"/>
      <c r="H565" s="30"/>
      <c r="I565" s="30"/>
      <c r="J565" s="30"/>
      <c r="K565" s="30"/>
      <c r="L565" s="30"/>
    </row>
    <row r="566" customFormat="false" ht="15.75" hidden="false" customHeight="false" outlineLevel="0" collapsed="false">
      <c r="B566" s="30"/>
      <c r="E566" s="30"/>
      <c r="F566" s="30"/>
      <c r="G566" s="30"/>
      <c r="H566" s="30"/>
      <c r="I566" s="30"/>
      <c r="J566" s="30"/>
      <c r="K566" s="30"/>
      <c r="L566" s="30"/>
    </row>
    <row r="567" customFormat="false" ht="15.75" hidden="false" customHeight="false" outlineLevel="0" collapsed="false">
      <c r="B567" s="30"/>
      <c r="E567" s="30"/>
      <c r="F567" s="30"/>
      <c r="G567" s="30"/>
      <c r="H567" s="30"/>
      <c r="I567" s="30"/>
      <c r="J567" s="30"/>
      <c r="K567" s="30"/>
      <c r="L567" s="30"/>
    </row>
    <row r="568" customFormat="false" ht="15.75" hidden="false" customHeight="false" outlineLevel="0" collapsed="false">
      <c r="B568" s="30"/>
      <c r="E568" s="30"/>
      <c r="F568" s="30"/>
      <c r="G568" s="30"/>
      <c r="H568" s="30"/>
      <c r="I568" s="30"/>
      <c r="J568" s="30"/>
      <c r="K568" s="30"/>
      <c r="L568" s="30"/>
    </row>
    <row r="569" customFormat="false" ht="15.75" hidden="false" customHeight="false" outlineLevel="0" collapsed="false">
      <c r="B569" s="30"/>
      <c r="E569" s="30"/>
      <c r="F569" s="30"/>
      <c r="G569" s="30"/>
      <c r="H569" s="30"/>
      <c r="I569" s="30"/>
      <c r="J569" s="30"/>
      <c r="K569" s="30"/>
      <c r="L569" s="30"/>
    </row>
    <row r="570" customFormat="false" ht="15.75" hidden="false" customHeight="false" outlineLevel="0" collapsed="false">
      <c r="B570" s="30"/>
      <c r="E570" s="30"/>
      <c r="F570" s="30"/>
      <c r="G570" s="30"/>
      <c r="H570" s="30"/>
      <c r="I570" s="30"/>
      <c r="J570" s="30"/>
      <c r="K570" s="30"/>
      <c r="L570" s="30"/>
    </row>
    <row r="571" customFormat="false" ht="15.75" hidden="false" customHeight="false" outlineLevel="0" collapsed="false">
      <c r="B571" s="30"/>
      <c r="E571" s="30"/>
      <c r="F571" s="30"/>
      <c r="G571" s="30"/>
      <c r="H571" s="30"/>
      <c r="I571" s="30"/>
      <c r="J571" s="30"/>
      <c r="K571" s="30"/>
      <c r="L571" s="30"/>
    </row>
    <row r="572" customFormat="false" ht="15.75" hidden="false" customHeight="false" outlineLevel="0" collapsed="false">
      <c r="B572" s="30"/>
      <c r="E572" s="30"/>
      <c r="F572" s="30"/>
      <c r="G572" s="30"/>
      <c r="H572" s="30"/>
      <c r="I572" s="30"/>
      <c r="J572" s="30"/>
      <c r="K572" s="30"/>
      <c r="L572" s="30"/>
    </row>
    <row r="573" customFormat="false" ht="15.75" hidden="false" customHeight="false" outlineLevel="0" collapsed="false">
      <c r="B573" s="30"/>
      <c r="E573" s="30"/>
      <c r="F573" s="30"/>
      <c r="G573" s="30"/>
      <c r="H573" s="30"/>
      <c r="I573" s="30"/>
      <c r="J573" s="30"/>
      <c r="K573" s="30"/>
      <c r="L573" s="30"/>
    </row>
    <row r="574" customFormat="false" ht="15.75" hidden="false" customHeight="false" outlineLevel="0" collapsed="false">
      <c r="B574" s="30"/>
      <c r="E574" s="30"/>
      <c r="F574" s="30"/>
      <c r="G574" s="30"/>
      <c r="H574" s="30"/>
      <c r="I574" s="30"/>
      <c r="J574" s="30"/>
      <c r="K574" s="30"/>
      <c r="L574" s="30"/>
    </row>
    <row r="575" customFormat="false" ht="15.75" hidden="false" customHeight="false" outlineLevel="0" collapsed="false">
      <c r="B575" s="30"/>
      <c r="E575" s="30"/>
      <c r="F575" s="30"/>
      <c r="G575" s="30"/>
      <c r="H575" s="30"/>
      <c r="I575" s="30"/>
      <c r="J575" s="30"/>
      <c r="K575" s="30"/>
      <c r="L575" s="30"/>
    </row>
    <row r="576" customFormat="false" ht="15.75" hidden="false" customHeight="false" outlineLevel="0" collapsed="false">
      <c r="B576" s="30"/>
      <c r="E576" s="30"/>
      <c r="F576" s="30"/>
      <c r="G576" s="30"/>
      <c r="H576" s="30"/>
      <c r="I576" s="30"/>
      <c r="J576" s="30"/>
      <c r="K576" s="30"/>
      <c r="L576" s="30"/>
    </row>
    <row r="577" customFormat="false" ht="15.75" hidden="false" customHeight="false" outlineLevel="0" collapsed="false">
      <c r="B577" s="30"/>
      <c r="E577" s="30"/>
      <c r="F577" s="30"/>
      <c r="G577" s="30"/>
      <c r="H577" s="30"/>
      <c r="I577" s="30"/>
      <c r="J577" s="30"/>
      <c r="K577" s="30"/>
      <c r="L577" s="30"/>
    </row>
    <row r="578" customFormat="false" ht="15.75" hidden="false" customHeight="false" outlineLevel="0" collapsed="false">
      <c r="B578" s="30"/>
      <c r="E578" s="30"/>
      <c r="F578" s="30"/>
      <c r="G578" s="30"/>
      <c r="H578" s="30"/>
      <c r="I578" s="30"/>
      <c r="J578" s="30"/>
      <c r="K578" s="30"/>
      <c r="L578" s="30"/>
    </row>
    <row r="579" customFormat="false" ht="15.75" hidden="false" customHeight="false" outlineLevel="0" collapsed="false">
      <c r="B579" s="30"/>
      <c r="E579" s="30"/>
      <c r="F579" s="30"/>
      <c r="G579" s="30"/>
      <c r="H579" s="30"/>
      <c r="I579" s="30"/>
      <c r="J579" s="30"/>
      <c r="K579" s="30"/>
      <c r="L579" s="30"/>
    </row>
    <row r="580" customFormat="false" ht="15.75" hidden="false" customHeight="false" outlineLevel="0" collapsed="false">
      <c r="B580" s="30"/>
      <c r="E580" s="30"/>
      <c r="F580" s="30"/>
      <c r="G580" s="30"/>
      <c r="H580" s="30"/>
      <c r="I580" s="30"/>
      <c r="J580" s="30"/>
      <c r="K580" s="30"/>
      <c r="L580" s="30"/>
    </row>
    <row r="581" customFormat="false" ht="15.75" hidden="false" customHeight="false" outlineLevel="0" collapsed="false">
      <c r="B581" s="30"/>
      <c r="E581" s="30"/>
      <c r="F581" s="30"/>
      <c r="G581" s="30"/>
      <c r="H581" s="30"/>
      <c r="I581" s="30"/>
      <c r="J581" s="30"/>
      <c r="K581" s="30"/>
      <c r="L581" s="30"/>
    </row>
    <row r="582" customFormat="false" ht="15.75" hidden="false" customHeight="false" outlineLevel="0" collapsed="false">
      <c r="B582" s="30"/>
      <c r="E582" s="30"/>
      <c r="F582" s="30"/>
      <c r="G582" s="30"/>
      <c r="H582" s="30"/>
      <c r="I582" s="30"/>
      <c r="J582" s="30"/>
      <c r="K582" s="30"/>
      <c r="L582" s="30"/>
    </row>
    <row r="583" customFormat="false" ht="15.75" hidden="false" customHeight="false" outlineLevel="0" collapsed="false">
      <c r="B583" s="30"/>
      <c r="E583" s="30"/>
      <c r="F583" s="30"/>
      <c r="G583" s="30"/>
      <c r="H583" s="30"/>
      <c r="I583" s="30"/>
      <c r="J583" s="30"/>
      <c r="K583" s="30"/>
      <c r="L583" s="30"/>
    </row>
    <row r="584" customFormat="false" ht="15.75" hidden="false" customHeight="false" outlineLevel="0" collapsed="false">
      <c r="B584" s="30"/>
      <c r="E584" s="30"/>
      <c r="F584" s="30"/>
      <c r="G584" s="30"/>
      <c r="H584" s="30"/>
      <c r="I584" s="30"/>
      <c r="J584" s="30"/>
      <c r="K584" s="30"/>
      <c r="L584" s="30"/>
    </row>
    <row r="585" customFormat="false" ht="15.75" hidden="false" customHeight="false" outlineLevel="0" collapsed="false">
      <c r="B585" s="30"/>
      <c r="E585" s="30"/>
      <c r="F585" s="30"/>
      <c r="G585" s="30"/>
      <c r="H585" s="30"/>
      <c r="I585" s="30"/>
      <c r="J585" s="30"/>
      <c r="K585" s="30"/>
      <c r="L585" s="30"/>
    </row>
    <row r="586" customFormat="false" ht="15.75" hidden="false" customHeight="false" outlineLevel="0" collapsed="false">
      <c r="B586" s="30"/>
      <c r="E586" s="30"/>
      <c r="F586" s="30"/>
      <c r="G586" s="30"/>
      <c r="H586" s="30"/>
      <c r="I586" s="30"/>
      <c r="J586" s="30"/>
      <c r="K586" s="30"/>
      <c r="L586" s="30"/>
    </row>
    <row r="587" customFormat="false" ht="15.75" hidden="false" customHeight="false" outlineLevel="0" collapsed="false">
      <c r="B587" s="30"/>
      <c r="E587" s="30"/>
      <c r="F587" s="30"/>
      <c r="G587" s="30"/>
      <c r="H587" s="30"/>
      <c r="I587" s="30"/>
      <c r="J587" s="30"/>
      <c r="K587" s="30"/>
      <c r="L587" s="30"/>
    </row>
    <row r="588" customFormat="false" ht="15.75" hidden="false" customHeight="false" outlineLevel="0" collapsed="false">
      <c r="B588" s="30"/>
      <c r="E588" s="30"/>
      <c r="F588" s="30"/>
      <c r="G588" s="30"/>
      <c r="H588" s="30"/>
      <c r="I588" s="30"/>
      <c r="J588" s="30"/>
      <c r="K588" s="30"/>
      <c r="L588" s="30"/>
    </row>
    <row r="589" customFormat="false" ht="15.75" hidden="false" customHeight="false" outlineLevel="0" collapsed="false">
      <c r="B589" s="30"/>
      <c r="E589" s="30"/>
      <c r="F589" s="30"/>
      <c r="G589" s="30"/>
      <c r="H589" s="30"/>
      <c r="I589" s="30"/>
      <c r="J589" s="30"/>
      <c r="K589" s="30"/>
      <c r="L589" s="30"/>
    </row>
    <row r="590" customFormat="false" ht="15.75" hidden="false" customHeight="false" outlineLevel="0" collapsed="false">
      <c r="B590" s="30"/>
      <c r="E590" s="30"/>
      <c r="F590" s="30"/>
      <c r="G590" s="30"/>
      <c r="H590" s="30"/>
      <c r="I590" s="30"/>
      <c r="J590" s="30"/>
      <c r="K590" s="30"/>
      <c r="L590" s="30"/>
    </row>
    <row r="591" customFormat="false" ht="15.75" hidden="false" customHeight="false" outlineLevel="0" collapsed="false">
      <c r="B591" s="30"/>
      <c r="E591" s="30"/>
      <c r="F591" s="30"/>
      <c r="G591" s="30"/>
      <c r="H591" s="30"/>
      <c r="I591" s="30"/>
      <c r="J591" s="30"/>
      <c r="K591" s="30"/>
      <c r="L591" s="30"/>
    </row>
    <row r="592" customFormat="false" ht="15.75" hidden="false" customHeight="false" outlineLevel="0" collapsed="false">
      <c r="B592" s="30"/>
      <c r="E592" s="30"/>
      <c r="F592" s="30"/>
      <c r="G592" s="30"/>
      <c r="H592" s="30"/>
      <c r="I592" s="30"/>
      <c r="J592" s="30"/>
      <c r="K592" s="30"/>
      <c r="L592" s="30"/>
    </row>
    <row r="593" customFormat="false" ht="15.75" hidden="false" customHeight="false" outlineLevel="0" collapsed="false">
      <c r="B593" s="30"/>
      <c r="E593" s="30"/>
      <c r="F593" s="30"/>
      <c r="G593" s="30"/>
      <c r="H593" s="30"/>
      <c r="I593" s="30"/>
      <c r="J593" s="30"/>
      <c r="K593" s="30"/>
      <c r="L593" s="30"/>
    </row>
    <row r="594" customFormat="false" ht="15.75" hidden="false" customHeight="false" outlineLevel="0" collapsed="false">
      <c r="B594" s="30"/>
      <c r="E594" s="30"/>
      <c r="F594" s="30"/>
      <c r="G594" s="30"/>
      <c r="H594" s="30"/>
      <c r="I594" s="30"/>
      <c r="J594" s="30"/>
      <c r="K594" s="30"/>
      <c r="L594" s="30"/>
    </row>
    <row r="595" customFormat="false" ht="15.75" hidden="false" customHeight="false" outlineLevel="0" collapsed="false">
      <c r="B595" s="30"/>
      <c r="E595" s="30"/>
      <c r="F595" s="30"/>
      <c r="G595" s="30"/>
      <c r="H595" s="30"/>
      <c r="I595" s="30"/>
      <c r="J595" s="30"/>
      <c r="K595" s="30"/>
      <c r="L595" s="30"/>
    </row>
    <row r="596" customFormat="false" ht="15.75" hidden="false" customHeight="false" outlineLevel="0" collapsed="false">
      <c r="B596" s="30"/>
      <c r="E596" s="30"/>
      <c r="F596" s="30"/>
      <c r="G596" s="30"/>
      <c r="H596" s="30"/>
      <c r="I596" s="30"/>
      <c r="J596" s="30"/>
      <c r="K596" s="30"/>
      <c r="L596" s="30"/>
    </row>
    <row r="597" customFormat="false" ht="15.75" hidden="false" customHeight="false" outlineLevel="0" collapsed="false">
      <c r="B597" s="30"/>
      <c r="E597" s="30"/>
      <c r="F597" s="30"/>
      <c r="G597" s="30"/>
      <c r="H597" s="30"/>
      <c r="I597" s="30"/>
      <c r="J597" s="30"/>
      <c r="K597" s="30"/>
      <c r="L597" s="30"/>
    </row>
    <row r="598" customFormat="false" ht="15.75" hidden="false" customHeight="false" outlineLevel="0" collapsed="false">
      <c r="B598" s="30"/>
      <c r="E598" s="30"/>
      <c r="F598" s="30"/>
      <c r="G598" s="30"/>
      <c r="H598" s="30"/>
      <c r="I598" s="30"/>
      <c r="J598" s="30"/>
      <c r="K598" s="30"/>
      <c r="L598" s="30"/>
    </row>
    <row r="599" customFormat="false" ht="15.75" hidden="false" customHeight="false" outlineLevel="0" collapsed="false">
      <c r="B599" s="30"/>
      <c r="E599" s="30"/>
      <c r="F599" s="30"/>
      <c r="G599" s="30"/>
      <c r="H599" s="30"/>
      <c r="I599" s="30"/>
      <c r="J599" s="30"/>
      <c r="K599" s="30"/>
      <c r="L599" s="30"/>
    </row>
    <row r="600" customFormat="false" ht="15.75" hidden="false" customHeight="false" outlineLevel="0" collapsed="false">
      <c r="B600" s="30"/>
      <c r="E600" s="30"/>
      <c r="F600" s="30"/>
      <c r="G600" s="30"/>
      <c r="H600" s="30"/>
      <c r="I600" s="30"/>
      <c r="J600" s="30"/>
      <c r="K600" s="30"/>
      <c r="L600" s="30"/>
    </row>
    <row r="601" customFormat="false" ht="15.75" hidden="false" customHeight="false" outlineLevel="0" collapsed="false">
      <c r="B601" s="30"/>
      <c r="E601" s="30"/>
      <c r="F601" s="30"/>
      <c r="G601" s="30"/>
      <c r="H601" s="30"/>
      <c r="I601" s="30"/>
      <c r="J601" s="30"/>
      <c r="K601" s="30"/>
      <c r="L601" s="30"/>
    </row>
    <row r="602" customFormat="false" ht="15.75" hidden="false" customHeight="false" outlineLevel="0" collapsed="false">
      <c r="B602" s="30"/>
      <c r="E602" s="30"/>
      <c r="F602" s="30"/>
      <c r="G602" s="30"/>
      <c r="H602" s="30"/>
      <c r="I602" s="30"/>
      <c r="J602" s="30"/>
      <c r="K602" s="30"/>
      <c r="L602" s="30"/>
    </row>
    <row r="603" customFormat="false" ht="15.75" hidden="false" customHeight="false" outlineLevel="0" collapsed="false">
      <c r="B603" s="30"/>
      <c r="E603" s="30"/>
      <c r="F603" s="30"/>
      <c r="G603" s="30"/>
      <c r="H603" s="30"/>
      <c r="I603" s="30"/>
      <c r="J603" s="30"/>
      <c r="K603" s="30"/>
      <c r="L603" s="30"/>
    </row>
    <row r="604" customFormat="false" ht="15.75" hidden="false" customHeight="false" outlineLevel="0" collapsed="false">
      <c r="B604" s="30"/>
      <c r="E604" s="30"/>
      <c r="F604" s="30"/>
      <c r="G604" s="30"/>
      <c r="H604" s="30"/>
      <c r="I604" s="30"/>
      <c r="J604" s="30"/>
      <c r="K604" s="30"/>
      <c r="L604" s="30"/>
    </row>
    <row r="605" customFormat="false" ht="15.75" hidden="false" customHeight="false" outlineLevel="0" collapsed="false">
      <c r="B605" s="30"/>
      <c r="E605" s="30"/>
      <c r="F605" s="30"/>
      <c r="G605" s="30"/>
      <c r="H605" s="30"/>
      <c r="I605" s="30"/>
      <c r="J605" s="30"/>
      <c r="K605" s="30"/>
      <c r="L605" s="30"/>
    </row>
    <row r="606" customFormat="false" ht="15.75" hidden="false" customHeight="false" outlineLevel="0" collapsed="false">
      <c r="B606" s="30"/>
      <c r="E606" s="30"/>
      <c r="F606" s="30"/>
      <c r="G606" s="30"/>
      <c r="H606" s="30"/>
      <c r="I606" s="30"/>
      <c r="J606" s="30"/>
      <c r="K606" s="30"/>
      <c r="L606" s="30"/>
    </row>
    <row r="607" customFormat="false" ht="15.75" hidden="false" customHeight="false" outlineLevel="0" collapsed="false">
      <c r="B607" s="30"/>
      <c r="E607" s="30"/>
      <c r="F607" s="30"/>
      <c r="G607" s="30"/>
      <c r="H607" s="30"/>
      <c r="I607" s="30"/>
      <c r="J607" s="30"/>
      <c r="K607" s="30"/>
      <c r="L607" s="30"/>
    </row>
    <row r="608" customFormat="false" ht="15.75" hidden="false" customHeight="false" outlineLevel="0" collapsed="false">
      <c r="B608" s="30"/>
      <c r="E608" s="30"/>
      <c r="F608" s="30"/>
      <c r="G608" s="30"/>
      <c r="H608" s="30"/>
      <c r="I608" s="30"/>
      <c r="J608" s="30"/>
      <c r="K608" s="30"/>
      <c r="L608" s="30"/>
    </row>
    <row r="609" customFormat="false" ht="15.75" hidden="false" customHeight="false" outlineLevel="0" collapsed="false">
      <c r="B609" s="30"/>
      <c r="E609" s="30"/>
      <c r="F609" s="30"/>
      <c r="G609" s="30"/>
      <c r="H609" s="30"/>
      <c r="I609" s="30"/>
      <c r="J609" s="30"/>
      <c r="K609" s="30"/>
      <c r="L609" s="30"/>
    </row>
    <row r="610" customFormat="false" ht="15.75" hidden="false" customHeight="false" outlineLevel="0" collapsed="false">
      <c r="B610" s="30"/>
      <c r="E610" s="30"/>
      <c r="F610" s="30"/>
      <c r="G610" s="30"/>
      <c r="H610" s="30"/>
      <c r="I610" s="30"/>
      <c r="J610" s="30"/>
      <c r="K610" s="30"/>
      <c r="L610" s="30"/>
    </row>
    <row r="611" customFormat="false" ht="15.75" hidden="false" customHeight="false" outlineLevel="0" collapsed="false">
      <c r="B611" s="30"/>
      <c r="E611" s="30"/>
      <c r="F611" s="30"/>
      <c r="G611" s="30"/>
      <c r="H611" s="30"/>
      <c r="I611" s="30"/>
      <c r="J611" s="30"/>
      <c r="K611" s="30"/>
      <c r="L611" s="30"/>
    </row>
    <row r="612" customFormat="false" ht="15.75" hidden="false" customHeight="false" outlineLevel="0" collapsed="false">
      <c r="B612" s="30"/>
      <c r="E612" s="30"/>
      <c r="F612" s="30"/>
      <c r="G612" s="30"/>
      <c r="H612" s="30"/>
      <c r="I612" s="30"/>
      <c r="J612" s="30"/>
      <c r="K612" s="30"/>
      <c r="L612" s="30"/>
    </row>
    <row r="613" customFormat="false" ht="15.75" hidden="false" customHeight="false" outlineLevel="0" collapsed="false">
      <c r="B613" s="30"/>
      <c r="E613" s="30"/>
      <c r="F613" s="30"/>
      <c r="G613" s="30"/>
      <c r="H613" s="30"/>
      <c r="I613" s="30"/>
      <c r="J613" s="30"/>
      <c r="K613" s="30"/>
      <c r="L613" s="30"/>
    </row>
    <row r="614" customFormat="false" ht="15.75" hidden="false" customHeight="false" outlineLevel="0" collapsed="false">
      <c r="B614" s="30"/>
      <c r="E614" s="30"/>
      <c r="F614" s="30"/>
      <c r="G614" s="30"/>
      <c r="H614" s="30"/>
      <c r="I614" s="30"/>
      <c r="J614" s="30"/>
      <c r="K614" s="30"/>
      <c r="L614" s="30"/>
    </row>
    <row r="615" customFormat="false" ht="15.75" hidden="false" customHeight="false" outlineLevel="0" collapsed="false">
      <c r="B615" s="30"/>
      <c r="E615" s="30"/>
      <c r="F615" s="30"/>
      <c r="G615" s="30"/>
      <c r="H615" s="30"/>
      <c r="I615" s="30"/>
      <c r="J615" s="30"/>
      <c r="K615" s="30"/>
      <c r="L615" s="30"/>
    </row>
    <row r="616" customFormat="false" ht="15.75" hidden="false" customHeight="false" outlineLevel="0" collapsed="false">
      <c r="B616" s="30"/>
      <c r="E616" s="30"/>
      <c r="F616" s="30"/>
      <c r="G616" s="30"/>
      <c r="H616" s="30"/>
      <c r="I616" s="30"/>
      <c r="J616" s="30"/>
      <c r="K616" s="30"/>
      <c r="L616" s="30"/>
    </row>
    <row r="617" customFormat="false" ht="15.75" hidden="false" customHeight="false" outlineLevel="0" collapsed="false">
      <c r="B617" s="30"/>
      <c r="E617" s="30"/>
      <c r="F617" s="30"/>
      <c r="G617" s="30"/>
      <c r="H617" s="30"/>
      <c r="I617" s="30"/>
      <c r="J617" s="30"/>
      <c r="K617" s="30"/>
      <c r="L617" s="30"/>
    </row>
    <row r="618" customFormat="false" ht="15.75" hidden="false" customHeight="false" outlineLevel="0" collapsed="false">
      <c r="B618" s="30"/>
      <c r="E618" s="30"/>
      <c r="F618" s="30"/>
      <c r="G618" s="30"/>
      <c r="H618" s="30"/>
      <c r="I618" s="30"/>
      <c r="J618" s="30"/>
      <c r="K618" s="30"/>
      <c r="L618" s="30"/>
    </row>
    <row r="619" customFormat="false" ht="15.75" hidden="false" customHeight="false" outlineLevel="0" collapsed="false">
      <c r="B619" s="30"/>
      <c r="E619" s="30"/>
      <c r="F619" s="30"/>
      <c r="G619" s="30"/>
      <c r="H619" s="30"/>
      <c r="I619" s="30"/>
      <c r="J619" s="30"/>
      <c r="K619" s="30"/>
      <c r="L619" s="30"/>
    </row>
    <row r="620" customFormat="false" ht="15.75" hidden="false" customHeight="false" outlineLevel="0" collapsed="false">
      <c r="B620" s="30"/>
      <c r="E620" s="30"/>
      <c r="F620" s="30"/>
      <c r="G620" s="30"/>
      <c r="H620" s="30"/>
      <c r="I620" s="30"/>
      <c r="J620" s="30"/>
      <c r="K620" s="30"/>
      <c r="L620" s="30"/>
    </row>
    <row r="621" customFormat="false" ht="15.75" hidden="false" customHeight="false" outlineLevel="0" collapsed="false">
      <c r="B621" s="30"/>
      <c r="E621" s="30"/>
      <c r="F621" s="30"/>
      <c r="G621" s="30"/>
      <c r="H621" s="30"/>
      <c r="I621" s="30"/>
      <c r="J621" s="30"/>
      <c r="K621" s="30"/>
      <c r="L621" s="30"/>
    </row>
    <row r="622" customFormat="false" ht="15.75" hidden="false" customHeight="false" outlineLevel="0" collapsed="false">
      <c r="B622" s="30"/>
      <c r="E622" s="30"/>
      <c r="F622" s="30"/>
      <c r="G622" s="30"/>
      <c r="H622" s="30"/>
      <c r="I622" s="30"/>
      <c r="J622" s="30"/>
      <c r="K622" s="30"/>
      <c r="L622" s="30"/>
    </row>
    <row r="623" customFormat="false" ht="15.75" hidden="false" customHeight="false" outlineLevel="0" collapsed="false">
      <c r="B623" s="30"/>
      <c r="E623" s="30"/>
      <c r="F623" s="30"/>
      <c r="G623" s="30"/>
      <c r="H623" s="30"/>
      <c r="I623" s="30"/>
      <c r="J623" s="30"/>
      <c r="K623" s="30"/>
      <c r="L623" s="30"/>
    </row>
    <row r="624" customFormat="false" ht="15.75" hidden="false" customHeight="false" outlineLevel="0" collapsed="false">
      <c r="B624" s="30"/>
      <c r="E624" s="30"/>
      <c r="F624" s="30"/>
      <c r="G624" s="30"/>
      <c r="H624" s="30"/>
      <c r="I624" s="30"/>
      <c r="J624" s="30"/>
      <c r="K624" s="30"/>
      <c r="L624" s="30"/>
    </row>
    <row r="625" customFormat="false" ht="15.75" hidden="false" customHeight="false" outlineLevel="0" collapsed="false">
      <c r="B625" s="30"/>
      <c r="E625" s="30"/>
      <c r="F625" s="30"/>
      <c r="G625" s="30"/>
      <c r="H625" s="30"/>
      <c r="I625" s="30"/>
      <c r="J625" s="30"/>
      <c r="K625" s="30"/>
      <c r="L625" s="30"/>
    </row>
    <row r="626" customFormat="false" ht="15.75" hidden="false" customHeight="false" outlineLevel="0" collapsed="false">
      <c r="B626" s="30"/>
      <c r="E626" s="30"/>
      <c r="F626" s="30"/>
      <c r="G626" s="30"/>
      <c r="H626" s="30"/>
      <c r="I626" s="30"/>
      <c r="J626" s="30"/>
      <c r="K626" s="30"/>
      <c r="L626" s="30"/>
    </row>
    <row r="627" customFormat="false" ht="15.75" hidden="false" customHeight="false" outlineLevel="0" collapsed="false">
      <c r="B627" s="30"/>
      <c r="E627" s="30"/>
      <c r="F627" s="30"/>
      <c r="G627" s="30"/>
      <c r="H627" s="30"/>
      <c r="I627" s="30"/>
      <c r="J627" s="30"/>
      <c r="K627" s="30"/>
      <c r="L627" s="30"/>
    </row>
    <row r="628" customFormat="false" ht="15.75" hidden="false" customHeight="false" outlineLevel="0" collapsed="false">
      <c r="B628" s="30"/>
      <c r="E628" s="30"/>
      <c r="F628" s="30"/>
      <c r="G628" s="30"/>
      <c r="H628" s="30"/>
      <c r="I628" s="30"/>
      <c r="J628" s="30"/>
      <c r="K628" s="30"/>
      <c r="L628" s="30"/>
    </row>
    <row r="629" customFormat="false" ht="15.75" hidden="false" customHeight="false" outlineLevel="0" collapsed="false">
      <c r="B629" s="30"/>
      <c r="E629" s="30"/>
      <c r="F629" s="30"/>
      <c r="G629" s="30"/>
      <c r="H629" s="30"/>
      <c r="I629" s="30"/>
      <c r="J629" s="30"/>
      <c r="K629" s="30"/>
      <c r="L629" s="30"/>
    </row>
    <row r="630" customFormat="false" ht="15.75" hidden="false" customHeight="false" outlineLevel="0" collapsed="false">
      <c r="B630" s="30"/>
      <c r="E630" s="30"/>
      <c r="F630" s="30"/>
      <c r="G630" s="30"/>
      <c r="H630" s="30"/>
      <c r="I630" s="30"/>
      <c r="J630" s="30"/>
      <c r="K630" s="30"/>
      <c r="L630" s="30"/>
    </row>
    <row r="631" customFormat="false" ht="15.75" hidden="false" customHeight="false" outlineLevel="0" collapsed="false">
      <c r="B631" s="30"/>
      <c r="E631" s="30"/>
      <c r="F631" s="30"/>
      <c r="G631" s="30"/>
      <c r="H631" s="30"/>
      <c r="I631" s="30"/>
      <c r="J631" s="30"/>
      <c r="K631" s="30"/>
      <c r="L631" s="30"/>
    </row>
    <row r="632" customFormat="false" ht="15.75" hidden="false" customHeight="false" outlineLevel="0" collapsed="false">
      <c r="B632" s="30"/>
      <c r="E632" s="30"/>
      <c r="F632" s="30"/>
      <c r="G632" s="30"/>
      <c r="H632" s="30"/>
      <c r="I632" s="30"/>
      <c r="J632" s="30"/>
      <c r="K632" s="30"/>
      <c r="L632" s="30"/>
    </row>
    <row r="633" customFormat="false" ht="15.75" hidden="false" customHeight="false" outlineLevel="0" collapsed="false">
      <c r="B633" s="30"/>
      <c r="E633" s="30"/>
      <c r="F633" s="30"/>
      <c r="G633" s="30"/>
      <c r="H633" s="30"/>
      <c r="I633" s="30"/>
      <c r="J633" s="30"/>
      <c r="K633" s="30"/>
      <c r="L633" s="30"/>
    </row>
    <row r="634" customFormat="false" ht="15.75" hidden="false" customHeight="false" outlineLevel="0" collapsed="false">
      <c r="B634" s="30"/>
      <c r="E634" s="30"/>
      <c r="F634" s="30"/>
      <c r="G634" s="30"/>
      <c r="H634" s="30"/>
      <c r="I634" s="30"/>
      <c r="J634" s="30"/>
      <c r="K634" s="30"/>
      <c r="L634" s="30"/>
    </row>
    <row r="635" customFormat="false" ht="15.75" hidden="false" customHeight="false" outlineLevel="0" collapsed="false">
      <c r="B635" s="30"/>
      <c r="E635" s="30"/>
      <c r="F635" s="30"/>
      <c r="G635" s="30"/>
      <c r="H635" s="30"/>
      <c r="I635" s="30"/>
      <c r="J635" s="30"/>
      <c r="K635" s="30"/>
      <c r="L635" s="30"/>
    </row>
    <row r="636" customFormat="false" ht="15.75" hidden="false" customHeight="false" outlineLevel="0" collapsed="false">
      <c r="B636" s="30"/>
      <c r="E636" s="30"/>
      <c r="F636" s="30"/>
      <c r="G636" s="30"/>
      <c r="H636" s="30"/>
      <c r="I636" s="30"/>
      <c r="J636" s="30"/>
      <c r="K636" s="30"/>
      <c r="L636" s="30"/>
    </row>
    <row r="637" customFormat="false" ht="15.75" hidden="false" customHeight="false" outlineLevel="0" collapsed="false">
      <c r="B637" s="30"/>
      <c r="E637" s="30"/>
      <c r="F637" s="30"/>
      <c r="G637" s="30"/>
      <c r="H637" s="30"/>
      <c r="I637" s="30"/>
      <c r="J637" s="30"/>
      <c r="K637" s="30"/>
      <c r="L637" s="30"/>
    </row>
    <row r="638" customFormat="false" ht="15.75" hidden="false" customHeight="false" outlineLevel="0" collapsed="false">
      <c r="B638" s="30"/>
      <c r="E638" s="30"/>
      <c r="F638" s="30"/>
      <c r="G638" s="30"/>
      <c r="H638" s="30"/>
      <c r="I638" s="30"/>
      <c r="J638" s="30"/>
      <c r="K638" s="30"/>
      <c r="L638" s="30"/>
    </row>
    <row r="639" customFormat="false" ht="15.75" hidden="false" customHeight="false" outlineLevel="0" collapsed="false">
      <c r="B639" s="30"/>
      <c r="E639" s="30"/>
      <c r="F639" s="30"/>
      <c r="G639" s="30"/>
      <c r="H639" s="30"/>
      <c r="I639" s="30"/>
      <c r="J639" s="30"/>
      <c r="K639" s="30"/>
      <c r="L639" s="30"/>
    </row>
    <row r="640" customFormat="false" ht="15.75" hidden="false" customHeight="false" outlineLevel="0" collapsed="false">
      <c r="B640" s="30"/>
      <c r="E640" s="30"/>
      <c r="F640" s="30"/>
      <c r="G640" s="30"/>
      <c r="H640" s="30"/>
      <c r="I640" s="30"/>
      <c r="J640" s="30"/>
      <c r="K640" s="30"/>
      <c r="L640" s="30"/>
    </row>
    <row r="641" customFormat="false" ht="15.75" hidden="false" customHeight="false" outlineLevel="0" collapsed="false">
      <c r="B641" s="30"/>
      <c r="E641" s="30"/>
      <c r="F641" s="30"/>
      <c r="G641" s="30"/>
      <c r="H641" s="30"/>
      <c r="I641" s="30"/>
      <c r="J641" s="30"/>
      <c r="K641" s="30"/>
      <c r="L641" s="30"/>
    </row>
    <row r="642" customFormat="false" ht="15.75" hidden="false" customHeight="false" outlineLevel="0" collapsed="false">
      <c r="B642" s="30"/>
      <c r="E642" s="30"/>
      <c r="F642" s="30"/>
      <c r="G642" s="30"/>
      <c r="H642" s="30"/>
      <c r="I642" s="30"/>
      <c r="J642" s="30"/>
      <c r="K642" s="30"/>
      <c r="L642" s="30"/>
    </row>
    <row r="643" customFormat="false" ht="15.75" hidden="false" customHeight="false" outlineLevel="0" collapsed="false">
      <c r="B643" s="30"/>
      <c r="E643" s="30"/>
      <c r="F643" s="30"/>
      <c r="G643" s="30"/>
      <c r="H643" s="30"/>
      <c r="I643" s="30"/>
      <c r="J643" s="30"/>
      <c r="K643" s="30"/>
      <c r="L643" s="30"/>
    </row>
    <row r="644" customFormat="false" ht="15.75" hidden="false" customHeight="false" outlineLevel="0" collapsed="false">
      <c r="B644" s="30"/>
      <c r="E644" s="30"/>
      <c r="F644" s="30"/>
      <c r="G644" s="30"/>
      <c r="H644" s="30"/>
      <c r="I644" s="30"/>
      <c r="J644" s="30"/>
      <c r="K644" s="30"/>
      <c r="L644" s="30"/>
    </row>
    <row r="645" customFormat="false" ht="15.75" hidden="false" customHeight="false" outlineLevel="0" collapsed="false">
      <c r="B645" s="30"/>
      <c r="E645" s="30"/>
      <c r="F645" s="30"/>
      <c r="G645" s="30"/>
      <c r="H645" s="30"/>
      <c r="I645" s="30"/>
      <c r="J645" s="30"/>
      <c r="K645" s="30"/>
      <c r="L645" s="30"/>
    </row>
    <row r="646" customFormat="false" ht="15.75" hidden="false" customHeight="false" outlineLevel="0" collapsed="false">
      <c r="B646" s="30"/>
      <c r="E646" s="30"/>
      <c r="F646" s="30"/>
      <c r="G646" s="30"/>
      <c r="H646" s="30"/>
      <c r="I646" s="30"/>
      <c r="J646" s="30"/>
      <c r="K646" s="30"/>
      <c r="L646" s="30"/>
    </row>
    <row r="647" customFormat="false" ht="15.75" hidden="false" customHeight="false" outlineLevel="0" collapsed="false">
      <c r="B647" s="30"/>
      <c r="E647" s="30"/>
      <c r="F647" s="30"/>
      <c r="G647" s="30"/>
      <c r="H647" s="30"/>
      <c r="I647" s="30"/>
      <c r="J647" s="30"/>
      <c r="K647" s="30"/>
      <c r="L647" s="30"/>
    </row>
    <row r="648" customFormat="false" ht="15.75" hidden="false" customHeight="false" outlineLevel="0" collapsed="false">
      <c r="B648" s="30"/>
      <c r="E648" s="30"/>
      <c r="F648" s="30"/>
      <c r="G648" s="30"/>
      <c r="H648" s="30"/>
      <c r="I648" s="30"/>
      <c r="J648" s="30"/>
      <c r="K648" s="30"/>
      <c r="L648" s="30"/>
    </row>
    <row r="649" customFormat="false" ht="15.75" hidden="false" customHeight="false" outlineLevel="0" collapsed="false">
      <c r="B649" s="30"/>
      <c r="E649" s="30"/>
      <c r="F649" s="30"/>
      <c r="G649" s="30"/>
      <c r="H649" s="30"/>
      <c r="I649" s="30"/>
      <c r="J649" s="30"/>
      <c r="K649" s="30"/>
      <c r="L649" s="30"/>
    </row>
    <row r="650" customFormat="false" ht="15.75" hidden="false" customHeight="false" outlineLevel="0" collapsed="false">
      <c r="B650" s="30"/>
      <c r="E650" s="30"/>
      <c r="F650" s="30"/>
      <c r="G650" s="30"/>
      <c r="H650" s="30"/>
      <c r="I650" s="30"/>
      <c r="J650" s="30"/>
      <c r="K650" s="30"/>
      <c r="L650" s="30"/>
    </row>
    <row r="651" customFormat="false" ht="15.75" hidden="false" customHeight="false" outlineLevel="0" collapsed="false">
      <c r="B651" s="30"/>
      <c r="E651" s="30"/>
      <c r="F651" s="30"/>
      <c r="G651" s="30"/>
      <c r="H651" s="30"/>
      <c r="I651" s="30"/>
      <c r="J651" s="30"/>
      <c r="K651" s="30"/>
      <c r="L651" s="30"/>
    </row>
    <row r="652" customFormat="false" ht="15.75" hidden="false" customHeight="false" outlineLevel="0" collapsed="false">
      <c r="B652" s="30"/>
      <c r="E652" s="30"/>
      <c r="F652" s="30"/>
      <c r="G652" s="30"/>
      <c r="H652" s="30"/>
      <c r="I652" s="30"/>
      <c r="J652" s="30"/>
      <c r="K652" s="30"/>
      <c r="L652" s="30"/>
    </row>
    <row r="653" customFormat="false" ht="15.75" hidden="false" customHeight="false" outlineLevel="0" collapsed="false">
      <c r="B653" s="30"/>
      <c r="E653" s="30"/>
      <c r="F653" s="30"/>
      <c r="G653" s="30"/>
      <c r="H653" s="30"/>
      <c r="I653" s="30"/>
      <c r="J653" s="30"/>
      <c r="K653" s="30"/>
      <c r="L653" s="30"/>
    </row>
    <row r="654" customFormat="false" ht="15.75" hidden="false" customHeight="false" outlineLevel="0" collapsed="false">
      <c r="B654" s="30"/>
      <c r="E654" s="30"/>
      <c r="F654" s="30"/>
      <c r="G654" s="30"/>
      <c r="H654" s="30"/>
      <c r="I654" s="30"/>
      <c r="J654" s="30"/>
      <c r="K654" s="30"/>
      <c r="L654" s="30"/>
    </row>
    <row r="655" customFormat="false" ht="15.75" hidden="false" customHeight="false" outlineLevel="0" collapsed="false">
      <c r="B655" s="30"/>
      <c r="E655" s="30"/>
      <c r="F655" s="30"/>
      <c r="G655" s="30"/>
      <c r="H655" s="30"/>
      <c r="I655" s="30"/>
      <c r="J655" s="30"/>
      <c r="K655" s="30"/>
      <c r="L655" s="30"/>
    </row>
    <row r="656" customFormat="false" ht="15.75" hidden="false" customHeight="false" outlineLevel="0" collapsed="false">
      <c r="B656" s="30"/>
      <c r="E656" s="30"/>
      <c r="F656" s="30"/>
      <c r="G656" s="30"/>
      <c r="H656" s="30"/>
      <c r="I656" s="30"/>
      <c r="J656" s="30"/>
      <c r="K656" s="30"/>
      <c r="L656" s="30"/>
    </row>
    <row r="657" customFormat="false" ht="15.75" hidden="false" customHeight="false" outlineLevel="0" collapsed="false">
      <c r="B657" s="30"/>
      <c r="E657" s="30"/>
      <c r="F657" s="30"/>
      <c r="G657" s="30"/>
      <c r="H657" s="30"/>
      <c r="I657" s="30"/>
      <c r="J657" s="30"/>
      <c r="K657" s="30"/>
      <c r="L657" s="30"/>
    </row>
    <row r="658" customFormat="false" ht="15.75" hidden="false" customHeight="false" outlineLevel="0" collapsed="false">
      <c r="B658" s="30"/>
      <c r="E658" s="30"/>
      <c r="F658" s="30"/>
      <c r="G658" s="30"/>
      <c r="H658" s="30"/>
      <c r="I658" s="30"/>
      <c r="J658" s="30"/>
      <c r="K658" s="30"/>
      <c r="L658" s="30"/>
    </row>
    <row r="659" customFormat="false" ht="15.75" hidden="false" customHeight="false" outlineLevel="0" collapsed="false">
      <c r="B659" s="30"/>
      <c r="E659" s="30"/>
      <c r="F659" s="30"/>
      <c r="G659" s="30"/>
      <c r="H659" s="30"/>
      <c r="I659" s="30"/>
      <c r="J659" s="30"/>
      <c r="K659" s="30"/>
      <c r="L659" s="30"/>
    </row>
    <row r="660" customFormat="false" ht="15.75" hidden="false" customHeight="false" outlineLevel="0" collapsed="false">
      <c r="B660" s="30"/>
      <c r="E660" s="30"/>
      <c r="F660" s="30"/>
      <c r="G660" s="30"/>
      <c r="H660" s="30"/>
      <c r="I660" s="30"/>
      <c r="J660" s="30"/>
      <c r="K660" s="30"/>
      <c r="L660" s="30"/>
    </row>
    <row r="661" customFormat="false" ht="15.75" hidden="false" customHeight="false" outlineLevel="0" collapsed="false">
      <c r="B661" s="30"/>
      <c r="E661" s="30"/>
      <c r="F661" s="30"/>
      <c r="G661" s="30"/>
      <c r="H661" s="30"/>
      <c r="I661" s="30"/>
      <c r="J661" s="30"/>
      <c r="K661" s="30"/>
      <c r="L661" s="30"/>
    </row>
    <row r="662" customFormat="false" ht="15.75" hidden="false" customHeight="false" outlineLevel="0" collapsed="false">
      <c r="B662" s="30"/>
      <c r="E662" s="30"/>
      <c r="F662" s="30"/>
      <c r="G662" s="30"/>
      <c r="H662" s="30"/>
      <c r="I662" s="30"/>
      <c r="J662" s="30"/>
      <c r="K662" s="30"/>
      <c r="L662" s="30"/>
    </row>
    <row r="663" customFormat="false" ht="15.75" hidden="false" customHeight="false" outlineLevel="0" collapsed="false">
      <c r="B663" s="30"/>
      <c r="E663" s="30"/>
      <c r="F663" s="30"/>
      <c r="G663" s="30"/>
      <c r="H663" s="30"/>
      <c r="I663" s="30"/>
      <c r="J663" s="30"/>
      <c r="K663" s="30"/>
      <c r="L663" s="30"/>
    </row>
    <row r="664" customFormat="false" ht="15.75" hidden="false" customHeight="false" outlineLevel="0" collapsed="false">
      <c r="B664" s="30"/>
      <c r="E664" s="30"/>
      <c r="F664" s="30"/>
      <c r="G664" s="30"/>
      <c r="H664" s="30"/>
      <c r="I664" s="30"/>
      <c r="J664" s="30"/>
      <c r="K664" s="30"/>
      <c r="L664" s="30"/>
    </row>
    <row r="665" customFormat="false" ht="15.75" hidden="false" customHeight="false" outlineLevel="0" collapsed="false">
      <c r="B665" s="30"/>
      <c r="E665" s="30"/>
      <c r="F665" s="30"/>
      <c r="G665" s="30"/>
      <c r="H665" s="30"/>
      <c r="I665" s="30"/>
      <c r="J665" s="30"/>
      <c r="K665" s="30"/>
      <c r="L665" s="30"/>
    </row>
    <row r="666" customFormat="false" ht="15.75" hidden="false" customHeight="false" outlineLevel="0" collapsed="false">
      <c r="B666" s="30"/>
      <c r="E666" s="30"/>
      <c r="F666" s="30"/>
      <c r="G666" s="30"/>
      <c r="H666" s="30"/>
      <c r="I666" s="30"/>
      <c r="J666" s="30"/>
      <c r="K666" s="30"/>
      <c r="L666" s="30"/>
    </row>
    <row r="667" customFormat="false" ht="15.75" hidden="false" customHeight="false" outlineLevel="0" collapsed="false">
      <c r="B667" s="30"/>
      <c r="E667" s="30"/>
      <c r="F667" s="30"/>
      <c r="G667" s="30"/>
      <c r="H667" s="30"/>
      <c r="I667" s="30"/>
      <c r="J667" s="30"/>
      <c r="K667" s="30"/>
      <c r="L667" s="30"/>
    </row>
    <row r="668" customFormat="false" ht="15.75" hidden="false" customHeight="false" outlineLevel="0" collapsed="false">
      <c r="B668" s="30"/>
      <c r="E668" s="30"/>
      <c r="F668" s="30"/>
      <c r="G668" s="30"/>
      <c r="H668" s="30"/>
      <c r="I668" s="30"/>
      <c r="J668" s="30"/>
      <c r="K668" s="30"/>
      <c r="L668" s="30"/>
    </row>
    <row r="669" customFormat="false" ht="15.75" hidden="false" customHeight="false" outlineLevel="0" collapsed="false">
      <c r="B669" s="30"/>
      <c r="E669" s="30"/>
      <c r="F669" s="30"/>
      <c r="G669" s="30"/>
      <c r="H669" s="30"/>
      <c r="I669" s="30"/>
      <c r="J669" s="30"/>
      <c r="K669" s="30"/>
      <c r="L669" s="30"/>
    </row>
    <row r="670" customFormat="false" ht="15.75" hidden="false" customHeight="false" outlineLevel="0" collapsed="false">
      <c r="B670" s="30"/>
      <c r="E670" s="30"/>
      <c r="F670" s="30"/>
      <c r="G670" s="30"/>
      <c r="H670" s="30"/>
      <c r="I670" s="30"/>
      <c r="J670" s="30"/>
      <c r="K670" s="30"/>
      <c r="L670" s="30"/>
    </row>
    <row r="671" customFormat="false" ht="15.75" hidden="false" customHeight="false" outlineLevel="0" collapsed="false">
      <c r="B671" s="30"/>
      <c r="E671" s="30"/>
      <c r="F671" s="30"/>
      <c r="G671" s="30"/>
      <c r="H671" s="30"/>
      <c r="I671" s="30"/>
      <c r="J671" s="30"/>
      <c r="K671" s="30"/>
      <c r="L671" s="30"/>
    </row>
    <row r="672" customFormat="false" ht="15.75" hidden="false" customHeight="false" outlineLevel="0" collapsed="false">
      <c r="B672" s="30"/>
      <c r="E672" s="30"/>
      <c r="F672" s="30"/>
      <c r="G672" s="30"/>
      <c r="H672" s="30"/>
      <c r="I672" s="30"/>
      <c r="J672" s="30"/>
      <c r="K672" s="30"/>
      <c r="L672" s="30"/>
    </row>
    <row r="673" customFormat="false" ht="15.75" hidden="false" customHeight="false" outlineLevel="0" collapsed="false">
      <c r="B673" s="30"/>
      <c r="E673" s="30"/>
      <c r="F673" s="30"/>
      <c r="G673" s="30"/>
      <c r="H673" s="30"/>
      <c r="I673" s="30"/>
      <c r="J673" s="30"/>
      <c r="K673" s="30"/>
      <c r="L673" s="30"/>
    </row>
    <row r="674" customFormat="false" ht="15.75" hidden="false" customHeight="false" outlineLevel="0" collapsed="false">
      <c r="B674" s="30"/>
      <c r="E674" s="30"/>
      <c r="F674" s="30"/>
      <c r="G674" s="30"/>
      <c r="H674" s="30"/>
      <c r="I674" s="30"/>
      <c r="J674" s="30"/>
      <c r="K674" s="30"/>
      <c r="L674" s="30"/>
    </row>
    <row r="675" customFormat="false" ht="15.75" hidden="false" customHeight="false" outlineLevel="0" collapsed="false">
      <c r="B675" s="30"/>
      <c r="E675" s="30"/>
      <c r="F675" s="30"/>
      <c r="G675" s="30"/>
      <c r="H675" s="30"/>
      <c r="I675" s="30"/>
      <c r="J675" s="30"/>
      <c r="K675" s="30"/>
      <c r="L675" s="30"/>
    </row>
    <row r="676" customFormat="false" ht="15.75" hidden="false" customHeight="false" outlineLevel="0" collapsed="false">
      <c r="B676" s="30"/>
      <c r="E676" s="30"/>
      <c r="F676" s="30"/>
      <c r="G676" s="30"/>
      <c r="H676" s="30"/>
      <c r="I676" s="30"/>
      <c r="J676" s="30"/>
      <c r="K676" s="30"/>
      <c r="L676" s="30"/>
    </row>
    <row r="677" customFormat="false" ht="15.75" hidden="false" customHeight="false" outlineLevel="0" collapsed="false">
      <c r="B677" s="30"/>
      <c r="E677" s="30"/>
      <c r="F677" s="30"/>
      <c r="G677" s="30"/>
      <c r="H677" s="30"/>
      <c r="I677" s="30"/>
      <c r="J677" s="30"/>
      <c r="K677" s="30"/>
      <c r="L677" s="30"/>
    </row>
    <row r="678" customFormat="false" ht="15.75" hidden="false" customHeight="false" outlineLevel="0" collapsed="false">
      <c r="B678" s="30"/>
      <c r="E678" s="30"/>
      <c r="F678" s="30"/>
      <c r="G678" s="30"/>
      <c r="H678" s="30"/>
      <c r="I678" s="30"/>
      <c r="J678" s="30"/>
      <c r="K678" s="30"/>
      <c r="L678" s="30"/>
    </row>
    <row r="679" customFormat="false" ht="15.75" hidden="false" customHeight="false" outlineLevel="0" collapsed="false">
      <c r="B679" s="30"/>
      <c r="E679" s="30"/>
      <c r="F679" s="30"/>
      <c r="G679" s="30"/>
      <c r="H679" s="30"/>
      <c r="I679" s="30"/>
      <c r="J679" s="30"/>
      <c r="K679" s="30"/>
      <c r="L679" s="30"/>
    </row>
    <row r="680" customFormat="false" ht="15.75" hidden="false" customHeight="false" outlineLevel="0" collapsed="false">
      <c r="B680" s="30"/>
      <c r="E680" s="30"/>
      <c r="F680" s="30"/>
      <c r="G680" s="30"/>
      <c r="H680" s="30"/>
      <c r="I680" s="30"/>
      <c r="J680" s="30"/>
      <c r="K680" s="30"/>
      <c r="L680" s="30"/>
    </row>
    <row r="681" customFormat="false" ht="15.75" hidden="false" customHeight="false" outlineLevel="0" collapsed="false">
      <c r="B681" s="30"/>
      <c r="E681" s="30"/>
      <c r="F681" s="30"/>
      <c r="G681" s="30"/>
      <c r="H681" s="30"/>
      <c r="I681" s="30"/>
      <c r="J681" s="30"/>
      <c r="K681" s="30"/>
      <c r="L681" s="30"/>
    </row>
    <row r="682" customFormat="false" ht="15.75" hidden="false" customHeight="false" outlineLevel="0" collapsed="false">
      <c r="B682" s="30"/>
      <c r="E682" s="30"/>
      <c r="F682" s="30"/>
      <c r="G682" s="30"/>
      <c r="H682" s="30"/>
      <c r="I682" s="30"/>
      <c r="J682" s="30"/>
      <c r="K682" s="30"/>
      <c r="L682" s="30"/>
    </row>
    <row r="683" customFormat="false" ht="15.75" hidden="false" customHeight="false" outlineLevel="0" collapsed="false">
      <c r="B683" s="30"/>
      <c r="E683" s="30"/>
      <c r="F683" s="30"/>
      <c r="G683" s="30"/>
      <c r="H683" s="30"/>
      <c r="I683" s="30"/>
      <c r="J683" s="30"/>
      <c r="K683" s="30"/>
      <c r="L683" s="30"/>
    </row>
    <row r="684" customFormat="false" ht="15.75" hidden="false" customHeight="false" outlineLevel="0" collapsed="false">
      <c r="B684" s="30"/>
      <c r="E684" s="30"/>
      <c r="F684" s="30"/>
      <c r="G684" s="30"/>
      <c r="H684" s="30"/>
      <c r="I684" s="30"/>
      <c r="J684" s="30"/>
      <c r="K684" s="30"/>
      <c r="L684" s="30"/>
    </row>
    <row r="685" customFormat="false" ht="15.75" hidden="false" customHeight="false" outlineLevel="0" collapsed="false">
      <c r="B685" s="30"/>
      <c r="E685" s="30"/>
      <c r="F685" s="30"/>
      <c r="G685" s="30"/>
      <c r="H685" s="30"/>
      <c r="I685" s="30"/>
      <c r="J685" s="30"/>
      <c r="K685" s="30"/>
      <c r="L685" s="30"/>
    </row>
    <row r="686" customFormat="false" ht="15.75" hidden="false" customHeight="false" outlineLevel="0" collapsed="false">
      <c r="B686" s="30"/>
      <c r="E686" s="30"/>
      <c r="F686" s="30"/>
      <c r="G686" s="30"/>
      <c r="H686" s="30"/>
      <c r="I686" s="30"/>
      <c r="J686" s="30"/>
      <c r="K686" s="30"/>
      <c r="L686" s="30"/>
    </row>
    <row r="687" customFormat="false" ht="15.75" hidden="false" customHeight="false" outlineLevel="0" collapsed="false">
      <c r="B687" s="30"/>
      <c r="E687" s="30"/>
      <c r="F687" s="30"/>
      <c r="G687" s="30"/>
      <c r="H687" s="30"/>
      <c r="I687" s="30"/>
      <c r="J687" s="30"/>
      <c r="K687" s="30"/>
      <c r="L687" s="30"/>
    </row>
    <row r="688" customFormat="false" ht="15.75" hidden="false" customHeight="false" outlineLevel="0" collapsed="false">
      <c r="B688" s="30"/>
      <c r="E688" s="30"/>
      <c r="F688" s="30"/>
      <c r="G688" s="30"/>
      <c r="H688" s="30"/>
      <c r="I688" s="30"/>
      <c r="J688" s="30"/>
      <c r="K688" s="30"/>
      <c r="L688" s="30"/>
    </row>
    <row r="689" customFormat="false" ht="15.75" hidden="false" customHeight="false" outlineLevel="0" collapsed="false">
      <c r="B689" s="30"/>
      <c r="E689" s="30"/>
      <c r="F689" s="30"/>
      <c r="G689" s="30"/>
      <c r="H689" s="30"/>
      <c r="I689" s="30"/>
      <c r="J689" s="30"/>
      <c r="K689" s="30"/>
      <c r="L689" s="30"/>
    </row>
    <row r="690" customFormat="false" ht="15.75" hidden="false" customHeight="false" outlineLevel="0" collapsed="false">
      <c r="B690" s="30"/>
      <c r="E690" s="30"/>
      <c r="F690" s="30"/>
      <c r="G690" s="30"/>
      <c r="H690" s="30"/>
      <c r="I690" s="30"/>
      <c r="J690" s="30"/>
      <c r="K690" s="30"/>
      <c r="L690" s="30"/>
    </row>
    <row r="691" customFormat="false" ht="15.75" hidden="false" customHeight="false" outlineLevel="0" collapsed="false">
      <c r="B691" s="30"/>
      <c r="E691" s="30"/>
      <c r="F691" s="30"/>
      <c r="G691" s="30"/>
      <c r="H691" s="30"/>
      <c r="I691" s="30"/>
      <c r="J691" s="30"/>
      <c r="K691" s="30"/>
      <c r="L691" s="30"/>
    </row>
    <row r="692" customFormat="false" ht="15.75" hidden="false" customHeight="false" outlineLevel="0" collapsed="false">
      <c r="B692" s="30"/>
      <c r="E692" s="30"/>
      <c r="F692" s="30"/>
      <c r="G692" s="30"/>
      <c r="H692" s="30"/>
      <c r="I692" s="30"/>
      <c r="J692" s="30"/>
      <c r="K692" s="30"/>
      <c r="L692" s="30"/>
    </row>
    <row r="693" customFormat="false" ht="15.75" hidden="false" customHeight="false" outlineLevel="0" collapsed="false">
      <c r="B693" s="30"/>
      <c r="E693" s="30"/>
      <c r="F693" s="30"/>
      <c r="G693" s="30"/>
      <c r="H693" s="30"/>
      <c r="I693" s="30"/>
      <c r="J693" s="30"/>
      <c r="K693" s="30"/>
      <c r="L693" s="30"/>
    </row>
    <row r="694" customFormat="false" ht="15.75" hidden="false" customHeight="false" outlineLevel="0" collapsed="false">
      <c r="B694" s="30"/>
      <c r="E694" s="30"/>
      <c r="F694" s="30"/>
      <c r="G694" s="30"/>
      <c r="H694" s="30"/>
      <c r="I694" s="30"/>
      <c r="J694" s="30"/>
      <c r="K694" s="30"/>
      <c r="L694" s="30"/>
    </row>
    <row r="695" customFormat="false" ht="15.75" hidden="false" customHeight="false" outlineLevel="0" collapsed="false">
      <c r="B695" s="30"/>
      <c r="E695" s="30"/>
      <c r="F695" s="30"/>
      <c r="G695" s="30"/>
      <c r="H695" s="30"/>
      <c r="I695" s="30"/>
      <c r="J695" s="30"/>
      <c r="K695" s="30"/>
      <c r="L695" s="30"/>
    </row>
    <row r="696" customFormat="false" ht="15.75" hidden="false" customHeight="false" outlineLevel="0" collapsed="false">
      <c r="B696" s="30"/>
      <c r="E696" s="30"/>
      <c r="F696" s="30"/>
      <c r="G696" s="30"/>
      <c r="H696" s="30"/>
      <c r="I696" s="30"/>
      <c r="J696" s="30"/>
      <c r="K696" s="30"/>
      <c r="L696" s="30"/>
    </row>
    <row r="697" customFormat="false" ht="15.75" hidden="false" customHeight="false" outlineLevel="0" collapsed="false">
      <c r="B697" s="30"/>
      <c r="E697" s="30"/>
      <c r="F697" s="30"/>
      <c r="G697" s="30"/>
      <c r="H697" s="30"/>
      <c r="I697" s="30"/>
      <c r="J697" s="30"/>
      <c r="K697" s="30"/>
      <c r="L697" s="30"/>
    </row>
    <row r="698" customFormat="false" ht="15.75" hidden="false" customHeight="false" outlineLevel="0" collapsed="false">
      <c r="B698" s="30"/>
      <c r="E698" s="30"/>
      <c r="F698" s="30"/>
      <c r="G698" s="30"/>
      <c r="H698" s="30"/>
      <c r="I698" s="30"/>
      <c r="J698" s="30"/>
      <c r="K698" s="30"/>
      <c r="L698" s="30"/>
    </row>
    <row r="699" customFormat="false" ht="15.75" hidden="false" customHeight="false" outlineLevel="0" collapsed="false">
      <c r="B699" s="30"/>
      <c r="E699" s="30"/>
      <c r="F699" s="30"/>
      <c r="G699" s="30"/>
      <c r="H699" s="30"/>
      <c r="I699" s="30"/>
      <c r="J699" s="30"/>
      <c r="K699" s="30"/>
      <c r="L699" s="30"/>
    </row>
    <row r="700" customFormat="false" ht="15.75" hidden="false" customHeight="false" outlineLevel="0" collapsed="false">
      <c r="B700" s="30"/>
      <c r="E700" s="30"/>
      <c r="F700" s="30"/>
      <c r="G700" s="30"/>
      <c r="H700" s="30"/>
      <c r="I700" s="30"/>
      <c r="J700" s="30"/>
      <c r="K700" s="30"/>
      <c r="L700" s="30"/>
    </row>
    <row r="701" customFormat="false" ht="15.75" hidden="false" customHeight="false" outlineLevel="0" collapsed="false">
      <c r="B701" s="30"/>
      <c r="E701" s="30"/>
      <c r="F701" s="30"/>
      <c r="G701" s="30"/>
      <c r="H701" s="30"/>
      <c r="I701" s="30"/>
      <c r="J701" s="30"/>
      <c r="K701" s="30"/>
      <c r="L701" s="30"/>
    </row>
    <row r="702" customFormat="false" ht="15.75" hidden="false" customHeight="false" outlineLevel="0" collapsed="false">
      <c r="B702" s="30"/>
      <c r="E702" s="30"/>
      <c r="F702" s="30"/>
      <c r="G702" s="30"/>
      <c r="H702" s="30"/>
      <c r="I702" s="30"/>
      <c r="J702" s="30"/>
      <c r="K702" s="30"/>
      <c r="L702" s="30"/>
    </row>
    <row r="703" customFormat="false" ht="15.75" hidden="false" customHeight="false" outlineLevel="0" collapsed="false">
      <c r="B703" s="30"/>
      <c r="E703" s="30"/>
      <c r="F703" s="30"/>
      <c r="G703" s="30"/>
      <c r="H703" s="30"/>
      <c r="I703" s="30"/>
      <c r="J703" s="30"/>
      <c r="K703" s="30"/>
      <c r="L703" s="30"/>
    </row>
    <row r="704" customFormat="false" ht="15.75" hidden="false" customHeight="false" outlineLevel="0" collapsed="false">
      <c r="B704" s="30"/>
      <c r="E704" s="30"/>
      <c r="F704" s="30"/>
      <c r="G704" s="30"/>
      <c r="H704" s="30"/>
      <c r="I704" s="30"/>
      <c r="J704" s="30"/>
      <c r="K704" s="30"/>
      <c r="L704" s="30"/>
    </row>
    <row r="705" customFormat="false" ht="15.75" hidden="false" customHeight="false" outlineLevel="0" collapsed="false">
      <c r="B705" s="30"/>
      <c r="E705" s="30"/>
      <c r="F705" s="30"/>
      <c r="G705" s="30"/>
      <c r="H705" s="30"/>
      <c r="I705" s="30"/>
      <c r="J705" s="30"/>
      <c r="K705" s="30"/>
      <c r="L705" s="30"/>
    </row>
    <row r="706" customFormat="false" ht="15.75" hidden="false" customHeight="false" outlineLevel="0" collapsed="false">
      <c r="B706" s="30"/>
      <c r="E706" s="30"/>
      <c r="F706" s="30"/>
      <c r="G706" s="30"/>
      <c r="H706" s="30"/>
      <c r="I706" s="30"/>
      <c r="J706" s="30"/>
      <c r="K706" s="30"/>
      <c r="L706" s="30"/>
    </row>
    <row r="707" customFormat="false" ht="15.75" hidden="false" customHeight="false" outlineLevel="0" collapsed="false">
      <c r="B707" s="30"/>
      <c r="E707" s="30"/>
      <c r="F707" s="30"/>
      <c r="G707" s="30"/>
      <c r="H707" s="30"/>
      <c r="I707" s="30"/>
      <c r="J707" s="30"/>
      <c r="K707" s="30"/>
      <c r="L707" s="30"/>
    </row>
    <row r="708" customFormat="false" ht="15.75" hidden="false" customHeight="false" outlineLevel="0" collapsed="false">
      <c r="B708" s="30"/>
      <c r="E708" s="30"/>
      <c r="F708" s="30"/>
      <c r="G708" s="30"/>
      <c r="H708" s="30"/>
      <c r="I708" s="30"/>
      <c r="J708" s="30"/>
      <c r="K708" s="30"/>
      <c r="L708" s="30"/>
    </row>
    <row r="709" customFormat="false" ht="15.75" hidden="false" customHeight="false" outlineLevel="0" collapsed="false">
      <c r="B709" s="30"/>
      <c r="E709" s="30"/>
      <c r="F709" s="30"/>
      <c r="G709" s="30"/>
      <c r="H709" s="30"/>
      <c r="I709" s="30"/>
      <c r="J709" s="30"/>
      <c r="K709" s="30"/>
      <c r="L709" s="30"/>
    </row>
    <row r="710" customFormat="false" ht="15.75" hidden="false" customHeight="false" outlineLevel="0" collapsed="false">
      <c r="B710" s="30"/>
      <c r="E710" s="30"/>
      <c r="F710" s="30"/>
      <c r="G710" s="30"/>
      <c r="H710" s="30"/>
      <c r="I710" s="30"/>
      <c r="J710" s="30"/>
      <c r="K710" s="30"/>
      <c r="L710" s="30"/>
    </row>
    <row r="711" customFormat="false" ht="15.75" hidden="false" customHeight="false" outlineLevel="0" collapsed="false">
      <c r="B711" s="30"/>
      <c r="E711" s="30"/>
      <c r="F711" s="30"/>
      <c r="G711" s="30"/>
      <c r="H711" s="30"/>
      <c r="I711" s="30"/>
      <c r="J711" s="30"/>
      <c r="K711" s="30"/>
      <c r="L711" s="30"/>
    </row>
    <row r="712" customFormat="false" ht="15.75" hidden="false" customHeight="false" outlineLevel="0" collapsed="false">
      <c r="B712" s="30"/>
      <c r="E712" s="30"/>
      <c r="F712" s="30"/>
      <c r="G712" s="30"/>
      <c r="H712" s="30"/>
      <c r="I712" s="30"/>
      <c r="J712" s="30"/>
      <c r="K712" s="30"/>
      <c r="L712" s="30"/>
    </row>
    <row r="713" customFormat="false" ht="15.75" hidden="false" customHeight="false" outlineLevel="0" collapsed="false">
      <c r="B713" s="30"/>
      <c r="E713" s="30"/>
      <c r="F713" s="30"/>
      <c r="G713" s="30"/>
      <c r="H713" s="30"/>
      <c r="I713" s="30"/>
      <c r="J713" s="30"/>
      <c r="K713" s="30"/>
      <c r="L713" s="30"/>
    </row>
    <row r="714" customFormat="false" ht="15.75" hidden="false" customHeight="false" outlineLevel="0" collapsed="false">
      <c r="B714" s="30"/>
      <c r="E714" s="30"/>
      <c r="F714" s="30"/>
      <c r="G714" s="30"/>
      <c r="H714" s="30"/>
      <c r="I714" s="30"/>
      <c r="J714" s="30"/>
      <c r="K714" s="30"/>
      <c r="L714" s="30"/>
    </row>
    <row r="715" customFormat="false" ht="15.75" hidden="false" customHeight="false" outlineLevel="0" collapsed="false">
      <c r="B715" s="30"/>
      <c r="E715" s="30"/>
      <c r="F715" s="30"/>
      <c r="G715" s="30"/>
      <c r="H715" s="30"/>
      <c r="I715" s="30"/>
      <c r="J715" s="30"/>
      <c r="K715" s="30"/>
      <c r="L715" s="30"/>
    </row>
    <row r="716" customFormat="false" ht="15.75" hidden="false" customHeight="false" outlineLevel="0" collapsed="false">
      <c r="B716" s="30"/>
      <c r="E716" s="30"/>
      <c r="F716" s="30"/>
      <c r="G716" s="30"/>
      <c r="H716" s="30"/>
      <c r="I716" s="30"/>
      <c r="J716" s="30"/>
      <c r="K716" s="30"/>
      <c r="L716" s="30"/>
    </row>
    <row r="717" customFormat="false" ht="15.75" hidden="false" customHeight="false" outlineLevel="0" collapsed="false">
      <c r="B717" s="30"/>
      <c r="E717" s="30"/>
      <c r="F717" s="30"/>
      <c r="G717" s="30"/>
      <c r="H717" s="30"/>
      <c r="I717" s="30"/>
      <c r="J717" s="30"/>
      <c r="K717" s="30"/>
      <c r="L717" s="30"/>
    </row>
    <row r="718" customFormat="false" ht="15.75" hidden="false" customHeight="false" outlineLevel="0" collapsed="false">
      <c r="B718" s="30"/>
      <c r="E718" s="30"/>
      <c r="F718" s="30"/>
      <c r="G718" s="30"/>
      <c r="H718" s="30"/>
      <c r="I718" s="30"/>
      <c r="J718" s="30"/>
      <c r="K718" s="30"/>
      <c r="L718" s="30"/>
    </row>
    <row r="719" customFormat="false" ht="15.75" hidden="false" customHeight="false" outlineLevel="0" collapsed="false">
      <c r="B719" s="30"/>
      <c r="E719" s="30"/>
      <c r="F719" s="30"/>
      <c r="G719" s="30"/>
      <c r="H719" s="30"/>
      <c r="I719" s="30"/>
      <c r="J719" s="30"/>
      <c r="K719" s="30"/>
      <c r="L719" s="30"/>
    </row>
    <row r="720" customFormat="false" ht="15.75" hidden="false" customHeight="false" outlineLevel="0" collapsed="false">
      <c r="B720" s="30"/>
      <c r="E720" s="30"/>
      <c r="F720" s="30"/>
      <c r="G720" s="30"/>
      <c r="H720" s="30"/>
      <c r="I720" s="30"/>
      <c r="J720" s="30"/>
      <c r="K720" s="30"/>
      <c r="L720" s="30"/>
    </row>
    <row r="721" customFormat="false" ht="15.75" hidden="false" customHeight="false" outlineLevel="0" collapsed="false">
      <c r="B721" s="30"/>
      <c r="E721" s="30"/>
      <c r="F721" s="30"/>
      <c r="G721" s="30"/>
      <c r="H721" s="30"/>
      <c r="I721" s="30"/>
      <c r="J721" s="30"/>
      <c r="K721" s="30"/>
      <c r="L721" s="30"/>
    </row>
    <row r="722" customFormat="false" ht="15.75" hidden="false" customHeight="false" outlineLevel="0" collapsed="false">
      <c r="B722" s="30"/>
      <c r="E722" s="30"/>
      <c r="F722" s="30"/>
      <c r="G722" s="30"/>
      <c r="H722" s="30"/>
      <c r="I722" s="30"/>
      <c r="J722" s="30"/>
      <c r="K722" s="30"/>
      <c r="L722" s="30"/>
    </row>
    <row r="723" customFormat="false" ht="15.75" hidden="false" customHeight="false" outlineLevel="0" collapsed="false">
      <c r="B723" s="30"/>
      <c r="E723" s="30"/>
      <c r="F723" s="30"/>
      <c r="G723" s="30"/>
      <c r="H723" s="30"/>
      <c r="I723" s="30"/>
      <c r="J723" s="30"/>
      <c r="K723" s="30"/>
      <c r="L723" s="30"/>
    </row>
    <row r="724" customFormat="false" ht="15.75" hidden="false" customHeight="false" outlineLevel="0" collapsed="false">
      <c r="B724" s="30"/>
      <c r="E724" s="30"/>
      <c r="F724" s="30"/>
      <c r="G724" s="30"/>
      <c r="H724" s="30"/>
      <c r="I724" s="30"/>
      <c r="J724" s="30"/>
      <c r="K724" s="30"/>
      <c r="L724" s="30"/>
    </row>
    <row r="725" customFormat="false" ht="15.75" hidden="false" customHeight="false" outlineLevel="0" collapsed="false">
      <c r="B725" s="30"/>
      <c r="E725" s="30"/>
      <c r="F725" s="30"/>
      <c r="G725" s="30"/>
      <c r="H725" s="30"/>
      <c r="I725" s="30"/>
      <c r="J725" s="30"/>
      <c r="K725" s="30"/>
      <c r="L725" s="30"/>
    </row>
    <row r="726" customFormat="false" ht="15.75" hidden="false" customHeight="false" outlineLevel="0" collapsed="false">
      <c r="B726" s="30"/>
      <c r="E726" s="30"/>
      <c r="F726" s="30"/>
      <c r="G726" s="30"/>
      <c r="H726" s="30"/>
      <c r="I726" s="30"/>
      <c r="J726" s="30"/>
      <c r="K726" s="30"/>
      <c r="L726" s="30"/>
    </row>
    <row r="727" customFormat="false" ht="15.75" hidden="false" customHeight="false" outlineLevel="0" collapsed="false">
      <c r="B727" s="30"/>
      <c r="E727" s="30"/>
      <c r="F727" s="30"/>
      <c r="G727" s="30"/>
      <c r="H727" s="30"/>
      <c r="I727" s="30"/>
      <c r="J727" s="30"/>
      <c r="K727" s="30"/>
      <c r="L727" s="30"/>
    </row>
    <row r="728" customFormat="false" ht="15.75" hidden="false" customHeight="false" outlineLevel="0" collapsed="false">
      <c r="B728" s="30"/>
      <c r="E728" s="30"/>
      <c r="F728" s="30"/>
      <c r="G728" s="30"/>
      <c r="H728" s="30"/>
      <c r="I728" s="30"/>
      <c r="J728" s="30"/>
      <c r="K728" s="30"/>
      <c r="L728" s="30"/>
    </row>
    <row r="729" customFormat="false" ht="15.75" hidden="false" customHeight="false" outlineLevel="0" collapsed="false">
      <c r="B729" s="30"/>
      <c r="E729" s="30"/>
      <c r="F729" s="30"/>
      <c r="G729" s="30"/>
      <c r="H729" s="30"/>
      <c r="I729" s="30"/>
      <c r="J729" s="30"/>
      <c r="K729" s="30"/>
      <c r="L729" s="30"/>
    </row>
    <row r="730" customFormat="false" ht="15.75" hidden="false" customHeight="false" outlineLevel="0" collapsed="false">
      <c r="B730" s="30"/>
      <c r="E730" s="30"/>
      <c r="F730" s="30"/>
      <c r="G730" s="30"/>
      <c r="H730" s="30"/>
      <c r="I730" s="30"/>
      <c r="J730" s="30"/>
      <c r="K730" s="30"/>
      <c r="L730" s="30"/>
    </row>
    <row r="731" customFormat="false" ht="15.75" hidden="false" customHeight="false" outlineLevel="0" collapsed="false">
      <c r="B731" s="30"/>
      <c r="E731" s="30"/>
      <c r="F731" s="30"/>
      <c r="G731" s="30"/>
      <c r="H731" s="30"/>
      <c r="I731" s="30"/>
      <c r="J731" s="30"/>
      <c r="K731" s="30"/>
      <c r="L731" s="30"/>
    </row>
    <row r="732" customFormat="false" ht="15.75" hidden="false" customHeight="false" outlineLevel="0" collapsed="false">
      <c r="B732" s="30"/>
      <c r="E732" s="30"/>
      <c r="F732" s="30"/>
      <c r="G732" s="30"/>
      <c r="H732" s="30"/>
      <c r="I732" s="30"/>
      <c r="J732" s="30"/>
      <c r="K732" s="30"/>
      <c r="L732" s="30"/>
    </row>
    <row r="733" customFormat="false" ht="15.75" hidden="false" customHeight="false" outlineLevel="0" collapsed="false">
      <c r="B733" s="30"/>
      <c r="E733" s="30"/>
      <c r="F733" s="30"/>
      <c r="G733" s="30"/>
      <c r="H733" s="30"/>
      <c r="I733" s="30"/>
      <c r="J733" s="30"/>
      <c r="K733" s="30"/>
      <c r="L733" s="30"/>
    </row>
    <row r="734" customFormat="false" ht="15.75" hidden="false" customHeight="false" outlineLevel="0" collapsed="false">
      <c r="B734" s="30"/>
      <c r="E734" s="30"/>
      <c r="F734" s="30"/>
      <c r="G734" s="30"/>
      <c r="H734" s="30"/>
      <c r="I734" s="30"/>
      <c r="J734" s="30"/>
      <c r="K734" s="30"/>
      <c r="L734" s="30"/>
    </row>
    <row r="735" customFormat="false" ht="15.75" hidden="false" customHeight="false" outlineLevel="0" collapsed="false">
      <c r="B735" s="30"/>
      <c r="E735" s="30"/>
      <c r="F735" s="30"/>
      <c r="G735" s="30"/>
      <c r="H735" s="30"/>
      <c r="I735" s="30"/>
      <c r="J735" s="30"/>
      <c r="K735" s="30"/>
      <c r="L735" s="30"/>
    </row>
    <row r="736" customFormat="false" ht="15.75" hidden="false" customHeight="false" outlineLevel="0" collapsed="false">
      <c r="B736" s="30"/>
      <c r="E736" s="30"/>
      <c r="F736" s="30"/>
      <c r="G736" s="30"/>
      <c r="H736" s="30"/>
      <c r="I736" s="30"/>
      <c r="J736" s="30"/>
      <c r="K736" s="30"/>
      <c r="L736" s="30"/>
    </row>
    <row r="737" customFormat="false" ht="15.75" hidden="false" customHeight="false" outlineLevel="0" collapsed="false">
      <c r="B737" s="30"/>
      <c r="E737" s="30"/>
      <c r="F737" s="30"/>
      <c r="G737" s="30"/>
      <c r="H737" s="30"/>
      <c r="I737" s="30"/>
      <c r="J737" s="30"/>
      <c r="K737" s="30"/>
      <c r="L737" s="30"/>
    </row>
    <row r="738" customFormat="false" ht="15.75" hidden="false" customHeight="false" outlineLevel="0" collapsed="false">
      <c r="B738" s="30"/>
      <c r="E738" s="30"/>
      <c r="F738" s="30"/>
      <c r="G738" s="30"/>
      <c r="H738" s="30"/>
      <c r="I738" s="30"/>
      <c r="J738" s="30"/>
      <c r="K738" s="30"/>
      <c r="L738" s="30"/>
    </row>
    <row r="739" customFormat="false" ht="15.75" hidden="false" customHeight="false" outlineLevel="0" collapsed="false">
      <c r="B739" s="30"/>
      <c r="E739" s="30"/>
      <c r="F739" s="30"/>
      <c r="G739" s="30"/>
      <c r="H739" s="30"/>
      <c r="I739" s="30"/>
      <c r="J739" s="30"/>
      <c r="K739" s="30"/>
      <c r="L739" s="30"/>
    </row>
    <row r="740" customFormat="false" ht="15.75" hidden="false" customHeight="false" outlineLevel="0" collapsed="false">
      <c r="B740" s="30"/>
      <c r="E740" s="30"/>
      <c r="F740" s="30"/>
      <c r="G740" s="30"/>
      <c r="H740" s="30"/>
      <c r="I740" s="30"/>
      <c r="J740" s="30"/>
      <c r="K740" s="30"/>
      <c r="L740" s="30"/>
    </row>
    <row r="741" customFormat="false" ht="15.75" hidden="false" customHeight="false" outlineLevel="0" collapsed="false">
      <c r="B741" s="30"/>
      <c r="E741" s="30"/>
      <c r="F741" s="30"/>
      <c r="G741" s="30"/>
      <c r="H741" s="30"/>
      <c r="I741" s="30"/>
      <c r="J741" s="30"/>
      <c r="K741" s="30"/>
      <c r="L741" s="30"/>
    </row>
    <row r="742" customFormat="false" ht="15.75" hidden="false" customHeight="false" outlineLevel="0" collapsed="false">
      <c r="B742" s="30"/>
      <c r="E742" s="30"/>
      <c r="F742" s="30"/>
      <c r="G742" s="30"/>
      <c r="H742" s="30"/>
      <c r="I742" s="30"/>
      <c r="J742" s="30"/>
      <c r="K742" s="30"/>
      <c r="L742" s="30"/>
    </row>
    <row r="743" customFormat="false" ht="15.75" hidden="false" customHeight="false" outlineLevel="0" collapsed="false">
      <c r="B743" s="30"/>
      <c r="E743" s="30"/>
      <c r="F743" s="30"/>
      <c r="G743" s="30"/>
      <c r="H743" s="30"/>
      <c r="I743" s="30"/>
      <c r="J743" s="30"/>
      <c r="K743" s="30"/>
      <c r="L743" s="30"/>
    </row>
    <row r="744" customFormat="false" ht="15.75" hidden="false" customHeight="false" outlineLevel="0" collapsed="false">
      <c r="B744" s="30"/>
      <c r="E744" s="30"/>
      <c r="F744" s="30"/>
      <c r="G744" s="30"/>
      <c r="H744" s="30"/>
      <c r="I744" s="30"/>
      <c r="J744" s="30"/>
      <c r="K744" s="30"/>
      <c r="L744" s="30"/>
    </row>
    <row r="745" customFormat="false" ht="15.75" hidden="false" customHeight="false" outlineLevel="0" collapsed="false">
      <c r="B745" s="30"/>
      <c r="E745" s="30"/>
      <c r="F745" s="30"/>
      <c r="G745" s="30"/>
      <c r="H745" s="30"/>
      <c r="I745" s="30"/>
      <c r="J745" s="30"/>
      <c r="K745" s="30"/>
      <c r="L745" s="30"/>
    </row>
    <row r="746" customFormat="false" ht="15.75" hidden="false" customHeight="false" outlineLevel="0" collapsed="false">
      <c r="B746" s="30"/>
      <c r="E746" s="30"/>
      <c r="F746" s="30"/>
      <c r="G746" s="30"/>
      <c r="H746" s="30"/>
      <c r="I746" s="30"/>
      <c r="J746" s="30"/>
      <c r="K746" s="30"/>
      <c r="L746" s="30"/>
    </row>
    <row r="747" customFormat="false" ht="15.75" hidden="false" customHeight="false" outlineLevel="0" collapsed="false">
      <c r="B747" s="30"/>
      <c r="E747" s="30"/>
      <c r="F747" s="30"/>
      <c r="G747" s="30"/>
      <c r="H747" s="30"/>
      <c r="I747" s="30"/>
      <c r="J747" s="30"/>
      <c r="K747" s="30"/>
      <c r="L747" s="30"/>
    </row>
    <row r="748" customFormat="false" ht="15.75" hidden="false" customHeight="false" outlineLevel="0" collapsed="false">
      <c r="B748" s="30"/>
      <c r="E748" s="30"/>
      <c r="F748" s="30"/>
      <c r="G748" s="30"/>
      <c r="H748" s="30"/>
      <c r="I748" s="30"/>
      <c r="J748" s="30"/>
      <c r="K748" s="30"/>
      <c r="L748" s="30"/>
    </row>
    <row r="749" customFormat="false" ht="15.75" hidden="false" customHeight="false" outlineLevel="0" collapsed="false">
      <c r="B749" s="30"/>
      <c r="E749" s="30"/>
      <c r="F749" s="30"/>
      <c r="G749" s="30"/>
      <c r="H749" s="30"/>
      <c r="I749" s="30"/>
      <c r="J749" s="30"/>
      <c r="K749" s="30"/>
      <c r="L749" s="30"/>
    </row>
    <row r="750" customFormat="false" ht="15.75" hidden="false" customHeight="false" outlineLevel="0" collapsed="false">
      <c r="B750" s="30"/>
      <c r="E750" s="30"/>
      <c r="F750" s="30"/>
      <c r="G750" s="30"/>
      <c r="H750" s="30"/>
      <c r="I750" s="30"/>
      <c r="J750" s="30"/>
      <c r="K750" s="30"/>
      <c r="L750" s="30"/>
    </row>
    <row r="751" customFormat="false" ht="15.75" hidden="false" customHeight="false" outlineLevel="0" collapsed="false">
      <c r="B751" s="30"/>
      <c r="E751" s="30"/>
      <c r="F751" s="30"/>
      <c r="G751" s="30"/>
      <c r="H751" s="30"/>
      <c r="I751" s="30"/>
      <c r="J751" s="30"/>
      <c r="K751" s="30"/>
      <c r="L751" s="30"/>
    </row>
    <row r="752" customFormat="false" ht="15.75" hidden="false" customHeight="false" outlineLevel="0" collapsed="false">
      <c r="B752" s="30"/>
      <c r="E752" s="30"/>
      <c r="F752" s="30"/>
      <c r="G752" s="30"/>
      <c r="H752" s="30"/>
      <c r="I752" s="30"/>
      <c r="J752" s="30"/>
      <c r="K752" s="30"/>
      <c r="L752" s="30"/>
    </row>
    <row r="753" customFormat="false" ht="15.75" hidden="false" customHeight="false" outlineLevel="0" collapsed="false">
      <c r="B753" s="30"/>
      <c r="E753" s="30"/>
      <c r="F753" s="30"/>
      <c r="G753" s="30"/>
      <c r="H753" s="30"/>
      <c r="I753" s="30"/>
      <c r="J753" s="30"/>
      <c r="K753" s="30"/>
      <c r="L753" s="30"/>
    </row>
    <row r="754" customFormat="false" ht="15.75" hidden="false" customHeight="false" outlineLevel="0" collapsed="false">
      <c r="B754" s="30"/>
      <c r="E754" s="30"/>
      <c r="F754" s="30"/>
      <c r="G754" s="30"/>
      <c r="H754" s="30"/>
      <c r="I754" s="30"/>
      <c r="J754" s="30"/>
      <c r="K754" s="30"/>
      <c r="L754" s="30"/>
    </row>
    <row r="755" customFormat="false" ht="15.75" hidden="false" customHeight="false" outlineLevel="0" collapsed="false">
      <c r="B755" s="30"/>
      <c r="E755" s="30"/>
      <c r="F755" s="30"/>
      <c r="G755" s="30"/>
      <c r="H755" s="30"/>
      <c r="I755" s="30"/>
      <c r="J755" s="30"/>
      <c r="K755" s="30"/>
      <c r="L755" s="30"/>
    </row>
    <row r="756" customFormat="false" ht="15.75" hidden="false" customHeight="false" outlineLevel="0" collapsed="false">
      <c r="B756" s="30"/>
      <c r="E756" s="30"/>
      <c r="F756" s="30"/>
      <c r="G756" s="30"/>
      <c r="H756" s="30"/>
      <c r="I756" s="30"/>
      <c r="J756" s="30"/>
      <c r="K756" s="30"/>
      <c r="L756" s="30"/>
    </row>
    <row r="757" customFormat="false" ht="15.75" hidden="false" customHeight="false" outlineLevel="0" collapsed="false">
      <c r="B757" s="30"/>
      <c r="E757" s="30"/>
      <c r="F757" s="30"/>
      <c r="G757" s="30"/>
      <c r="H757" s="30"/>
      <c r="I757" s="30"/>
      <c r="J757" s="30"/>
      <c r="K757" s="30"/>
      <c r="L757" s="30"/>
    </row>
    <row r="758" customFormat="false" ht="15.75" hidden="false" customHeight="false" outlineLevel="0" collapsed="false">
      <c r="B758" s="30"/>
      <c r="E758" s="30"/>
      <c r="F758" s="30"/>
      <c r="G758" s="30"/>
      <c r="H758" s="30"/>
      <c r="I758" s="30"/>
      <c r="J758" s="30"/>
      <c r="K758" s="30"/>
      <c r="L758" s="30"/>
    </row>
    <row r="759" customFormat="false" ht="15.75" hidden="false" customHeight="false" outlineLevel="0" collapsed="false">
      <c r="B759" s="30"/>
      <c r="E759" s="30"/>
      <c r="F759" s="30"/>
      <c r="G759" s="30"/>
      <c r="H759" s="30"/>
      <c r="I759" s="30"/>
      <c r="J759" s="30"/>
      <c r="K759" s="30"/>
      <c r="L759" s="30"/>
    </row>
    <row r="760" customFormat="false" ht="15.75" hidden="false" customHeight="false" outlineLevel="0" collapsed="false">
      <c r="B760" s="30"/>
      <c r="E760" s="30"/>
      <c r="F760" s="30"/>
      <c r="G760" s="30"/>
      <c r="H760" s="30"/>
      <c r="I760" s="30"/>
      <c r="J760" s="30"/>
      <c r="K760" s="30"/>
      <c r="L760" s="30"/>
    </row>
    <row r="761" customFormat="false" ht="15.75" hidden="false" customHeight="false" outlineLevel="0" collapsed="false">
      <c r="B761" s="30"/>
      <c r="E761" s="30"/>
      <c r="F761" s="30"/>
      <c r="G761" s="30"/>
      <c r="H761" s="30"/>
      <c r="I761" s="30"/>
      <c r="J761" s="30"/>
      <c r="K761" s="30"/>
      <c r="L761" s="30"/>
    </row>
    <row r="762" customFormat="false" ht="15.75" hidden="false" customHeight="false" outlineLevel="0" collapsed="false">
      <c r="B762" s="30"/>
      <c r="E762" s="30"/>
      <c r="F762" s="30"/>
      <c r="G762" s="30"/>
      <c r="H762" s="30"/>
      <c r="I762" s="30"/>
      <c r="J762" s="30"/>
      <c r="K762" s="30"/>
      <c r="L762" s="30"/>
    </row>
    <row r="763" customFormat="false" ht="15.75" hidden="false" customHeight="false" outlineLevel="0" collapsed="false">
      <c r="B763" s="30"/>
      <c r="E763" s="30"/>
      <c r="F763" s="30"/>
      <c r="G763" s="30"/>
      <c r="H763" s="30"/>
      <c r="I763" s="30"/>
      <c r="J763" s="30"/>
      <c r="K763" s="30"/>
      <c r="L763" s="30"/>
    </row>
    <row r="764" customFormat="false" ht="15.75" hidden="false" customHeight="false" outlineLevel="0" collapsed="false">
      <c r="B764" s="30"/>
      <c r="E764" s="30"/>
      <c r="F764" s="30"/>
      <c r="G764" s="30"/>
      <c r="H764" s="30"/>
      <c r="I764" s="30"/>
      <c r="J764" s="30"/>
      <c r="K764" s="30"/>
      <c r="L764" s="30"/>
    </row>
    <row r="765" customFormat="false" ht="15.75" hidden="false" customHeight="false" outlineLevel="0" collapsed="false">
      <c r="B765" s="30"/>
      <c r="E765" s="30"/>
      <c r="F765" s="30"/>
      <c r="G765" s="30"/>
      <c r="H765" s="30"/>
      <c r="I765" s="30"/>
      <c r="J765" s="30"/>
      <c r="K765" s="30"/>
      <c r="L765" s="30"/>
    </row>
    <row r="766" customFormat="false" ht="15.75" hidden="false" customHeight="false" outlineLevel="0" collapsed="false">
      <c r="B766" s="30"/>
      <c r="E766" s="30"/>
      <c r="F766" s="30"/>
      <c r="G766" s="30"/>
      <c r="H766" s="30"/>
      <c r="I766" s="30"/>
      <c r="J766" s="30"/>
      <c r="K766" s="30"/>
      <c r="L766" s="30"/>
    </row>
    <row r="767" customFormat="false" ht="15.75" hidden="false" customHeight="false" outlineLevel="0" collapsed="false">
      <c r="B767" s="30"/>
      <c r="E767" s="30"/>
      <c r="F767" s="30"/>
      <c r="G767" s="30"/>
      <c r="H767" s="30"/>
      <c r="I767" s="30"/>
      <c r="J767" s="30"/>
      <c r="K767" s="30"/>
      <c r="L767" s="30"/>
    </row>
    <row r="768" customFormat="false" ht="15.75" hidden="false" customHeight="false" outlineLevel="0" collapsed="false">
      <c r="B768" s="30"/>
      <c r="E768" s="30"/>
      <c r="F768" s="30"/>
      <c r="G768" s="30"/>
      <c r="H768" s="30"/>
      <c r="I768" s="30"/>
      <c r="J768" s="30"/>
      <c r="K768" s="30"/>
      <c r="L768" s="30"/>
    </row>
    <row r="769" customFormat="false" ht="15.75" hidden="false" customHeight="false" outlineLevel="0" collapsed="false">
      <c r="B769" s="30"/>
      <c r="E769" s="30"/>
      <c r="F769" s="30"/>
      <c r="G769" s="30"/>
      <c r="H769" s="30"/>
      <c r="I769" s="30"/>
      <c r="J769" s="30"/>
      <c r="K769" s="30"/>
      <c r="L769" s="30"/>
    </row>
    <row r="770" customFormat="false" ht="15.75" hidden="false" customHeight="false" outlineLevel="0" collapsed="false">
      <c r="B770" s="30"/>
      <c r="E770" s="30"/>
      <c r="F770" s="30"/>
      <c r="G770" s="30"/>
      <c r="H770" s="30"/>
      <c r="I770" s="30"/>
      <c r="J770" s="30"/>
      <c r="K770" s="30"/>
      <c r="L770" s="30"/>
    </row>
    <row r="771" customFormat="false" ht="15.75" hidden="false" customHeight="false" outlineLevel="0" collapsed="false">
      <c r="B771" s="30"/>
      <c r="E771" s="30"/>
      <c r="F771" s="30"/>
      <c r="G771" s="30"/>
      <c r="H771" s="30"/>
      <c r="I771" s="30"/>
      <c r="J771" s="30"/>
      <c r="K771" s="30"/>
      <c r="L771" s="30"/>
    </row>
    <row r="772" customFormat="false" ht="15.75" hidden="false" customHeight="false" outlineLevel="0" collapsed="false">
      <c r="B772" s="30"/>
      <c r="E772" s="30"/>
      <c r="F772" s="30"/>
      <c r="G772" s="30"/>
      <c r="H772" s="30"/>
      <c r="I772" s="30"/>
      <c r="J772" s="30"/>
      <c r="K772" s="30"/>
      <c r="L772" s="30"/>
    </row>
    <row r="773" customFormat="false" ht="15.75" hidden="false" customHeight="false" outlineLevel="0" collapsed="false">
      <c r="B773" s="30"/>
      <c r="E773" s="30"/>
      <c r="F773" s="30"/>
      <c r="G773" s="30"/>
      <c r="H773" s="30"/>
      <c r="I773" s="30"/>
      <c r="J773" s="30"/>
      <c r="K773" s="30"/>
      <c r="L773" s="30"/>
    </row>
    <row r="774" customFormat="false" ht="15.75" hidden="false" customHeight="false" outlineLevel="0" collapsed="false">
      <c r="B774" s="30"/>
      <c r="E774" s="30"/>
      <c r="F774" s="30"/>
      <c r="G774" s="30"/>
      <c r="H774" s="30"/>
      <c r="I774" s="30"/>
      <c r="J774" s="30"/>
      <c r="K774" s="30"/>
      <c r="L774" s="30"/>
    </row>
    <row r="775" customFormat="false" ht="15.75" hidden="false" customHeight="false" outlineLevel="0" collapsed="false">
      <c r="B775" s="30"/>
      <c r="E775" s="30"/>
      <c r="F775" s="30"/>
      <c r="G775" s="30"/>
      <c r="H775" s="30"/>
      <c r="I775" s="30"/>
      <c r="J775" s="30"/>
      <c r="K775" s="30"/>
      <c r="L775" s="30"/>
    </row>
    <row r="776" customFormat="false" ht="15.75" hidden="false" customHeight="false" outlineLevel="0" collapsed="false">
      <c r="B776" s="30"/>
      <c r="E776" s="30"/>
      <c r="F776" s="30"/>
      <c r="G776" s="30"/>
      <c r="H776" s="30"/>
      <c r="I776" s="30"/>
      <c r="J776" s="30"/>
      <c r="K776" s="30"/>
      <c r="L776" s="30"/>
    </row>
    <row r="777" customFormat="false" ht="15.75" hidden="false" customHeight="false" outlineLevel="0" collapsed="false">
      <c r="B777" s="30"/>
      <c r="E777" s="30"/>
      <c r="F777" s="30"/>
      <c r="G777" s="30"/>
      <c r="H777" s="30"/>
      <c r="I777" s="30"/>
      <c r="J777" s="30"/>
      <c r="K777" s="30"/>
      <c r="L777" s="30"/>
    </row>
    <row r="778" customFormat="false" ht="15.75" hidden="false" customHeight="false" outlineLevel="0" collapsed="false">
      <c r="B778" s="30"/>
      <c r="E778" s="30"/>
      <c r="F778" s="30"/>
      <c r="G778" s="30"/>
      <c r="H778" s="30"/>
      <c r="I778" s="30"/>
      <c r="J778" s="30"/>
      <c r="K778" s="30"/>
      <c r="L778" s="30"/>
    </row>
    <row r="779" customFormat="false" ht="15.75" hidden="false" customHeight="false" outlineLevel="0" collapsed="false">
      <c r="B779" s="30"/>
      <c r="E779" s="30"/>
      <c r="F779" s="30"/>
      <c r="G779" s="30"/>
      <c r="H779" s="30"/>
      <c r="I779" s="30"/>
      <c r="J779" s="30"/>
      <c r="K779" s="30"/>
      <c r="L779" s="30"/>
    </row>
    <row r="780" customFormat="false" ht="15.75" hidden="false" customHeight="false" outlineLevel="0" collapsed="false">
      <c r="B780" s="30"/>
      <c r="E780" s="30"/>
      <c r="F780" s="30"/>
      <c r="G780" s="30"/>
      <c r="H780" s="30"/>
      <c r="I780" s="30"/>
      <c r="J780" s="30"/>
      <c r="K780" s="30"/>
      <c r="L780" s="30"/>
    </row>
    <row r="781" customFormat="false" ht="15.75" hidden="false" customHeight="false" outlineLevel="0" collapsed="false">
      <c r="B781" s="30"/>
      <c r="E781" s="30"/>
      <c r="F781" s="30"/>
      <c r="G781" s="30"/>
      <c r="H781" s="30"/>
      <c r="I781" s="30"/>
      <c r="J781" s="30"/>
      <c r="K781" s="30"/>
      <c r="L781" s="30"/>
    </row>
    <row r="782" customFormat="false" ht="15.75" hidden="false" customHeight="false" outlineLevel="0" collapsed="false">
      <c r="B782" s="30"/>
      <c r="E782" s="30"/>
      <c r="F782" s="30"/>
      <c r="G782" s="30"/>
      <c r="H782" s="30"/>
      <c r="I782" s="30"/>
      <c r="J782" s="30"/>
      <c r="K782" s="30"/>
      <c r="L782" s="30"/>
    </row>
    <row r="783" customFormat="false" ht="15.75" hidden="false" customHeight="false" outlineLevel="0" collapsed="false">
      <c r="B783" s="30"/>
      <c r="E783" s="30"/>
      <c r="F783" s="30"/>
      <c r="G783" s="30"/>
      <c r="H783" s="30"/>
      <c r="I783" s="30"/>
      <c r="J783" s="30"/>
      <c r="K783" s="30"/>
      <c r="L783" s="30"/>
    </row>
    <row r="784" customFormat="false" ht="15.75" hidden="false" customHeight="false" outlineLevel="0" collapsed="false">
      <c r="B784" s="30"/>
      <c r="E784" s="30"/>
      <c r="F784" s="30"/>
      <c r="G784" s="30"/>
      <c r="H784" s="30"/>
      <c r="I784" s="30"/>
      <c r="J784" s="30"/>
      <c r="K784" s="30"/>
      <c r="L784" s="30"/>
    </row>
    <row r="785" customFormat="false" ht="15.75" hidden="false" customHeight="false" outlineLevel="0" collapsed="false">
      <c r="B785" s="30"/>
      <c r="E785" s="30"/>
      <c r="F785" s="30"/>
      <c r="G785" s="30"/>
      <c r="H785" s="30"/>
      <c r="I785" s="30"/>
      <c r="J785" s="30"/>
      <c r="K785" s="30"/>
      <c r="L785" s="30"/>
    </row>
    <row r="786" customFormat="false" ht="15.75" hidden="false" customHeight="false" outlineLevel="0" collapsed="false">
      <c r="B786" s="30"/>
      <c r="E786" s="30"/>
      <c r="F786" s="30"/>
      <c r="G786" s="30"/>
      <c r="H786" s="30"/>
      <c r="I786" s="30"/>
      <c r="J786" s="30"/>
      <c r="K786" s="30"/>
      <c r="L786" s="30"/>
    </row>
    <row r="787" customFormat="false" ht="15.75" hidden="false" customHeight="false" outlineLevel="0" collapsed="false">
      <c r="B787" s="30"/>
      <c r="E787" s="30"/>
      <c r="F787" s="30"/>
      <c r="G787" s="30"/>
      <c r="H787" s="30"/>
      <c r="I787" s="30"/>
      <c r="J787" s="30"/>
      <c r="K787" s="30"/>
      <c r="L787" s="30"/>
    </row>
    <row r="788" customFormat="false" ht="15.75" hidden="false" customHeight="false" outlineLevel="0" collapsed="false">
      <c r="B788" s="30"/>
      <c r="E788" s="30"/>
      <c r="F788" s="30"/>
      <c r="G788" s="30"/>
      <c r="H788" s="30"/>
      <c r="I788" s="30"/>
      <c r="J788" s="30"/>
      <c r="K788" s="30"/>
      <c r="L788" s="30"/>
    </row>
    <row r="789" customFormat="false" ht="15.75" hidden="false" customHeight="false" outlineLevel="0" collapsed="false">
      <c r="B789" s="30"/>
      <c r="E789" s="30"/>
      <c r="F789" s="30"/>
      <c r="G789" s="30"/>
      <c r="H789" s="30"/>
      <c r="I789" s="30"/>
      <c r="J789" s="30"/>
      <c r="K789" s="30"/>
      <c r="L789" s="30"/>
    </row>
    <row r="790" customFormat="false" ht="15.75" hidden="false" customHeight="false" outlineLevel="0" collapsed="false">
      <c r="B790" s="30"/>
      <c r="E790" s="30"/>
      <c r="F790" s="30"/>
      <c r="G790" s="30"/>
      <c r="H790" s="30"/>
      <c r="I790" s="30"/>
      <c r="J790" s="30"/>
      <c r="K790" s="30"/>
      <c r="L790" s="30"/>
    </row>
    <row r="791" customFormat="false" ht="15.75" hidden="false" customHeight="false" outlineLevel="0" collapsed="false">
      <c r="B791" s="30"/>
      <c r="E791" s="30"/>
      <c r="F791" s="30"/>
      <c r="G791" s="30"/>
      <c r="H791" s="30"/>
      <c r="I791" s="30"/>
      <c r="J791" s="30"/>
      <c r="K791" s="30"/>
      <c r="L791" s="30"/>
    </row>
    <row r="792" customFormat="false" ht="15.75" hidden="false" customHeight="false" outlineLevel="0" collapsed="false">
      <c r="B792" s="30"/>
      <c r="E792" s="30"/>
      <c r="F792" s="30"/>
      <c r="G792" s="30"/>
      <c r="H792" s="30"/>
      <c r="I792" s="30"/>
      <c r="J792" s="30"/>
      <c r="K792" s="30"/>
      <c r="L792" s="30"/>
    </row>
    <row r="793" customFormat="false" ht="15.75" hidden="false" customHeight="false" outlineLevel="0" collapsed="false">
      <c r="B793" s="30"/>
      <c r="E793" s="30"/>
      <c r="F793" s="30"/>
      <c r="G793" s="30"/>
      <c r="H793" s="30"/>
      <c r="I793" s="30"/>
      <c r="J793" s="30"/>
      <c r="K793" s="30"/>
      <c r="L793" s="30"/>
    </row>
    <row r="794" customFormat="false" ht="15.75" hidden="false" customHeight="false" outlineLevel="0" collapsed="false">
      <c r="B794" s="30"/>
      <c r="E794" s="30"/>
      <c r="F794" s="30"/>
      <c r="G794" s="30"/>
      <c r="H794" s="30"/>
      <c r="I794" s="30"/>
      <c r="J794" s="30"/>
      <c r="K794" s="30"/>
      <c r="L794" s="30"/>
    </row>
    <row r="795" customFormat="false" ht="15.75" hidden="false" customHeight="false" outlineLevel="0" collapsed="false">
      <c r="B795" s="30"/>
      <c r="E795" s="30"/>
      <c r="F795" s="30"/>
      <c r="G795" s="30"/>
      <c r="H795" s="30"/>
      <c r="I795" s="30"/>
      <c r="J795" s="30"/>
      <c r="K795" s="30"/>
      <c r="L795" s="30"/>
    </row>
    <row r="796" customFormat="false" ht="15.75" hidden="false" customHeight="false" outlineLevel="0" collapsed="false">
      <c r="B796" s="30"/>
      <c r="E796" s="30"/>
      <c r="F796" s="30"/>
      <c r="G796" s="30"/>
      <c r="H796" s="30"/>
      <c r="I796" s="30"/>
      <c r="J796" s="30"/>
      <c r="K796" s="30"/>
      <c r="L796" s="30"/>
    </row>
    <row r="797" customFormat="false" ht="15.75" hidden="false" customHeight="false" outlineLevel="0" collapsed="false">
      <c r="B797" s="30"/>
      <c r="E797" s="30"/>
      <c r="F797" s="30"/>
      <c r="G797" s="30"/>
      <c r="H797" s="30"/>
      <c r="I797" s="30"/>
      <c r="J797" s="30"/>
      <c r="K797" s="30"/>
      <c r="L797" s="30"/>
    </row>
    <row r="798" customFormat="false" ht="15.75" hidden="false" customHeight="false" outlineLevel="0" collapsed="false">
      <c r="B798" s="30"/>
      <c r="E798" s="30"/>
      <c r="F798" s="30"/>
      <c r="G798" s="30"/>
      <c r="H798" s="30"/>
      <c r="I798" s="30"/>
      <c r="J798" s="30"/>
      <c r="K798" s="30"/>
      <c r="L798" s="30"/>
    </row>
    <row r="799" customFormat="false" ht="15.75" hidden="false" customHeight="false" outlineLevel="0" collapsed="false">
      <c r="B799" s="30"/>
      <c r="E799" s="30"/>
      <c r="F799" s="30"/>
      <c r="G799" s="30"/>
      <c r="H799" s="30"/>
      <c r="I799" s="30"/>
      <c r="J799" s="30"/>
      <c r="K799" s="30"/>
      <c r="L799" s="30"/>
    </row>
    <row r="800" customFormat="false" ht="15.75" hidden="false" customHeight="false" outlineLevel="0" collapsed="false">
      <c r="B800" s="30"/>
      <c r="E800" s="30"/>
      <c r="F800" s="30"/>
      <c r="G800" s="30"/>
      <c r="H800" s="30"/>
      <c r="I800" s="30"/>
      <c r="J800" s="30"/>
      <c r="K800" s="30"/>
      <c r="L800" s="30"/>
    </row>
    <row r="801" customFormat="false" ht="15.75" hidden="false" customHeight="false" outlineLevel="0" collapsed="false">
      <c r="B801" s="30"/>
      <c r="E801" s="30"/>
      <c r="F801" s="30"/>
      <c r="G801" s="30"/>
      <c r="H801" s="30"/>
      <c r="I801" s="30"/>
      <c r="J801" s="30"/>
      <c r="K801" s="30"/>
      <c r="L801" s="30"/>
    </row>
    <row r="802" customFormat="false" ht="15.75" hidden="false" customHeight="false" outlineLevel="0" collapsed="false">
      <c r="B802" s="30"/>
      <c r="E802" s="30"/>
      <c r="F802" s="30"/>
      <c r="G802" s="30"/>
      <c r="H802" s="30"/>
      <c r="I802" s="30"/>
      <c r="J802" s="30"/>
      <c r="K802" s="30"/>
      <c r="L802" s="30"/>
    </row>
    <row r="803" customFormat="false" ht="15.75" hidden="false" customHeight="false" outlineLevel="0" collapsed="false">
      <c r="B803" s="30"/>
      <c r="E803" s="30"/>
      <c r="F803" s="30"/>
      <c r="G803" s="30"/>
      <c r="H803" s="30"/>
      <c r="I803" s="30"/>
      <c r="J803" s="30"/>
      <c r="K803" s="30"/>
      <c r="L803" s="30"/>
    </row>
    <row r="804" customFormat="false" ht="15.75" hidden="false" customHeight="false" outlineLevel="0" collapsed="false">
      <c r="B804" s="30"/>
      <c r="E804" s="30"/>
      <c r="F804" s="30"/>
      <c r="G804" s="30"/>
      <c r="H804" s="30"/>
      <c r="I804" s="30"/>
      <c r="J804" s="30"/>
      <c r="K804" s="30"/>
      <c r="L804" s="30"/>
    </row>
    <row r="805" customFormat="false" ht="15.75" hidden="false" customHeight="false" outlineLevel="0" collapsed="false">
      <c r="B805" s="30"/>
      <c r="E805" s="30"/>
      <c r="F805" s="30"/>
      <c r="G805" s="30"/>
      <c r="H805" s="30"/>
      <c r="I805" s="30"/>
      <c r="J805" s="30"/>
      <c r="K805" s="30"/>
      <c r="L805" s="30"/>
    </row>
    <row r="806" customFormat="false" ht="15.75" hidden="false" customHeight="false" outlineLevel="0" collapsed="false">
      <c r="B806" s="30"/>
      <c r="E806" s="30"/>
      <c r="F806" s="30"/>
      <c r="G806" s="30"/>
      <c r="H806" s="30"/>
      <c r="I806" s="30"/>
      <c r="J806" s="30"/>
      <c r="K806" s="30"/>
      <c r="L806" s="30"/>
    </row>
    <row r="807" customFormat="false" ht="15.75" hidden="false" customHeight="false" outlineLevel="0" collapsed="false">
      <c r="B807" s="30"/>
      <c r="E807" s="30"/>
      <c r="F807" s="30"/>
      <c r="G807" s="30"/>
      <c r="H807" s="30"/>
      <c r="I807" s="30"/>
      <c r="J807" s="30"/>
      <c r="K807" s="30"/>
      <c r="L807" s="30"/>
    </row>
    <row r="808" customFormat="false" ht="15.75" hidden="false" customHeight="false" outlineLevel="0" collapsed="false">
      <c r="B808" s="30"/>
      <c r="E808" s="30"/>
      <c r="F808" s="30"/>
      <c r="G808" s="30"/>
      <c r="H808" s="30"/>
      <c r="I808" s="30"/>
      <c r="J808" s="30"/>
      <c r="K808" s="30"/>
      <c r="L808" s="30"/>
    </row>
    <row r="809" customFormat="false" ht="15.75" hidden="false" customHeight="false" outlineLevel="0" collapsed="false">
      <c r="B809" s="30"/>
      <c r="E809" s="30"/>
      <c r="F809" s="30"/>
      <c r="G809" s="30"/>
      <c r="H809" s="30"/>
      <c r="I809" s="30"/>
      <c r="J809" s="30"/>
      <c r="K809" s="30"/>
      <c r="L809" s="30"/>
    </row>
    <row r="810" customFormat="false" ht="15.75" hidden="false" customHeight="false" outlineLevel="0" collapsed="false">
      <c r="B810" s="30"/>
      <c r="E810" s="30"/>
      <c r="F810" s="30"/>
      <c r="G810" s="30"/>
      <c r="H810" s="30"/>
      <c r="I810" s="30"/>
      <c r="J810" s="30"/>
      <c r="K810" s="30"/>
      <c r="L810" s="30"/>
    </row>
    <row r="811" customFormat="false" ht="15.75" hidden="false" customHeight="false" outlineLevel="0" collapsed="false">
      <c r="B811" s="30"/>
      <c r="E811" s="30"/>
      <c r="F811" s="30"/>
      <c r="G811" s="30"/>
      <c r="H811" s="30"/>
      <c r="I811" s="30"/>
      <c r="J811" s="30"/>
      <c r="K811" s="30"/>
      <c r="L811" s="30"/>
    </row>
    <row r="812" customFormat="false" ht="15.75" hidden="false" customHeight="false" outlineLevel="0" collapsed="false">
      <c r="B812" s="30"/>
      <c r="E812" s="30"/>
      <c r="F812" s="30"/>
      <c r="G812" s="30"/>
      <c r="H812" s="30"/>
      <c r="I812" s="30"/>
      <c r="J812" s="30"/>
      <c r="K812" s="30"/>
      <c r="L812" s="30"/>
    </row>
    <row r="813" customFormat="false" ht="15.75" hidden="false" customHeight="false" outlineLevel="0" collapsed="false">
      <c r="B813" s="30"/>
      <c r="E813" s="30"/>
      <c r="F813" s="30"/>
      <c r="G813" s="30"/>
      <c r="H813" s="30"/>
      <c r="I813" s="30"/>
      <c r="J813" s="30"/>
      <c r="K813" s="30"/>
      <c r="L813" s="30"/>
    </row>
    <row r="814" customFormat="false" ht="15.75" hidden="false" customHeight="false" outlineLevel="0" collapsed="false">
      <c r="B814" s="30"/>
      <c r="E814" s="30"/>
      <c r="F814" s="30"/>
      <c r="G814" s="30"/>
      <c r="H814" s="30"/>
      <c r="I814" s="30"/>
      <c r="J814" s="30"/>
      <c r="K814" s="30"/>
      <c r="L814" s="30"/>
    </row>
    <row r="815" customFormat="false" ht="15.75" hidden="false" customHeight="false" outlineLevel="0" collapsed="false">
      <c r="B815" s="30"/>
      <c r="E815" s="30"/>
      <c r="F815" s="30"/>
      <c r="G815" s="30"/>
      <c r="H815" s="30"/>
      <c r="I815" s="30"/>
      <c r="J815" s="30"/>
      <c r="K815" s="30"/>
      <c r="L815" s="30"/>
    </row>
    <row r="816" customFormat="false" ht="15.75" hidden="false" customHeight="false" outlineLevel="0" collapsed="false">
      <c r="B816" s="30"/>
      <c r="E816" s="30"/>
      <c r="F816" s="30"/>
      <c r="G816" s="30"/>
      <c r="H816" s="30"/>
      <c r="I816" s="30"/>
      <c r="J816" s="30"/>
      <c r="K816" s="30"/>
      <c r="L816" s="30"/>
    </row>
    <row r="817" customFormat="false" ht="15.75" hidden="false" customHeight="false" outlineLevel="0" collapsed="false">
      <c r="B817" s="30"/>
      <c r="E817" s="30"/>
      <c r="F817" s="30"/>
      <c r="G817" s="30"/>
      <c r="H817" s="30"/>
      <c r="I817" s="30"/>
      <c r="J817" s="30"/>
      <c r="K817" s="30"/>
      <c r="L817" s="30"/>
    </row>
    <row r="818" customFormat="false" ht="15.75" hidden="false" customHeight="false" outlineLevel="0" collapsed="false">
      <c r="B818" s="30"/>
      <c r="E818" s="30"/>
      <c r="F818" s="30"/>
      <c r="G818" s="30"/>
      <c r="H818" s="30"/>
      <c r="I818" s="30"/>
      <c r="J818" s="30"/>
      <c r="K818" s="30"/>
      <c r="L818" s="30"/>
    </row>
    <row r="819" customFormat="false" ht="15.75" hidden="false" customHeight="false" outlineLevel="0" collapsed="false">
      <c r="B819" s="30"/>
      <c r="E819" s="30"/>
      <c r="F819" s="30"/>
      <c r="G819" s="30"/>
      <c r="H819" s="30"/>
      <c r="I819" s="30"/>
      <c r="J819" s="30"/>
      <c r="K819" s="30"/>
      <c r="L819" s="30"/>
    </row>
    <row r="820" customFormat="false" ht="15.75" hidden="false" customHeight="false" outlineLevel="0" collapsed="false">
      <c r="B820" s="30"/>
      <c r="E820" s="30"/>
      <c r="F820" s="30"/>
      <c r="G820" s="30"/>
      <c r="H820" s="30"/>
      <c r="I820" s="30"/>
      <c r="J820" s="30"/>
      <c r="K820" s="30"/>
      <c r="L820" s="30"/>
    </row>
    <row r="821" customFormat="false" ht="15.75" hidden="false" customHeight="false" outlineLevel="0" collapsed="false">
      <c r="B821" s="30"/>
      <c r="E821" s="30"/>
      <c r="F821" s="30"/>
      <c r="G821" s="30"/>
      <c r="H821" s="30"/>
      <c r="I821" s="30"/>
      <c r="J821" s="30"/>
      <c r="K821" s="30"/>
      <c r="L821" s="30"/>
    </row>
    <row r="822" customFormat="false" ht="15.75" hidden="false" customHeight="false" outlineLevel="0" collapsed="false">
      <c r="B822" s="30"/>
      <c r="E822" s="30"/>
      <c r="F822" s="30"/>
      <c r="G822" s="30"/>
      <c r="H822" s="30"/>
      <c r="I822" s="30"/>
      <c r="J822" s="30"/>
      <c r="K822" s="30"/>
      <c r="L822" s="30"/>
    </row>
    <row r="823" customFormat="false" ht="15.75" hidden="false" customHeight="false" outlineLevel="0" collapsed="false">
      <c r="B823" s="30"/>
      <c r="E823" s="30"/>
      <c r="F823" s="30"/>
      <c r="G823" s="30"/>
      <c r="H823" s="30"/>
      <c r="I823" s="30"/>
      <c r="J823" s="30"/>
      <c r="K823" s="30"/>
      <c r="L823" s="30"/>
    </row>
    <row r="824" customFormat="false" ht="15.75" hidden="false" customHeight="false" outlineLevel="0" collapsed="false">
      <c r="B824" s="30"/>
      <c r="E824" s="30"/>
      <c r="F824" s="30"/>
      <c r="G824" s="30"/>
      <c r="H824" s="30"/>
      <c r="I824" s="30"/>
      <c r="J824" s="30"/>
      <c r="K824" s="30"/>
      <c r="L824" s="30"/>
    </row>
    <row r="825" customFormat="false" ht="15.75" hidden="false" customHeight="false" outlineLevel="0" collapsed="false">
      <c r="B825" s="30"/>
      <c r="E825" s="30"/>
      <c r="F825" s="30"/>
      <c r="G825" s="30"/>
      <c r="H825" s="30"/>
      <c r="I825" s="30"/>
      <c r="J825" s="30"/>
      <c r="K825" s="30"/>
      <c r="L825" s="30"/>
    </row>
    <row r="826" customFormat="false" ht="15.75" hidden="false" customHeight="false" outlineLevel="0" collapsed="false">
      <c r="B826" s="30"/>
      <c r="E826" s="30"/>
      <c r="F826" s="30"/>
      <c r="G826" s="30"/>
      <c r="H826" s="30"/>
      <c r="I826" s="30"/>
      <c r="J826" s="30"/>
      <c r="K826" s="30"/>
      <c r="L826" s="30"/>
    </row>
    <row r="827" customFormat="false" ht="15.75" hidden="false" customHeight="false" outlineLevel="0" collapsed="false">
      <c r="B827" s="30"/>
      <c r="E827" s="30"/>
      <c r="F827" s="30"/>
      <c r="G827" s="30"/>
      <c r="H827" s="30"/>
      <c r="I827" s="30"/>
      <c r="J827" s="30"/>
      <c r="K827" s="30"/>
      <c r="L827" s="30"/>
    </row>
    <row r="828" customFormat="false" ht="15.75" hidden="false" customHeight="false" outlineLevel="0" collapsed="false">
      <c r="B828" s="30"/>
      <c r="E828" s="30"/>
      <c r="F828" s="30"/>
      <c r="G828" s="30"/>
      <c r="H828" s="30"/>
      <c r="I828" s="30"/>
      <c r="J828" s="30"/>
      <c r="K828" s="30"/>
      <c r="L828" s="30"/>
    </row>
    <row r="829" customFormat="false" ht="15.75" hidden="false" customHeight="false" outlineLevel="0" collapsed="false">
      <c r="B829" s="30"/>
      <c r="E829" s="30"/>
      <c r="F829" s="30"/>
      <c r="G829" s="30"/>
      <c r="H829" s="30"/>
      <c r="I829" s="30"/>
      <c r="J829" s="30"/>
      <c r="K829" s="30"/>
      <c r="L829" s="30"/>
    </row>
    <row r="830" customFormat="false" ht="15.75" hidden="false" customHeight="false" outlineLevel="0" collapsed="false">
      <c r="B830" s="30"/>
      <c r="E830" s="30"/>
      <c r="F830" s="30"/>
      <c r="G830" s="30"/>
      <c r="H830" s="30"/>
      <c r="I830" s="30"/>
      <c r="J830" s="30"/>
      <c r="K830" s="30"/>
      <c r="L830" s="30"/>
    </row>
    <row r="831" customFormat="false" ht="15.75" hidden="false" customHeight="false" outlineLevel="0" collapsed="false">
      <c r="B831" s="30"/>
      <c r="E831" s="30"/>
      <c r="F831" s="30"/>
      <c r="G831" s="30"/>
      <c r="H831" s="30"/>
      <c r="I831" s="30"/>
      <c r="J831" s="30"/>
      <c r="K831" s="30"/>
      <c r="L831" s="30"/>
    </row>
    <row r="832" customFormat="false" ht="15.75" hidden="false" customHeight="false" outlineLevel="0" collapsed="false">
      <c r="B832" s="30"/>
      <c r="E832" s="30"/>
      <c r="F832" s="30"/>
      <c r="G832" s="30"/>
      <c r="H832" s="30"/>
      <c r="I832" s="30"/>
      <c r="J832" s="30"/>
      <c r="K832" s="30"/>
      <c r="L832" s="30"/>
    </row>
    <row r="833" customFormat="false" ht="15.75" hidden="false" customHeight="false" outlineLevel="0" collapsed="false">
      <c r="B833" s="30"/>
      <c r="E833" s="30"/>
      <c r="F833" s="30"/>
      <c r="G833" s="30"/>
      <c r="H833" s="30"/>
      <c r="I833" s="30"/>
      <c r="J833" s="30"/>
      <c r="K833" s="30"/>
      <c r="L833" s="30"/>
    </row>
    <row r="834" customFormat="false" ht="15.75" hidden="false" customHeight="false" outlineLevel="0" collapsed="false">
      <c r="B834" s="30"/>
      <c r="E834" s="30"/>
      <c r="F834" s="30"/>
      <c r="G834" s="30"/>
      <c r="H834" s="30"/>
      <c r="I834" s="30"/>
      <c r="J834" s="30"/>
      <c r="K834" s="30"/>
      <c r="L834" s="30"/>
    </row>
    <row r="835" customFormat="false" ht="15.75" hidden="false" customHeight="false" outlineLevel="0" collapsed="false">
      <c r="B835" s="30"/>
      <c r="E835" s="30"/>
      <c r="F835" s="30"/>
      <c r="G835" s="30"/>
      <c r="H835" s="30"/>
      <c r="I835" s="30"/>
      <c r="J835" s="30"/>
      <c r="K835" s="30"/>
      <c r="L835" s="30"/>
    </row>
    <row r="836" customFormat="false" ht="15.75" hidden="false" customHeight="false" outlineLevel="0" collapsed="false">
      <c r="B836" s="30"/>
      <c r="E836" s="30"/>
      <c r="F836" s="30"/>
      <c r="G836" s="30"/>
      <c r="H836" s="30"/>
      <c r="I836" s="30"/>
      <c r="J836" s="30"/>
      <c r="K836" s="30"/>
      <c r="L836" s="30"/>
    </row>
    <row r="837" customFormat="false" ht="15.75" hidden="false" customHeight="false" outlineLevel="0" collapsed="false">
      <c r="B837" s="30"/>
      <c r="E837" s="30"/>
      <c r="F837" s="30"/>
      <c r="G837" s="30"/>
      <c r="H837" s="30"/>
      <c r="I837" s="30"/>
      <c r="J837" s="30"/>
      <c r="K837" s="30"/>
      <c r="L837" s="30"/>
    </row>
    <row r="838" customFormat="false" ht="15.75" hidden="false" customHeight="false" outlineLevel="0" collapsed="false">
      <c r="B838" s="30"/>
      <c r="E838" s="30"/>
      <c r="F838" s="30"/>
      <c r="G838" s="30"/>
      <c r="H838" s="30"/>
      <c r="I838" s="30"/>
      <c r="J838" s="30"/>
      <c r="K838" s="30"/>
      <c r="L838" s="30"/>
    </row>
    <row r="839" customFormat="false" ht="15.75" hidden="false" customHeight="false" outlineLevel="0" collapsed="false">
      <c r="B839" s="30"/>
      <c r="E839" s="30"/>
      <c r="F839" s="30"/>
      <c r="G839" s="30"/>
      <c r="H839" s="30"/>
      <c r="I839" s="30"/>
      <c r="J839" s="30"/>
      <c r="K839" s="30"/>
      <c r="L839" s="30"/>
    </row>
    <row r="840" customFormat="false" ht="15.75" hidden="false" customHeight="false" outlineLevel="0" collapsed="false">
      <c r="B840" s="30"/>
      <c r="E840" s="30"/>
      <c r="F840" s="30"/>
      <c r="G840" s="30"/>
      <c r="H840" s="30"/>
      <c r="I840" s="30"/>
      <c r="J840" s="30"/>
      <c r="K840" s="30"/>
      <c r="L840" s="30"/>
    </row>
    <row r="841" customFormat="false" ht="15.75" hidden="false" customHeight="false" outlineLevel="0" collapsed="false">
      <c r="B841" s="30"/>
      <c r="E841" s="30"/>
      <c r="F841" s="30"/>
      <c r="G841" s="30"/>
      <c r="H841" s="30"/>
      <c r="I841" s="30"/>
      <c r="J841" s="30"/>
      <c r="K841" s="30"/>
      <c r="L841" s="30"/>
    </row>
    <row r="842" customFormat="false" ht="15.75" hidden="false" customHeight="false" outlineLevel="0" collapsed="false">
      <c r="B842" s="30"/>
      <c r="E842" s="30"/>
      <c r="F842" s="30"/>
      <c r="G842" s="30"/>
      <c r="H842" s="30"/>
      <c r="I842" s="30"/>
      <c r="J842" s="30"/>
      <c r="K842" s="30"/>
      <c r="L842" s="30"/>
    </row>
    <row r="843" customFormat="false" ht="15.75" hidden="false" customHeight="false" outlineLevel="0" collapsed="false">
      <c r="B843" s="30"/>
      <c r="E843" s="30"/>
      <c r="F843" s="30"/>
      <c r="G843" s="30"/>
      <c r="H843" s="30"/>
      <c r="I843" s="30"/>
      <c r="J843" s="30"/>
      <c r="K843" s="30"/>
      <c r="L843" s="30"/>
    </row>
    <row r="844" customFormat="false" ht="15.75" hidden="false" customHeight="false" outlineLevel="0" collapsed="false">
      <c r="B844" s="30"/>
      <c r="E844" s="30"/>
      <c r="F844" s="30"/>
      <c r="G844" s="30"/>
      <c r="H844" s="30"/>
      <c r="I844" s="30"/>
      <c r="J844" s="30"/>
      <c r="K844" s="30"/>
      <c r="L844" s="30"/>
    </row>
    <row r="845" customFormat="false" ht="15.75" hidden="false" customHeight="false" outlineLevel="0" collapsed="false">
      <c r="B845" s="30"/>
      <c r="E845" s="30"/>
      <c r="F845" s="30"/>
      <c r="G845" s="30"/>
      <c r="H845" s="30"/>
      <c r="I845" s="30"/>
      <c r="J845" s="30"/>
      <c r="K845" s="30"/>
      <c r="L845" s="30"/>
    </row>
    <row r="846" customFormat="false" ht="15.75" hidden="false" customHeight="false" outlineLevel="0" collapsed="false">
      <c r="B846" s="30"/>
      <c r="E846" s="30"/>
      <c r="F846" s="30"/>
      <c r="G846" s="30"/>
      <c r="H846" s="30"/>
      <c r="I846" s="30"/>
      <c r="J846" s="30"/>
      <c r="K846" s="30"/>
      <c r="L846" s="30"/>
    </row>
    <row r="847" customFormat="false" ht="15.75" hidden="false" customHeight="false" outlineLevel="0" collapsed="false">
      <c r="B847" s="30"/>
      <c r="E847" s="30"/>
      <c r="F847" s="30"/>
      <c r="G847" s="30"/>
      <c r="H847" s="30"/>
      <c r="I847" s="30"/>
      <c r="J847" s="30"/>
      <c r="K847" s="30"/>
      <c r="L847" s="30"/>
    </row>
    <row r="848" customFormat="false" ht="15.75" hidden="false" customHeight="false" outlineLevel="0" collapsed="false">
      <c r="B848" s="30"/>
      <c r="E848" s="30"/>
      <c r="F848" s="30"/>
      <c r="G848" s="30"/>
      <c r="H848" s="30"/>
      <c r="I848" s="30"/>
      <c r="J848" s="30"/>
      <c r="K848" s="30"/>
      <c r="L848" s="30"/>
    </row>
    <row r="849" customFormat="false" ht="15.75" hidden="false" customHeight="false" outlineLevel="0" collapsed="false">
      <c r="B849" s="30"/>
      <c r="E849" s="30"/>
      <c r="F849" s="30"/>
      <c r="G849" s="30"/>
      <c r="H849" s="30"/>
      <c r="I849" s="30"/>
      <c r="J849" s="30"/>
      <c r="K849" s="30"/>
      <c r="L849" s="30"/>
    </row>
    <row r="850" customFormat="false" ht="15.75" hidden="false" customHeight="false" outlineLevel="0" collapsed="false">
      <c r="B850" s="30"/>
      <c r="E850" s="30"/>
      <c r="F850" s="30"/>
      <c r="G850" s="30"/>
      <c r="H850" s="30"/>
      <c r="I850" s="30"/>
      <c r="J850" s="30"/>
      <c r="K850" s="30"/>
      <c r="L850" s="30"/>
    </row>
    <row r="851" customFormat="false" ht="15.75" hidden="false" customHeight="false" outlineLevel="0" collapsed="false">
      <c r="B851" s="30"/>
      <c r="E851" s="30"/>
      <c r="F851" s="30"/>
      <c r="G851" s="30"/>
      <c r="H851" s="30"/>
      <c r="I851" s="30"/>
      <c r="J851" s="30"/>
      <c r="K851" s="30"/>
      <c r="L851" s="30"/>
    </row>
    <row r="852" customFormat="false" ht="15.75" hidden="false" customHeight="false" outlineLevel="0" collapsed="false">
      <c r="B852" s="30"/>
      <c r="E852" s="30"/>
      <c r="F852" s="30"/>
      <c r="G852" s="30"/>
      <c r="H852" s="30"/>
      <c r="I852" s="30"/>
      <c r="J852" s="30"/>
      <c r="K852" s="30"/>
      <c r="L852" s="30"/>
    </row>
    <row r="853" customFormat="false" ht="15.75" hidden="false" customHeight="false" outlineLevel="0" collapsed="false">
      <c r="B853" s="30"/>
      <c r="E853" s="30"/>
      <c r="F853" s="30"/>
      <c r="G853" s="30"/>
      <c r="H853" s="30"/>
      <c r="I853" s="30"/>
      <c r="J853" s="30"/>
      <c r="K853" s="30"/>
      <c r="L853" s="30"/>
    </row>
    <row r="854" customFormat="false" ht="15.75" hidden="false" customHeight="false" outlineLevel="0" collapsed="false">
      <c r="B854" s="30"/>
      <c r="E854" s="30"/>
      <c r="F854" s="30"/>
      <c r="G854" s="30"/>
      <c r="H854" s="30"/>
      <c r="I854" s="30"/>
      <c r="J854" s="30"/>
      <c r="K854" s="30"/>
      <c r="L854" s="30"/>
    </row>
    <row r="855" customFormat="false" ht="15.75" hidden="false" customHeight="false" outlineLevel="0" collapsed="false">
      <c r="B855" s="30"/>
      <c r="E855" s="30"/>
      <c r="F855" s="30"/>
      <c r="G855" s="30"/>
      <c r="H855" s="30"/>
      <c r="I855" s="30"/>
      <c r="J855" s="30"/>
      <c r="K855" s="30"/>
      <c r="L855" s="30"/>
    </row>
    <row r="856" customFormat="false" ht="15.75" hidden="false" customHeight="false" outlineLevel="0" collapsed="false">
      <c r="B856" s="30"/>
      <c r="E856" s="30"/>
      <c r="F856" s="30"/>
      <c r="G856" s="30"/>
      <c r="H856" s="30"/>
      <c r="I856" s="30"/>
      <c r="J856" s="30"/>
      <c r="K856" s="30"/>
      <c r="L856" s="30"/>
    </row>
    <row r="857" customFormat="false" ht="15.75" hidden="false" customHeight="false" outlineLevel="0" collapsed="false">
      <c r="B857" s="30"/>
      <c r="E857" s="30"/>
      <c r="F857" s="30"/>
      <c r="G857" s="30"/>
      <c r="H857" s="30"/>
      <c r="I857" s="30"/>
      <c r="J857" s="30"/>
      <c r="K857" s="30"/>
      <c r="L857" s="30"/>
    </row>
    <row r="858" customFormat="false" ht="15.75" hidden="false" customHeight="false" outlineLevel="0" collapsed="false">
      <c r="B858" s="30"/>
      <c r="E858" s="30"/>
      <c r="F858" s="30"/>
      <c r="G858" s="30"/>
      <c r="H858" s="30"/>
      <c r="I858" s="30"/>
      <c r="J858" s="30"/>
      <c r="K858" s="30"/>
      <c r="L858" s="30"/>
    </row>
    <row r="859" customFormat="false" ht="15.75" hidden="false" customHeight="false" outlineLevel="0" collapsed="false">
      <c r="B859" s="30"/>
      <c r="E859" s="30"/>
      <c r="F859" s="30"/>
      <c r="G859" s="30"/>
      <c r="H859" s="30"/>
      <c r="I859" s="30"/>
      <c r="J859" s="30"/>
      <c r="K859" s="30"/>
      <c r="L859" s="30"/>
    </row>
    <row r="860" customFormat="false" ht="15.75" hidden="false" customHeight="false" outlineLevel="0" collapsed="false">
      <c r="B860" s="30"/>
      <c r="E860" s="30"/>
      <c r="F860" s="30"/>
      <c r="G860" s="30"/>
      <c r="H860" s="30"/>
      <c r="I860" s="30"/>
      <c r="J860" s="30"/>
      <c r="K860" s="30"/>
      <c r="L860" s="30"/>
    </row>
    <row r="861" customFormat="false" ht="15.75" hidden="false" customHeight="false" outlineLevel="0" collapsed="false">
      <c r="B861" s="30"/>
      <c r="E861" s="30"/>
      <c r="F861" s="30"/>
      <c r="G861" s="30"/>
      <c r="H861" s="30"/>
      <c r="I861" s="30"/>
      <c r="J861" s="30"/>
      <c r="K861" s="30"/>
      <c r="L861" s="30"/>
    </row>
    <row r="862" customFormat="false" ht="15.75" hidden="false" customHeight="false" outlineLevel="0" collapsed="false">
      <c r="B862" s="30"/>
      <c r="E862" s="30"/>
      <c r="F862" s="30"/>
      <c r="G862" s="30"/>
      <c r="H862" s="30"/>
      <c r="I862" s="30"/>
      <c r="J862" s="30"/>
      <c r="K862" s="30"/>
      <c r="L862" s="30"/>
    </row>
    <row r="863" customFormat="false" ht="15.75" hidden="false" customHeight="false" outlineLevel="0" collapsed="false">
      <c r="B863" s="30"/>
      <c r="E863" s="30"/>
      <c r="F863" s="30"/>
      <c r="G863" s="30"/>
      <c r="H863" s="30"/>
      <c r="I863" s="30"/>
      <c r="J863" s="30"/>
      <c r="K863" s="30"/>
      <c r="L863" s="30"/>
    </row>
    <row r="864" customFormat="false" ht="15.75" hidden="false" customHeight="false" outlineLevel="0" collapsed="false">
      <c r="B864" s="30"/>
      <c r="E864" s="30"/>
      <c r="F864" s="30"/>
      <c r="G864" s="30"/>
      <c r="H864" s="30"/>
      <c r="I864" s="30"/>
      <c r="J864" s="30"/>
      <c r="K864" s="30"/>
      <c r="L864" s="30"/>
    </row>
    <row r="865" customFormat="false" ht="15.75" hidden="false" customHeight="false" outlineLevel="0" collapsed="false">
      <c r="B865" s="30"/>
      <c r="E865" s="30"/>
      <c r="F865" s="30"/>
      <c r="G865" s="30"/>
      <c r="H865" s="30"/>
      <c r="I865" s="30"/>
      <c r="J865" s="30"/>
      <c r="K865" s="30"/>
      <c r="L865" s="30"/>
    </row>
    <row r="866" customFormat="false" ht="15.75" hidden="false" customHeight="false" outlineLevel="0" collapsed="false">
      <c r="B866" s="30"/>
      <c r="E866" s="30"/>
      <c r="F866" s="30"/>
      <c r="G866" s="30"/>
      <c r="H866" s="30"/>
      <c r="I866" s="30"/>
      <c r="J866" s="30"/>
      <c r="K866" s="30"/>
      <c r="L866" s="30"/>
    </row>
    <row r="867" customFormat="false" ht="15.75" hidden="false" customHeight="false" outlineLevel="0" collapsed="false">
      <c r="B867" s="30"/>
      <c r="E867" s="30"/>
      <c r="F867" s="30"/>
      <c r="G867" s="30"/>
      <c r="H867" s="30"/>
      <c r="I867" s="30"/>
      <c r="J867" s="30"/>
      <c r="K867" s="30"/>
      <c r="L867" s="30"/>
    </row>
    <row r="868" customFormat="false" ht="15.75" hidden="false" customHeight="false" outlineLevel="0" collapsed="false">
      <c r="B868" s="30"/>
      <c r="E868" s="30"/>
      <c r="F868" s="30"/>
      <c r="G868" s="30"/>
      <c r="H868" s="30"/>
      <c r="I868" s="30"/>
      <c r="J868" s="30"/>
      <c r="K868" s="30"/>
      <c r="L868" s="30"/>
    </row>
    <row r="869" customFormat="false" ht="15.75" hidden="false" customHeight="false" outlineLevel="0" collapsed="false">
      <c r="B869" s="30"/>
      <c r="E869" s="30"/>
      <c r="F869" s="30"/>
      <c r="G869" s="30"/>
      <c r="H869" s="30"/>
      <c r="I869" s="30"/>
      <c r="J869" s="30"/>
      <c r="K869" s="30"/>
      <c r="L869" s="30"/>
    </row>
    <row r="870" customFormat="false" ht="15.75" hidden="false" customHeight="false" outlineLevel="0" collapsed="false">
      <c r="B870" s="30"/>
      <c r="E870" s="30"/>
      <c r="F870" s="30"/>
      <c r="G870" s="30"/>
      <c r="H870" s="30"/>
      <c r="I870" s="30"/>
      <c r="J870" s="30"/>
      <c r="K870" s="30"/>
      <c r="L870" s="30"/>
    </row>
    <row r="871" customFormat="false" ht="15.75" hidden="false" customHeight="false" outlineLevel="0" collapsed="false">
      <c r="B871" s="30"/>
      <c r="E871" s="30"/>
      <c r="F871" s="30"/>
      <c r="G871" s="30"/>
      <c r="H871" s="30"/>
      <c r="I871" s="30"/>
      <c r="J871" s="30"/>
      <c r="K871" s="30"/>
      <c r="L871" s="30"/>
    </row>
    <row r="872" customFormat="false" ht="15.75" hidden="false" customHeight="false" outlineLevel="0" collapsed="false">
      <c r="B872" s="30"/>
      <c r="E872" s="30"/>
      <c r="F872" s="30"/>
      <c r="G872" s="30"/>
      <c r="H872" s="30"/>
      <c r="I872" s="30"/>
      <c r="J872" s="30"/>
      <c r="K872" s="30"/>
      <c r="L872" s="30"/>
    </row>
    <row r="873" customFormat="false" ht="15.75" hidden="false" customHeight="false" outlineLevel="0" collapsed="false">
      <c r="B873" s="30"/>
      <c r="E873" s="30"/>
      <c r="F873" s="30"/>
      <c r="G873" s="30"/>
      <c r="H873" s="30"/>
      <c r="I873" s="30"/>
      <c r="J873" s="30"/>
      <c r="K873" s="30"/>
      <c r="L873" s="30"/>
    </row>
    <row r="874" customFormat="false" ht="15.75" hidden="false" customHeight="false" outlineLevel="0" collapsed="false">
      <c r="B874" s="30"/>
      <c r="E874" s="30"/>
      <c r="F874" s="30"/>
      <c r="G874" s="30"/>
      <c r="H874" s="30"/>
      <c r="I874" s="30"/>
      <c r="J874" s="30"/>
      <c r="K874" s="30"/>
      <c r="L874" s="30"/>
    </row>
    <row r="875" customFormat="false" ht="15.75" hidden="false" customHeight="false" outlineLevel="0" collapsed="false">
      <c r="B875" s="30"/>
      <c r="E875" s="30"/>
      <c r="F875" s="30"/>
      <c r="G875" s="30"/>
      <c r="H875" s="30"/>
      <c r="I875" s="30"/>
      <c r="J875" s="30"/>
      <c r="K875" s="30"/>
      <c r="L875" s="30"/>
    </row>
    <row r="876" customFormat="false" ht="15.75" hidden="false" customHeight="false" outlineLevel="0" collapsed="false">
      <c r="B876" s="30"/>
      <c r="E876" s="30"/>
      <c r="F876" s="30"/>
      <c r="G876" s="30"/>
      <c r="H876" s="30"/>
      <c r="I876" s="30"/>
      <c r="J876" s="30"/>
      <c r="K876" s="30"/>
      <c r="L876" s="30"/>
    </row>
    <row r="877" customFormat="false" ht="15.75" hidden="false" customHeight="false" outlineLevel="0" collapsed="false">
      <c r="B877" s="30"/>
      <c r="E877" s="30"/>
      <c r="F877" s="30"/>
      <c r="G877" s="30"/>
      <c r="H877" s="30"/>
      <c r="I877" s="30"/>
      <c r="J877" s="30"/>
      <c r="K877" s="30"/>
      <c r="L877" s="30"/>
    </row>
    <row r="878" customFormat="false" ht="15.75" hidden="false" customHeight="false" outlineLevel="0" collapsed="false">
      <c r="B878" s="30"/>
      <c r="E878" s="30"/>
      <c r="F878" s="30"/>
      <c r="G878" s="30"/>
      <c r="H878" s="30"/>
      <c r="I878" s="30"/>
      <c r="J878" s="30"/>
      <c r="K878" s="30"/>
      <c r="L878" s="30"/>
    </row>
    <row r="879" customFormat="false" ht="15.75" hidden="false" customHeight="false" outlineLevel="0" collapsed="false">
      <c r="B879" s="30"/>
      <c r="E879" s="30"/>
      <c r="F879" s="30"/>
      <c r="G879" s="30"/>
      <c r="H879" s="30"/>
      <c r="I879" s="30"/>
      <c r="J879" s="30"/>
      <c r="K879" s="30"/>
      <c r="L879" s="30"/>
    </row>
    <row r="880" customFormat="false" ht="15.75" hidden="false" customHeight="false" outlineLevel="0" collapsed="false">
      <c r="B880" s="30"/>
      <c r="E880" s="30"/>
      <c r="F880" s="30"/>
      <c r="G880" s="30"/>
      <c r="H880" s="30"/>
      <c r="I880" s="30"/>
      <c r="J880" s="30"/>
      <c r="K880" s="30"/>
      <c r="L880" s="30"/>
    </row>
    <row r="881" customFormat="false" ht="15.75" hidden="false" customHeight="false" outlineLevel="0" collapsed="false">
      <c r="B881" s="30"/>
      <c r="E881" s="30"/>
      <c r="F881" s="30"/>
      <c r="G881" s="30"/>
      <c r="H881" s="30"/>
      <c r="I881" s="30"/>
      <c r="J881" s="30"/>
      <c r="K881" s="30"/>
      <c r="L881" s="30"/>
    </row>
    <row r="882" customFormat="false" ht="15.75" hidden="false" customHeight="false" outlineLevel="0" collapsed="false">
      <c r="B882" s="30"/>
      <c r="E882" s="30"/>
      <c r="F882" s="30"/>
      <c r="G882" s="30"/>
      <c r="H882" s="30"/>
      <c r="I882" s="30"/>
      <c r="J882" s="30"/>
      <c r="K882" s="30"/>
      <c r="L882" s="30"/>
    </row>
    <row r="883" customFormat="false" ht="15.75" hidden="false" customHeight="false" outlineLevel="0" collapsed="false">
      <c r="B883" s="30"/>
      <c r="E883" s="30"/>
      <c r="F883" s="30"/>
      <c r="G883" s="30"/>
      <c r="H883" s="30"/>
      <c r="I883" s="30"/>
      <c r="J883" s="30"/>
      <c r="K883" s="30"/>
      <c r="L883" s="30"/>
    </row>
    <row r="884" customFormat="false" ht="15.75" hidden="false" customHeight="false" outlineLevel="0" collapsed="false">
      <c r="B884" s="30"/>
      <c r="E884" s="30"/>
      <c r="F884" s="30"/>
      <c r="G884" s="30"/>
      <c r="H884" s="30"/>
      <c r="I884" s="30"/>
      <c r="J884" s="30"/>
      <c r="K884" s="30"/>
      <c r="L884" s="30"/>
    </row>
    <row r="885" customFormat="false" ht="15.75" hidden="false" customHeight="false" outlineLevel="0" collapsed="false">
      <c r="B885" s="30"/>
      <c r="E885" s="30"/>
      <c r="F885" s="30"/>
      <c r="G885" s="30"/>
      <c r="H885" s="30"/>
      <c r="I885" s="30"/>
      <c r="J885" s="30"/>
      <c r="K885" s="30"/>
      <c r="L885" s="30"/>
    </row>
    <row r="886" customFormat="false" ht="15.75" hidden="false" customHeight="false" outlineLevel="0" collapsed="false">
      <c r="B886" s="30"/>
      <c r="E886" s="30"/>
      <c r="F886" s="30"/>
      <c r="G886" s="30"/>
      <c r="H886" s="30"/>
      <c r="I886" s="30"/>
      <c r="J886" s="30"/>
      <c r="K886" s="30"/>
      <c r="L886" s="30"/>
    </row>
    <row r="887" customFormat="false" ht="15.75" hidden="false" customHeight="false" outlineLevel="0" collapsed="false">
      <c r="B887" s="30"/>
      <c r="E887" s="30"/>
      <c r="F887" s="30"/>
      <c r="G887" s="30"/>
      <c r="H887" s="30"/>
      <c r="I887" s="30"/>
      <c r="J887" s="30"/>
      <c r="K887" s="30"/>
      <c r="L887" s="30"/>
    </row>
    <row r="888" customFormat="false" ht="15.75" hidden="false" customHeight="false" outlineLevel="0" collapsed="false">
      <c r="B888" s="30"/>
      <c r="E888" s="30"/>
      <c r="F888" s="30"/>
      <c r="G888" s="30"/>
      <c r="H888" s="30"/>
      <c r="I888" s="30"/>
      <c r="J888" s="30"/>
      <c r="K888" s="30"/>
      <c r="L888" s="30"/>
    </row>
    <row r="889" customFormat="false" ht="15.75" hidden="false" customHeight="false" outlineLevel="0" collapsed="false">
      <c r="B889" s="30"/>
      <c r="E889" s="30"/>
      <c r="F889" s="30"/>
      <c r="G889" s="30"/>
      <c r="H889" s="30"/>
      <c r="I889" s="30"/>
      <c r="J889" s="30"/>
      <c r="K889" s="30"/>
      <c r="L889" s="30"/>
    </row>
    <row r="890" customFormat="false" ht="15.75" hidden="false" customHeight="false" outlineLevel="0" collapsed="false">
      <c r="B890" s="30"/>
      <c r="E890" s="30"/>
      <c r="F890" s="30"/>
      <c r="G890" s="30"/>
      <c r="H890" s="30"/>
      <c r="I890" s="30"/>
      <c r="J890" s="30"/>
      <c r="K890" s="30"/>
      <c r="L890" s="30"/>
    </row>
    <row r="891" customFormat="false" ht="15.75" hidden="false" customHeight="false" outlineLevel="0" collapsed="false">
      <c r="B891" s="30"/>
      <c r="E891" s="30"/>
      <c r="F891" s="30"/>
      <c r="G891" s="30"/>
      <c r="H891" s="30"/>
      <c r="I891" s="30"/>
      <c r="J891" s="30"/>
      <c r="K891" s="30"/>
      <c r="L891" s="30"/>
    </row>
    <row r="892" customFormat="false" ht="15.75" hidden="false" customHeight="false" outlineLevel="0" collapsed="false">
      <c r="B892" s="30"/>
      <c r="E892" s="30"/>
      <c r="F892" s="30"/>
      <c r="G892" s="30"/>
      <c r="H892" s="30"/>
      <c r="I892" s="30"/>
      <c r="J892" s="30"/>
      <c r="K892" s="30"/>
      <c r="L892" s="30"/>
    </row>
    <row r="893" customFormat="false" ht="15.75" hidden="false" customHeight="false" outlineLevel="0" collapsed="false">
      <c r="B893" s="30"/>
      <c r="E893" s="30"/>
      <c r="F893" s="30"/>
      <c r="G893" s="30"/>
      <c r="H893" s="30"/>
      <c r="I893" s="30"/>
      <c r="J893" s="30"/>
      <c r="K893" s="30"/>
      <c r="L893" s="30"/>
    </row>
    <row r="894" customFormat="false" ht="15.75" hidden="false" customHeight="false" outlineLevel="0" collapsed="false">
      <c r="B894" s="30"/>
      <c r="E894" s="30"/>
      <c r="F894" s="30"/>
      <c r="G894" s="30"/>
      <c r="H894" s="30"/>
      <c r="I894" s="30"/>
      <c r="J894" s="30"/>
      <c r="K894" s="30"/>
      <c r="L894" s="30"/>
    </row>
    <row r="895" customFormat="false" ht="15.75" hidden="false" customHeight="false" outlineLevel="0" collapsed="false">
      <c r="B895" s="30"/>
      <c r="E895" s="30"/>
      <c r="F895" s="30"/>
      <c r="G895" s="30"/>
      <c r="H895" s="30"/>
      <c r="I895" s="30"/>
      <c r="J895" s="30"/>
      <c r="K895" s="30"/>
      <c r="L895" s="30"/>
    </row>
    <row r="896" customFormat="false" ht="15.75" hidden="false" customHeight="false" outlineLevel="0" collapsed="false">
      <c r="B896" s="30"/>
      <c r="E896" s="30"/>
      <c r="F896" s="30"/>
      <c r="G896" s="30"/>
      <c r="H896" s="30"/>
      <c r="I896" s="30"/>
      <c r="J896" s="30"/>
      <c r="K896" s="30"/>
      <c r="L896" s="30"/>
    </row>
    <row r="897" customFormat="false" ht="15.75" hidden="false" customHeight="false" outlineLevel="0" collapsed="false">
      <c r="B897" s="30"/>
      <c r="E897" s="30"/>
      <c r="F897" s="30"/>
      <c r="G897" s="30"/>
      <c r="H897" s="30"/>
      <c r="I897" s="30"/>
      <c r="J897" s="30"/>
      <c r="K897" s="30"/>
      <c r="L897" s="30"/>
    </row>
    <row r="898" customFormat="false" ht="15.75" hidden="false" customHeight="false" outlineLevel="0" collapsed="false">
      <c r="B898" s="30"/>
      <c r="E898" s="30"/>
      <c r="F898" s="30"/>
      <c r="G898" s="30"/>
      <c r="H898" s="30"/>
      <c r="I898" s="30"/>
      <c r="J898" s="30"/>
      <c r="K898" s="30"/>
      <c r="L898" s="30"/>
    </row>
    <row r="899" customFormat="false" ht="15.75" hidden="false" customHeight="false" outlineLevel="0" collapsed="false">
      <c r="B899" s="30"/>
      <c r="E899" s="30"/>
      <c r="F899" s="30"/>
      <c r="G899" s="30"/>
      <c r="H899" s="30"/>
      <c r="I899" s="30"/>
      <c r="J899" s="30"/>
      <c r="K899" s="30"/>
      <c r="L899" s="30"/>
    </row>
    <row r="900" customFormat="false" ht="15.75" hidden="false" customHeight="false" outlineLevel="0" collapsed="false">
      <c r="B900" s="30"/>
      <c r="E900" s="30"/>
      <c r="F900" s="30"/>
      <c r="G900" s="30"/>
      <c r="H900" s="30"/>
      <c r="I900" s="30"/>
      <c r="J900" s="30"/>
      <c r="K900" s="30"/>
      <c r="L900" s="30"/>
    </row>
    <row r="901" customFormat="false" ht="15.75" hidden="false" customHeight="false" outlineLevel="0" collapsed="false">
      <c r="B901" s="30"/>
      <c r="E901" s="30"/>
      <c r="F901" s="30"/>
      <c r="G901" s="30"/>
      <c r="H901" s="30"/>
      <c r="I901" s="30"/>
      <c r="J901" s="30"/>
      <c r="K901" s="30"/>
      <c r="L901" s="30"/>
    </row>
    <row r="902" customFormat="false" ht="15.75" hidden="false" customHeight="false" outlineLevel="0" collapsed="false">
      <c r="B902" s="30"/>
      <c r="E902" s="30"/>
      <c r="F902" s="30"/>
      <c r="G902" s="30"/>
      <c r="H902" s="30"/>
      <c r="I902" s="30"/>
      <c r="J902" s="30"/>
      <c r="K902" s="30"/>
      <c r="L902" s="30"/>
    </row>
    <row r="903" customFormat="false" ht="15.75" hidden="false" customHeight="false" outlineLevel="0" collapsed="false">
      <c r="B903" s="30"/>
      <c r="E903" s="30"/>
      <c r="F903" s="30"/>
      <c r="G903" s="30"/>
      <c r="H903" s="30"/>
      <c r="I903" s="30"/>
      <c r="J903" s="30"/>
      <c r="K903" s="30"/>
      <c r="L903" s="30"/>
    </row>
    <row r="904" customFormat="false" ht="15.75" hidden="false" customHeight="false" outlineLevel="0" collapsed="false">
      <c r="B904" s="30"/>
      <c r="E904" s="30"/>
      <c r="F904" s="30"/>
      <c r="G904" s="30"/>
      <c r="H904" s="30"/>
      <c r="I904" s="30"/>
      <c r="J904" s="30"/>
      <c r="K904" s="30"/>
      <c r="L904" s="30"/>
    </row>
    <row r="905" customFormat="false" ht="15.75" hidden="false" customHeight="false" outlineLevel="0" collapsed="false">
      <c r="B905" s="30"/>
      <c r="E905" s="30"/>
      <c r="F905" s="30"/>
      <c r="G905" s="30"/>
      <c r="H905" s="30"/>
      <c r="I905" s="30"/>
      <c r="J905" s="30"/>
      <c r="K905" s="30"/>
      <c r="L905" s="30"/>
    </row>
    <row r="906" customFormat="false" ht="15.75" hidden="false" customHeight="false" outlineLevel="0" collapsed="false">
      <c r="B906" s="30"/>
      <c r="E906" s="30"/>
      <c r="F906" s="30"/>
      <c r="G906" s="30"/>
      <c r="H906" s="30"/>
      <c r="I906" s="30"/>
      <c r="J906" s="30"/>
      <c r="K906" s="30"/>
      <c r="L906" s="30"/>
    </row>
    <row r="907" customFormat="false" ht="15.75" hidden="false" customHeight="false" outlineLevel="0" collapsed="false">
      <c r="B907" s="30"/>
      <c r="E907" s="30"/>
      <c r="F907" s="30"/>
      <c r="G907" s="30"/>
      <c r="H907" s="30"/>
      <c r="I907" s="30"/>
      <c r="J907" s="30"/>
      <c r="K907" s="30"/>
      <c r="L907" s="30"/>
    </row>
    <row r="908" customFormat="false" ht="15.75" hidden="false" customHeight="false" outlineLevel="0" collapsed="false">
      <c r="B908" s="30"/>
      <c r="E908" s="30"/>
      <c r="F908" s="30"/>
      <c r="G908" s="30"/>
      <c r="H908" s="30"/>
      <c r="I908" s="30"/>
      <c r="J908" s="30"/>
      <c r="K908" s="30"/>
      <c r="L908" s="30"/>
    </row>
    <row r="909" customFormat="false" ht="15.75" hidden="false" customHeight="false" outlineLevel="0" collapsed="false">
      <c r="B909" s="30"/>
      <c r="E909" s="30"/>
      <c r="F909" s="30"/>
      <c r="G909" s="30"/>
      <c r="H909" s="30"/>
      <c r="I909" s="30"/>
      <c r="J909" s="30"/>
      <c r="K909" s="30"/>
      <c r="L909" s="30"/>
    </row>
    <row r="910" customFormat="false" ht="15.75" hidden="false" customHeight="false" outlineLevel="0" collapsed="false">
      <c r="B910" s="30"/>
      <c r="E910" s="30"/>
      <c r="F910" s="30"/>
      <c r="G910" s="30"/>
      <c r="H910" s="30"/>
      <c r="I910" s="30"/>
      <c r="J910" s="30"/>
      <c r="K910" s="30"/>
      <c r="L910" s="30"/>
    </row>
    <row r="911" customFormat="false" ht="15.75" hidden="false" customHeight="false" outlineLevel="0" collapsed="false">
      <c r="B911" s="30"/>
      <c r="E911" s="30"/>
      <c r="F911" s="30"/>
      <c r="G911" s="30"/>
      <c r="H911" s="30"/>
      <c r="I911" s="30"/>
      <c r="J911" s="30"/>
      <c r="K911" s="30"/>
      <c r="L911" s="30"/>
    </row>
    <row r="912" customFormat="false" ht="15.75" hidden="false" customHeight="false" outlineLevel="0" collapsed="false">
      <c r="B912" s="30"/>
      <c r="E912" s="30"/>
      <c r="F912" s="30"/>
      <c r="G912" s="30"/>
      <c r="H912" s="30"/>
      <c r="I912" s="30"/>
      <c r="J912" s="30"/>
      <c r="K912" s="30"/>
      <c r="L912" s="30"/>
    </row>
    <row r="913" customFormat="false" ht="15.75" hidden="false" customHeight="false" outlineLevel="0" collapsed="false">
      <c r="B913" s="30"/>
      <c r="E913" s="30"/>
      <c r="F913" s="30"/>
      <c r="G913" s="30"/>
      <c r="H913" s="30"/>
      <c r="I913" s="30"/>
      <c r="J913" s="30"/>
      <c r="K913" s="30"/>
      <c r="L913" s="30"/>
    </row>
    <row r="914" customFormat="false" ht="15.75" hidden="false" customHeight="false" outlineLevel="0" collapsed="false">
      <c r="B914" s="30"/>
      <c r="E914" s="30"/>
      <c r="F914" s="30"/>
      <c r="G914" s="30"/>
      <c r="H914" s="30"/>
      <c r="I914" s="30"/>
      <c r="J914" s="30"/>
      <c r="K914" s="30"/>
      <c r="L914" s="30"/>
    </row>
    <row r="915" customFormat="false" ht="15.75" hidden="false" customHeight="false" outlineLevel="0" collapsed="false">
      <c r="B915" s="30"/>
      <c r="E915" s="30"/>
      <c r="F915" s="30"/>
      <c r="G915" s="30"/>
      <c r="H915" s="30"/>
      <c r="I915" s="30"/>
      <c r="J915" s="30"/>
      <c r="K915" s="30"/>
      <c r="L915" s="30"/>
    </row>
    <row r="916" customFormat="false" ht="15.75" hidden="false" customHeight="false" outlineLevel="0" collapsed="false">
      <c r="B916" s="30"/>
      <c r="E916" s="30"/>
      <c r="F916" s="30"/>
      <c r="G916" s="30"/>
      <c r="H916" s="30"/>
      <c r="I916" s="30"/>
      <c r="J916" s="30"/>
      <c r="K916" s="30"/>
      <c r="L916" s="30"/>
    </row>
    <row r="917" customFormat="false" ht="15.75" hidden="false" customHeight="false" outlineLevel="0" collapsed="false">
      <c r="B917" s="30"/>
      <c r="E917" s="30"/>
      <c r="F917" s="30"/>
      <c r="G917" s="30"/>
      <c r="H917" s="30"/>
      <c r="I917" s="30"/>
      <c r="J917" s="30"/>
      <c r="K917" s="30"/>
      <c r="L917" s="30"/>
    </row>
    <row r="918" customFormat="false" ht="15.75" hidden="false" customHeight="false" outlineLevel="0" collapsed="false">
      <c r="B918" s="30"/>
      <c r="E918" s="30"/>
      <c r="F918" s="30"/>
      <c r="G918" s="30"/>
      <c r="H918" s="30"/>
      <c r="I918" s="30"/>
      <c r="J918" s="30"/>
      <c r="K918" s="30"/>
      <c r="L918" s="30"/>
    </row>
    <row r="919" customFormat="false" ht="15.75" hidden="false" customHeight="false" outlineLevel="0" collapsed="false">
      <c r="B919" s="30"/>
      <c r="E919" s="30"/>
      <c r="F919" s="30"/>
      <c r="G919" s="30"/>
      <c r="H919" s="30"/>
      <c r="I919" s="30"/>
      <c r="J919" s="30"/>
      <c r="K919" s="30"/>
      <c r="L919" s="30"/>
    </row>
    <row r="920" customFormat="false" ht="15.75" hidden="false" customHeight="false" outlineLevel="0" collapsed="false">
      <c r="B920" s="30"/>
      <c r="E920" s="30"/>
      <c r="F920" s="30"/>
      <c r="G920" s="30"/>
      <c r="H920" s="30"/>
      <c r="I920" s="30"/>
      <c r="J920" s="30"/>
      <c r="K920" s="30"/>
      <c r="L920" s="30"/>
    </row>
    <row r="921" customFormat="false" ht="15.75" hidden="false" customHeight="false" outlineLevel="0" collapsed="false">
      <c r="B921" s="30"/>
      <c r="E921" s="30"/>
      <c r="F921" s="30"/>
      <c r="G921" s="30"/>
      <c r="H921" s="30"/>
      <c r="I921" s="30"/>
      <c r="J921" s="30"/>
      <c r="K921" s="30"/>
      <c r="L921" s="30"/>
    </row>
    <row r="922" customFormat="false" ht="15.75" hidden="false" customHeight="false" outlineLevel="0" collapsed="false">
      <c r="B922" s="30"/>
      <c r="E922" s="30"/>
      <c r="F922" s="30"/>
      <c r="G922" s="30"/>
      <c r="H922" s="30"/>
      <c r="I922" s="30"/>
      <c r="J922" s="30"/>
      <c r="K922" s="30"/>
      <c r="L922" s="30"/>
    </row>
    <row r="923" customFormat="false" ht="15.75" hidden="false" customHeight="false" outlineLevel="0" collapsed="false">
      <c r="B923" s="30"/>
      <c r="E923" s="30"/>
      <c r="F923" s="30"/>
      <c r="G923" s="30"/>
      <c r="H923" s="30"/>
      <c r="I923" s="30"/>
      <c r="J923" s="30"/>
      <c r="K923" s="30"/>
      <c r="L923" s="30"/>
    </row>
    <row r="924" customFormat="false" ht="15.75" hidden="false" customHeight="false" outlineLevel="0" collapsed="false">
      <c r="B924" s="30"/>
      <c r="E924" s="30"/>
      <c r="F924" s="30"/>
      <c r="G924" s="30"/>
      <c r="H924" s="30"/>
      <c r="I924" s="30"/>
      <c r="J924" s="30"/>
      <c r="K924" s="30"/>
      <c r="L924" s="30"/>
    </row>
    <row r="925" customFormat="false" ht="15.75" hidden="false" customHeight="false" outlineLevel="0" collapsed="false">
      <c r="B925" s="30"/>
      <c r="E925" s="30"/>
      <c r="F925" s="30"/>
      <c r="G925" s="30"/>
      <c r="H925" s="30"/>
      <c r="I925" s="30"/>
      <c r="J925" s="30"/>
      <c r="K925" s="30"/>
      <c r="L925" s="30"/>
    </row>
    <row r="926" customFormat="false" ht="15.75" hidden="false" customHeight="false" outlineLevel="0" collapsed="false">
      <c r="B926" s="30"/>
      <c r="E926" s="30"/>
      <c r="F926" s="30"/>
      <c r="G926" s="30"/>
      <c r="H926" s="30"/>
      <c r="I926" s="30"/>
      <c r="J926" s="30"/>
      <c r="K926" s="30"/>
      <c r="L926" s="30"/>
    </row>
    <row r="927" customFormat="false" ht="15.75" hidden="false" customHeight="false" outlineLevel="0" collapsed="false">
      <c r="B927" s="30"/>
      <c r="E927" s="30"/>
      <c r="F927" s="30"/>
      <c r="G927" s="30"/>
      <c r="H927" s="30"/>
      <c r="I927" s="30"/>
      <c r="J927" s="30"/>
      <c r="K927" s="30"/>
      <c r="L927" s="30"/>
    </row>
    <row r="928" customFormat="false" ht="15.75" hidden="false" customHeight="false" outlineLevel="0" collapsed="false">
      <c r="B928" s="30"/>
      <c r="E928" s="30"/>
      <c r="F928" s="30"/>
      <c r="G928" s="30"/>
      <c r="H928" s="30"/>
      <c r="I928" s="30"/>
      <c r="J928" s="30"/>
      <c r="K928" s="30"/>
      <c r="L928" s="30"/>
    </row>
    <row r="929" customFormat="false" ht="15.75" hidden="false" customHeight="false" outlineLevel="0" collapsed="false">
      <c r="B929" s="30"/>
      <c r="E929" s="30"/>
      <c r="F929" s="30"/>
      <c r="G929" s="30"/>
      <c r="H929" s="30"/>
      <c r="I929" s="30"/>
      <c r="J929" s="30"/>
      <c r="K929" s="30"/>
      <c r="L929" s="30"/>
    </row>
    <row r="930" customFormat="false" ht="15.75" hidden="false" customHeight="false" outlineLevel="0" collapsed="false">
      <c r="B930" s="30"/>
      <c r="E930" s="30"/>
      <c r="F930" s="30"/>
      <c r="G930" s="30"/>
      <c r="H930" s="30"/>
      <c r="I930" s="30"/>
      <c r="J930" s="30"/>
      <c r="K930" s="30"/>
      <c r="L930" s="30"/>
    </row>
    <row r="931" customFormat="false" ht="15.75" hidden="false" customHeight="false" outlineLevel="0" collapsed="false">
      <c r="B931" s="30"/>
      <c r="E931" s="30"/>
      <c r="F931" s="30"/>
      <c r="G931" s="30"/>
      <c r="H931" s="30"/>
      <c r="I931" s="30"/>
      <c r="J931" s="30"/>
      <c r="K931" s="30"/>
      <c r="L931" s="30"/>
    </row>
    <row r="932" customFormat="false" ht="15.75" hidden="false" customHeight="false" outlineLevel="0" collapsed="false">
      <c r="B932" s="30"/>
      <c r="E932" s="30"/>
      <c r="F932" s="30"/>
      <c r="G932" s="30"/>
      <c r="H932" s="30"/>
      <c r="I932" s="30"/>
      <c r="J932" s="30"/>
      <c r="K932" s="30"/>
      <c r="L932" s="30"/>
    </row>
    <row r="933" customFormat="false" ht="15.75" hidden="false" customHeight="false" outlineLevel="0" collapsed="false">
      <c r="B933" s="30"/>
      <c r="E933" s="30"/>
      <c r="F933" s="30"/>
      <c r="G933" s="30"/>
      <c r="H933" s="30"/>
      <c r="I933" s="30"/>
      <c r="J933" s="30"/>
      <c r="K933" s="30"/>
      <c r="L933" s="30"/>
    </row>
    <row r="934" customFormat="false" ht="15.75" hidden="false" customHeight="false" outlineLevel="0" collapsed="false">
      <c r="B934" s="30"/>
      <c r="E934" s="30"/>
      <c r="F934" s="30"/>
      <c r="G934" s="30"/>
      <c r="H934" s="30"/>
      <c r="I934" s="30"/>
      <c r="J934" s="30"/>
      <c r="K934" s="30"/>
      <c r="L934" s="30"/>
    </row>
    <row r="935" customFormat="false" ht="15.75" hidden="false" customHeight="false" outlineLevel="0" collapsed="false">
      <c r="B935" s="30"/>
      <c r="E935" s="30"/>
      <c r="F935" s="30"/>
      <c r="G935" s="30"/>
      <c r="H935" s="30"/>
      <c r="I935" s="30"/>
      <c r="J935" s="30"/>
      <c r="K935" s="30"/>
      <c r="L935" s="30"/>
    </row>
    <row r="936" customFormat="false" ht="15.75" hidden="false" customHeight="false" outlineLevel="0" collapsed="false">
      <c r="B936" s="30"/>
      <c r="E936" s="30"/>
      <c r="F936" s="30"/>
      <c r="G936" s="30"/>
      <c r="H936" s="30"/>
      <c r="I936" s="30"/>
      <c r="J936" s="30"/>
      <c r="K936" s="30"/>
      <c r="L936" s="30"/>
    </row>
    <row r="937" customFormat="false" ht="15.75" hidden="false" customHeight="false" outlineLevel="0" collapsed="false">
      <c r="B937" s="30"/>
      <c r="E937" s="30"/>
      <c r="F937" s="30"/>
      <c r="G937" s="30"/>
      <c r="H937" s="30"/>
      <c r="I937" s="30"/>
      <c r="J937" s="30"/>
      <c r="K937" s="30"/>
      <c r="L937" s="30"/>
    </row>
    <row r="938" customFormat="false" ht="15.75" hidden="false" customHeight="false" outlineLevel="0" collapsed="false">
      <c r="B938" s="30"/>
      <c r="E938" s="30"/>
      <c r="F938" s="30"/>
      <c r="G938" s="30"/>
      <c r="H938" s="30"/>
      <c r="I938" s="30"/>
      <c r="J938" s="30"/>
      <c r="K938" s="30"/>
      <c r="L938" s="30"/>
    </row>
    <row r="939" customFormat="false" ht="15.75" hidden="false" customHeight="false" outlineLevel="0" collapsed="false">
      <c r="B939" s="30"/>
      <c r="E939" s="30"/>
      <c r="F939" s="30"/>
      <c r="G939" s="30"/>
      <c r="H939" s="30"/>
      <c r="I939" s="30"/>
      <c r="J939" s="30"/>
      <c r="K939" s="30"/>
      <c r="L939" s="30"/>
    </row>
    <row r="940" customFormat="false" ht="15.75" hidden="false" customHeight="false" outlineLevel="0" collapsed="false">
      <c r="B940" s="30"/>
      <c r="E940" s="30"/>
      <c r="F940" s="30"/>
      <c r="G940" s="30"/>
      <c r="H940" s="30"/>
      <c r="I940" s="30"/>
      <c r="J940" s="30"/>
      <c r="K940" s="30"/>
      <c r="L940" s="30"/>
    </row>
    <row r="941" customFormat="false" ht="15.75" hidden="false" customHeight="false" outlineLevel="0" collapsed="false">
      <c r="B941" s="30"/>
      <c r="E941" s="30"/>
      <c r="F941" s="30"/>
      <c r="G941" s="30"/>
      <c r="H941" s="30"/>
      <c r="I941" s="30"/>
      <c r="J941" s="30"/>
      <c r="K941" s="30"/>
      <c r="L941" s="30"/>
    </row>
    <row r="942" customFormat="false" ht="15.75" hidden="false" customHeight="false" outlineLevel="0" collapsed="false">
      <c r="B942" s="30"/>
      <c r="E942" s="30"/>
      <c r="F942" s="30"/>
      <c r="G942" s="30"/>
      <c r="H942" s="30"/>
      <c r="I942" s="30"/>
      <c r="J942" s="30"/>
      <c r="K942" s="30"/>
      <c r="L942" s="30"/>
    </row>
    <row r="943" customFormat="false" ht="15.75" hidden="false" customHeight="false" outlineLevel="0" collapsed="false">
      <c r="B943" s="30"/>
      <c r="E943" s="30"/>
      <c r="F943" s="30"/>
      <c r="G943" s="30"/>
      <c r="H943" s="30"/>
      <c r="I943" s="30"/>
      <c r="J943" s="30"/>
      <c r="K943" s="30"/>
      <c r="L943" s="30"/>
    </row>
    <row r="944" customFormat="false" ht="15.75" hidden="false" customHeight="false" outlineLevel="0" collapsed="false">
      <c r="B944" s="30"/>
      <c r="E944" s="30"/>
      <c r="F944" s="30"/>
      <c r="G944" s="30"/>
      <c r="H944" s="30"/>
      <c r="I944" s="30"/>
      <c r="J944" s="30"/>
      <c r="K944" s="30"/>
      <c r="L944" s="30"/>
    </row>
    <row r="945" customFormat="false" ht="15.75" hidden="false" customHeight="false" outlineLevel="0" collapsed="false">
      <c r="B945" s="30"/>
      <c r="E945" s="30"/>
      <c r="F945" s="30"/>
      <c r="G945" s="30"/>
      <c r="H945" s="30"/>
      <c r="I945" s="30"/>
      <c r="J945" s="30"/>
      <c r="K945" s="30"/>
      <c r="L945" s="30"/>
    </row>
    <row r="946" customFormat="false" ht="15.75" hidden="false" customHeight="false" outlineLevel="0" collapsed="false">
      <c r="B946" s="30"/>
      <c r="E946" s="30"/>
      <c r="F946" s="30"/>
      <c r="G946" s="30"/>
      <c r="H946" s="30"/>
      <c r="I946" s="30"/>
      <c r="J946" s="30"/>
      <c r="K946" s="30"/>
      <c r="L946" s="30"/>
    </row>
    <row r="947" customFormat="false" ht="15.75" hidden="false" customHeight="false" outlineLevel="0" collapsed="false">
      <c r="B947" s="30"/>
      <c r="E947" s="30"/>
      <c r="F947" s="30"/>
      <c r="G947" s="30"/>
      <c r="H947" s="30"/>
      <c r="I947" s="30"/>
      <c r="J947" s="30"/>
      <c r="K947" s="30"/>
      <c r="L947" s="30"/>
    </row>
    <row r="948" customFormat="false" ht="15.75" hidden="false" customHeight="false" outlineLevel="0" collapsed="false">
      <c r="B948" s="30"/>
      <c r="E948" s="30"/>
      <c r="F948" s="30"/>
      <c r="G948" s="30"/>
      <c r="H948" s="30"/>
      <c r="I948" s="30"/>
      <c r="J948" s="30"/>
      <c r="K948" s="30"/>
      <c r="L948" s="30"/>
    </row>
    <row r="949" customFormat="false" ht="15.75" hidden="false" customHeight="false" outlineLevel="0" collapsed="false">
      <c r="B949" s="30"/>
      <c r="E949" s="30"/>
      <c r="F949" s="30"/>
      <c r="G949" s="30"/>
      <c r="H949" s="30"/>
      <c r="I949" s="30"/>
      <c r="J949" s="30"/>
      <c r="K949" s="30"/>
      <c r="L949" s="30"/>
    </row>
    <row r="950" customFormat="false" ht="15.75" hidden="false" customHeight="false" outlineLevel="0" collapsed="false">
      <c r="B950" s="30"/>
      <c r="E950" s="30"/>
      <c r="F950" s="30"/>
      <c r="G950" s="30"/>
      <c r="H950" s="30"/>
      <c r="I950" s="30"/>
      <c r="J950" s="30"/>
      <c r="K950" s="30"/>
      <c r="L950" s="30"/>
    </row>
    <row r="951" customFormat="false" ht="15.75" hidden="false" customHeight="false" outlineLevel="0" collapsed="false">
      <c r="B951" s="30"/>
      <c r="E951" s="30"/>
      <c r="F951" s="30"/>
      <c r="G951" s="30"/>
      <c r="H951" s="30"/>
      <c r="I951" s="30"/>
      <c r="J951" s="30"/>
      <c r="K951" s="30"/>
      <c r="L951" s="30"/>
    </row>
    <row r="952" customFormat="false" ht="15.75" hidden="false" customHeight="false" outlineLevel="0" collapsed="false">
      <c r="B952" s="30"/>
      <c r="E952" s="30"/>
      <c r="F952" s="30"/>
      <c r="G952" s="30"/>
      <c r="H952" s="30"/>
      <c r="I952" s="30"/>
      <c r="J952" s="30"/>
      <c r="K952" s="30"/>
      <c r="L952" s="30"/>
    </row>
    <row r="953" customFormat="false" ht="15.75" hidden="false" customHeight="false" outlineLevel="0" collapsed="false">
      <c r="B953" s="30"/>
      <c r="E953" s="30"/>
      <c r="F953" s="30"/>
      <c r="G953" s="30"/>
      <c r="H953" s="30"/>
      <c r="I953" s="30"/>
      <c r="J953" s="30"/>
      <c r="K953" s="30"/>
      <c r="L953" s="30"/>
    </row>
    <row r="954" customFormat="false" ht="15.75" hidden="false" customHeight="false" outlineLevel="0" collapsed="false">
      <c r="B954" s="30"/>
      <c r="E954" s="30"/>
      <c r="F954" s="30"/>
      <c r="G954" s="30"/>
      <c r="H954" s="30"/>
      <c r="I954" s="30"/>
      <c r="J954" s="30"/>
      <c r="K954" s="30"/>
      <c r="L954" s="30"/>
    </row>
    <row r="955" customFormat="false" ht="15.75" hidden="false" customHeight="false" outlineLevel="0" collapsed="false">
      <c r="B955" s="30"/>
      <c r="E955" s="30"/>
      <c r="F955" s="30"/>
      <c r="G955" s="30"/>
      <c r="H955" s="30"/>
      <c r="I955" s="30"/>
      <c r="J955" s="30"/>
      <c r="K955" s="30"/>
      <c r="L955" s="30"/>
    </row>
    <row r="956" customFormat="false" ht="15.75" hidden="false" customHeight="false" outlineLevel="0" collapsed="false">
      <c r="B956" s="30"/>
      <c r="E956" s="30"/>
      <c r="F956" s="30"/>
      <c r="G956" s="30"/>
      <c r="H956" s="30"/>
      <c r="I956" s="30"/>
      <c r="J956" s="30"/>
      <c r="K956" s="30"/>
      <c r="L956" s="30"/>
    </row>
    <row r="957" customFormat="false" ht="15.75" hidden="false" customHeight="false" outlineLevel="0" collapsed="false">
      <c r="B957" s="30"/>
      <c r="E957" s="30"/>
      <c r="F957" s="30"/>
      <c r="G957" s="30"/>
      <c r="H957" s="30"/>
      <c r="I957" s="30"/>
      <c r="J957" s="30"/>
      <c r="K957" s="30"/>
      <c r="L957" s="30"/>
    </row>
    <row r="958" customFormat="false" ht="15.75" hidden="false" customHeight="false" outlineLevel="0" collapsed="false">
      <c r="B958" s="30"/>
      <c r="E958" s="30"/>
      <c r="F958" s="30"/>
      <c r="G958" s="30"/>
      <c r="H958" s="30"/>
      <c r="I958" s="30"/>
      <c r="J958" s="30"/>
      <c r="K958" s="30"/>
      <c r="L958" s="30"/>
    </row>
    <row r="959" customFormat="false" ht="15.75" hidden="false" customHeight="false" outlineLevel="0" collapsed="false">
      <c r="B959" s="30"/>
      <c r="E959" s="30"/>
      <c r="F959" s="30"/>
      <c r="G959" s="30"/>
      <c r="H959" s="30"/>
      <c r="I959" s="30"/>
      <c r="J959" s="30"/>
      <c r="K959" s="30"/>
      <c r="L959" s="30"/>
    </row>
    <row r="960" customFormat="false" ht="15.75" hidden="false" customHeight="false" outlineLevel="0" collapsed="false">
      <c r="B960" s="30"/>
      <c r="E960" s="30"/>
      <c r="F960" s="30"/>
      <c r="G960" s="30"/>
      <c r="H960" s="30"/>
      <c r="I960" s="30"/>
      <c r="J960" s="30"/>
      <c r="K960" s="30"/>
      <c r="L960" s="30"/>
    </row>
    <row r="961" customFormat="false" ht="15.75" hidden="false" customHeight="false" outlineLevel="0" collapsed="false">
      <c r="B961" s="30"/>
      <c r="E961" s="30"/>
      <c r="F961" s="30"/>
      <c r="G961" s="30"/>
      <c r="H961" s="30"/>
      <c r="I961" s="30"/>
      <c r="J961" s="30"/>
      <c r="K961" s="30"/>
      <c r="L961" s="30"/>
    </row>
    <row r="962" customFormat="false" ht="15.75" hidden="false" customHeight="false" outlineLevel="0" collapsed="false">
      <c r="B962" s="30"/>
      <c r="E962" s="30"/>
      <c r="F962" s="30"/>
      <c r="G962" s="30"/>
      <c r="H962" s="30"/>
      <c r="I962" s="30"/>
      <c r="J962" s="30"/>
      <c r="K962" s="30"/>
      <c r="L962" s="30"/>
    </row>
    <row r="963" customFormat="false" ht="15.75" hidden="false" customHeight="false" outlineLevel="0" collapsed="false">
      <c r="B963" s="30"/>
      <c r="E963" s="30"/>
      <c r="F963" s="30"/>
      <c r="G963" s="30"/>
      <c r="H963" s="30"/>
      <c r="I963" s="30"/>
      <c r="J963" s="30"/>
      <c r="K963" s="30"/>
      <c r="L963" s="30"/>
    </row>
    <row r="964" customFormat="false" ht="15.75" hidden="false" customHeight="false" outlineLevel="0" collapsed="false">
      <c r="B964" s="30"/>
      <c r="E964" s="30"/>
      <c r="F964" s="30"/>
      <c r="G964" s="30"/>
      <c r="H964" s="30"/>
      <c r="I964" s="30"/>
      <c r="J964" s="30"/>
      <c r="K964" s="30"/>
      <c r="L964" s="30"/>
    </row>
    <row r="965" customFormat="false" ht="15.75" hidden="false" customHeight="false" outlineLevel="0" collapsed="false">
      <c r="B965" s="30"/>
      <c r="E965" s="30"/>
      <c r="F965" s="30"/>
      <c r="G965" s="30"/>
      <c r="H965" s="30"/>
      <c r="I965" s="30"/>
      <c r="J965" s="30"/>
      <c r="K965" s="30"/>
      <c r="L965" s="30"/>
    </row>
    <row r="966" customFormat="false" ht="15.75" hidden="false" customHeight="false" outlineLevel="0" collapsed="false">
      <c r="B966" s="30"/>
      <c r="E966" s="30"/>
      <c r="F966" s="30"/>
      <c r="G966" s="30"/>
      <c r="H966" s="30"/>
      <c r="I966" s="30"/>
      <c r="J966" s="30"/>
      <c r="K966" s="30"/>
      <c r="L966" s="30"/>
    </row>
    <row r="967" customFormat="false" ht="15.75" hidden="false" customHeight="false" outlineLevel="0" collapsed="false">
      <c r="B967" s="30"/>
      <c r="E967" s="30"/>
      <c r="F967" s="30"/>
      <c r="G967" s="30"/>
      <c r="H967" s="30"/>
      <c r="I967" s="30"/>
      <c r="J967" s="30"/>
      <c r="K967" s="30"/>
      <c r="L967" s="30"/>
    </row>
    <row r="968" customFormat="false" ht="15.75" hidden="false" customHeight="false" outlineLevel="0" collapsed="false">
      <c r="B968" s="30"/>
      <c r="E968" s="30"/>
      <c r="F968" s="30"/>
      <c r="G968" s="30"/>
      <c r="H968" s="30"/>
      <c r="I968" s="30"/>
      <c r="J968" s="30"/>
      <c r="K968" s="30"/>
      <c r="L968" s="30"/>
    </row>
    <row r="969" customFormat="false" ht="15.75" hidden="false" customHeight="false" outlineLevel="0" collapsed="false">
      <c r="B969" s="30"/>
      <c r="E969" s="30"/>
      <c r="F969" s="30"/>
      <c r="G969" s="30"/>
      <c r="H969" s="30"/>
      <c r="I969" s="30"/>
      <c r="J969" s="30"/>
      <c r="K969" s="30"/>
      <c r="L969" s="30"/>
    </row>
    <row r="970" customFormat="false" ht="15.75" hidden="false" customHeight="false" outlineLevel="0" collapsed="false">
      <c r="B970" s="30"/>
      <c r="E970" s="30"/>
      <c r="F970" s="30"/>
      <c r="G970" s="30"/>
      <c r="H970" s="30"/>
      <c r="I970" s="30"/>
      <c r="J970" s="30"/>
      <c r="K970" s="30"/>
      <c r="L970" s="30"/>
    </row>
    <row r="971" customFormat="false" ht="15.75" hidden="false" customHeight="false" outlineLevel="0" collapsed="false">
      <c r="B971" s="30"/>
      <c r="E971" s="30"/>
      <c r="F971" s="30"/>
      <c r="G971" s="30"/>
      <c r="H971" s="30"/>
      <c r="I971" s="30"/>
      <c r="J971" s="30"/>
      <c r="K971" s="30"/>
      <c r="L971" s="30"/>
    </row>
    <row r="972" customFormat="false" ht="15.75" hidden="false" customHeight="false" outlineLevel="0" collapsed="false">
      <c r="B972" s="30"/>
      <c r="E972" s="30"/>
      <c r="F972" s="30"/>
      <c r="G972" s="30"/>
      <c r="H972" s="30"/>
      <c r="I972" s="30"/>
      <c r="J972" s="30"/>
      <c r="K972" s="30"/>
      <c r="L972" s="30"/>
    </row>
    <row r="973" customFormat="false" ht="15.75" hidden="false" customHeight="false" outlineLevel="0" collapsed="false">
      <c r="B973" s="30"/>
      <c r="E973" s="30"/>
      <c r="F973" s="30"/>
      <c r="G973" s="30"/>
      <c r="H973" s="30"/>
      <c r="I973" s="30"/>
      <c r="J973" s="30"/>
      <c r="K973" s="30"/>
      <c r="L973" s="30"/>
    </row>
    <row r="974" customFormat="false" ht="15.75" hidden="false" customHeight="false" outlineLevel="0" collapsed="false">
      <c r="B974" s="30"/>
      <c r="E974" s="30"/>
      <c r="F974" s="30"/>
      <c r="G974" s="30"/>
      <c r="H974" s="30"/>
      <c r="I974" s="30"/>
      <c r="J974" s="30"/>
      <c r="K974" s="30"/>
      <c r="L974" s="30"/>
    </row>
    <row r="975" customFormat="false" ht="15.75" hidden="false" customHeight="false" outlineLevel="0" collapsed="false">
      <c r="B975" s="30"/>
      <c r="E975" s="30"/>
      <c r="F975" s="30"/>
      <c r="G975" s="30"/>
      <c r="H975" s="30"/>
      <c r="I975" s="30"/>
      <c r="J975" s="30"/>
      <c r="K975" s="30"/>
      <c r="L975" s="30"/>
    </row>
    <row r="976" customFormat="false" ht="15.75" hidden="false" customHeight="false" outlineLevel="0" collapsed="false">
      <c r="B976" s="30"/>
      <c r="E976" s="30"/>
      <c r="F976" s="30"/>
      <c r="G976" s="30"/>
      <c r="H976" s="30"/>
      <c r="I976" s="30"/>
      <c r="J976" s="30"/>
      <c r="K976" s="30"/>
      <c r="L976" s="30"/>
    </row>
    <row r="977" customFormat="false" ht="15.75" hidden="false" customHeight="false" outlineLevel="0" collapsed="false">
      <c r="B977" s="30"/>
      <c r="E977" s="30"/>
      <c r="F977" s="30"/>
      <c r="G977" s="30"/>
      <c r="H977" s="30"/>
      <c r="I977" s="30"/>
      <c r="J977" s="30"/>
      <c r="K977" s="30"/>
      <c r="L977" s="30"/>
    </row>
    <row r="978" customFormat="false" ht="15.75" hidden="false" customHeight="false" outlineLevel="0" collapsed="false">
      <c r="B978" s="30"/>
      <c r="E978" s="30"/>
      <c r="F978" s="30"/>
      <c r="G978" s="30"/>
      <c r="H978" s="30"/>
      <c r="I978" s="30"/>
      <c r="J978" s="30"/>
      <c r="K978" s="30"/>
      <c r="L978" s="30"/>
    </row>
    <row r="979" customFormat="false" ht="15.75" hidden="false" customHeight="false" outlineLevel="0" collapsed="false">
      <c r="B979" s="30"/>
      <c r="E979" s="30"/>
      <c r="F979" s="30"/>
      <c r="G979" s="30"/>
      <c r="H979" s="30"/>
      <c r="I979" s="30"/>
      <c r="J979" s="30"/>
      <c r="K979" s="30"/>
      <c r="L979" s="30"/>
    </row>
    <row r="980" customFormat="false" ht="15.75" hidden="false" customHeight="false" outlineLevel="0" collapsed="false">
      <c r="B980" s="30"/>
      <c r="E980" s="30"/>
      <c r="F980" s="30"/>
      <c r="G980" s="30"/>
      <c r="H980" s="30"/>
      <c r="I980" s="30"/>
      <c r="J980" s="30"/>
      <c r="K980" s="30"/>
      <c r="L980" s="30"/>
    </row>
    <row r="981" customFormat="false" ht="15.75" hidden="false" customHeight="false" outlineLevel="0" collapsed="false">
      <c r="B981" s="30"/>
      <c r="E981" s="30"/>
      <c r="F981" s="30"/>
      <c r="G981" s="30"/>
      <c r="H981" s="30"/>
      <c r="I981" s="30"/>
      <c r="J981" s="30"/>
      <c r="K981" s="30"/>
      <c r="L981" s="30"/>
    </row>
    <row r="982" customFormat="false" ht="15.75" hidden="false" customHeight="false" outlineLevel="0" collapsed="false">
      <c r="B982" s="30"/>
      <c r="E982" s="30"/>
      <c r="F982" s="30"/>
      <c r="G982" s="30"/>
      <c r="H982" s="30"/>
      <c r="I982" s="30"/>
      <c r="J982" s="30"/>
      <c r="K982" s="30"/>
      <c r="L982" s="30"/>
    </row>
    <row r="983" customFormat="false" ht="15.75" hidden="false" customHeight="false" outlineLevel="0" collapsed="false">
      <c r="B983" s="30"/>
      <c r="E983" s="30"/>
      <c r="F983" s="30"/>
      <c r="G983" s="30"/>
      <c r="H983" s="30"/>
      <c r="I983" s="30"/>
      <c r="J983" s="30"/>
      <c r="K983" s="30"/>
      <c r="L983" s="30"/>
    </row>
    <row r="984" customFormat="false" ht="15.75" hidden="false" customHeight="false" outlineLevel="0" collapsed="false">
      <c r="B984" s="30"/>
      <c r="E984" s="30"/>
      <c r="F984" s="30"/>
      <c r="G984" s="30"/>
      <c r="H984" s="30"/>
      <c r="I984" s="30"/>
      <c r="J984" s="30"/>
      <c r="K984" s="30"/>
      <c r="L984" s="30"/>
    </row>
    <row r="985" customFormat="false" ht="15.75" hidden="false" customHeight="false" outlineLevel="0" collapsed="false">
      <c r="B985" s="30"/>
      <c r="E985" s="30"/>
      <c r="F985" s="30"/>
      <c r="G985" s="30"/>
      <c r="H985" s="30"/>
      <c r="I985" s="30"/>
      <c r="J985" s="30"/>
      <c r="K985" s="30"/>
      <c r="L985" s="30"/>
    </row>
    <row r="986" customFormat="false" ht="15.75" hidden="false" customHeight="false" outlineLevel="0" collapsed="false">
      <c r="B986" s="30"/>
      <c r="E986" s="30"/>
      <c r="F986" s="30"/>
      <c r="G986" s="30"/>
      <c r="H986" s="30"/>
      <c r="I986" s="30"/>
      <c r="J986" s="30"/>
      <c r="K986" s="30"/>
      <c r="L986" s="30"/>
    </row>
    <row r="987" customFormat="false" ht="15.75" hidden="false" customHeight="false" outlineLevel="0" collapsed="false">
      <c r="B987" s="30"/>
      <c r="E987" s="30"/>
      <c r="F987" s="30"/>
      <c r="G987" s="30"/>
      <c r="H987" s="30"/>
      <c r="I987" s="30"/>
      <c r="J987" s="30"/>
      <c r="K987" s="30"/>
      <c r="L987" s="30"/>
    </row>
    <row r="988" customFormat="false" ht="15.75" hidden="false" customHeight="false" outlineLevel="0" collapsed="false">
      <c r="B988" s="30"/>
      <c r="E988" s="30"/>
      <c r="F988" s="30"/>
      <c r="G988" s="30"/>
      <c r="H988" s="30"/>
      <c r="I988" s="30"/>
      <c r="J988" s="30"/>
      <c r="K988" s="30"/>
      <c r="L988" s="30"/>
    </row>
    <row r="989" customFormat="false" ht="15.75" hidden="false" customHeight="false" outlineLevel="0" collapsed="false">
      <c r="B989" s="30"/>
      <c r="E989" s="30"/>
      <c r="F989" s="30"/>
      <c r="G989" s="30"/>
      <c r="H989" s="30"/>
      <c r="I989" s="30"/>
      <c r="J989" s="30"/>
      <c r="K989" s="30"/>
      <c r="L989" s="30"/>
    </row>
    <row r="990" customFormat="false" ht="15.75" hidden="false" customHeight="false" outlineLevel="0" collapsed="false">
      <c r="B990" s="30"/>
      <c r="E990" s="30"/>
      <c r="F990" s="30"/>
      <c r="G990" s="30"/>
      <c r="H990" s="30"/>
      <c r="I990" s="30"/>
      <c r="J990" s="30"/>
      <c r="K990" s="30"/>
      <c r="L990" s="30"/>
    </row>
    <row r="991" customFormat="false" ht="15.75" hidden="false" customHeight="false" outlineLevel="0" collapsed="false">
      <c r="B991" s="30"/>
      <c r="E991" s="30"/>
      <c r="F991" s="30"/>
      <c r="G991" s="30"/>
      <c r="H991" s="30"/>
      <c r="I991" s="30"/>
      <c r="J991" s="30"/>
      <c r="K991" s="30"/>
      <c r="L991" s="30"/>
    </row>
    <row r="992" customFormat="false" ht="15.75" hidden="false" customHeight="false" outlineLevel="0" collapsed="false">
      <c r="B992" s="30"/>
      <c r="E992" s="30"/>
      <c r="F992" s="30"/>
      <c r="G992" s="30"/>
      <c r="H992" s="30"/>
      <c r="I992" s="30"/>
      <c r="J992" s="30"/>
      <c r="K992" s="30"/>
      <c r="L992" s="30"/>
    </row>
    <row r="993" customFormat="false" ht="15.75" hidden="false" customHeight="false" outlineLevel="0" collapsed="false">
      <c r="B993" s="30"/>
      <c r="E993" s="30"/>
      <c r="F993" s="30"/>
      <c r="G993" s="30"/>
      <c r="H993" s="30"/>
      <c r="I993" s="30"/>
      <c r="J993" s="30"/>
      <c r="K993" s="30"/>
      <c r="L993" s="30"/>
    </row>
    <row r="994" customFormat="false" ht="15.75" hidden="false" customHeight="false" outlineLevel="0" collapsed="false">
      <c r="B994" s="30"/>
      <c r="E994" s="30"/>
      <c r="F994" s="30"/>
      <c r="G994" s="30"/>
      <c r="H994" s="30"/>
      <c r="I994" s="30"/>
      <c r="J994" s="30"/>
      <c r="K994" s="30"/>
      <c r="L994" s="30"/>
    </row>
    <row r="995" customFormat="false" ht="15.75" hidden="false" customHeight="false" outlineLevel="0" collapsed="false">
      <c r="B995" s="30"/>
      <c r="E995" s="30"/>
      <c r="F995" s="30"/>
      <c r="G995" s="30"/>
      <c r="H995" s="30"/>
      <c r="I995" s="30"/>
      <c r="J995" s="30"/>
      <c r="K995" s="30"/>
      <c r="L995" s="30"/>
    </row>
    <row r="996" customFormat="false" ht="15.75" hidden="false" customHeight="false" outlineLevel="0" collapsed="false">
      <c r="B996" s="30"/>
      <c r="E996" s="30"/>
      <c r="F996" s="30"/>
      <c r="G996" s="30"/>
      <c r="H996" s="30"/>
      <c r="I996" s="30"/>
      <c r="J996" s="30"/>
      <c r="K996" s="30"/>
      <c r="L996" s="30"/>
    </row>
    <row r="997" customFormat="false" ht="15.75" hidden="false" customHeight="false" outlineLevel="0" collapsed="false">
      <c r="B997" s="30"/>
      <c r="E997" s="30"/>
      <c r="F997" s="30"/>
      <c r="G997" s="30"/>
      <c r="H997" s="30"/>
      <c r="I997" s="30"/>
      <c r="J997" s="30"/>
      <c r="K997" s="30"/>
      <c r="L997" s="30"/>
    </row>
    <row r="998" customFormat="false" ht="15.75" hidden="false" customHeight="false" outlineLevel="0" collapsed="false">
      <c r="B998" s="30"/>
      <c r="E998" s="30"/>
      <c r="F998" s="30"/>
      <c r="G998" s="30"/>
      <c r="H998" s="30"/>
      <c r="I998" s="30"/>
      <c r="J998" s="30"/>
      <c r="K998" s="30"/>
      <c r="L998" s="30"/>
    </row>
    <row r="999" customFormat="false" ht="15.75" hidden="false" customHeight="false" outlineLevel="0" collapsed="false">
      <c r="B999" s="30"/>
      <c r="E999" s="30"/>
      <c r="F999" s="30"/>
      <c r="G999" s="30"/>
      <c r="H999" s="30"/>
      <c r="I999" s="30"/>
      <c r="J999" s="30"/>
      <c r="K999" s="30"/>
      <c r="L999" s="30"/>
    </row>
  </sheetData>
  <autoFilter ref="B2:L253"/>
  <conditionalFormatting sqref="E3:E253">
    <cfRule type="colorScale" priority="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F3:F253">
    <cfRule type="colorScale" priority="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3:G253">
    <cfRule type="colorScale" priority="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H3:H253">
    <cfRule type="colorScale" priority="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3:I253">
    <cfRule type="colorScale" priority="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3:J253">
    <cfRule type="colorScale" priority="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K3:K253">
    <cfRule type="colorScale" priority="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L3:L253">
    <cfRule type="colorScale" priority="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9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2" min="2" style="0" width="38.25"/>
    <col collapsed="false" customWidth="true" hidden="false" outlineLevel="0" max="4" min="3" style="0" width="18"/>
    <col collapsed="false" customWidth="true" hidden="false" outlineLevel="0" max="5" min="5" style="0" width="20"/>
    <col collapsed="false" customWidth="true" hidden="false" outlineLevel="0" max="6" min="6" style="0" width="17.25"/>
  </cols>
  <sheetData>
    <row r="1" customFormat="false" ht="15.75" hidden="false" customHeight="false" outlineLevel="0" collapsed="false">
      <c r="B1" s="32" t="s">
        <v>348</v>
      </c>
      <c r="C1" s="32" t="s">
        <v>3</v>
      </c>
      <c r="D1" s="32" t="s">
        <v>4</v>
      </c>
      <c r="E1" s="31" t="s">
        <v>357</v>
      </c>
      <c r="F1" s="31" t="s">
        <v>358</v>
      </c>
      <c r="G1" s="31" t="s">
        <v>359</v>
      </c>
      <c r="H1" s="31" t="s">
        <v>355</v>
      </c>
      <c r="I1" s="33" t="s">
        <v>355</v>
      </c>
    </row>
    <row r="2" customFormat="false" ht="15.75" hidden="false" customHeight="false" outlineLevel="0" collapsed="false">
      <c r="B2" s="34" t="s">
        <v>275</v>
      </c>
      <c r="C2" s="14" t="str">
        <f aca="false">IF(B2="","",IFERROR(INDEX('CLM &amp; IM Mapping'!$B$2:$B$270,MATCH(TRIM(B2),'CLM &amp; IM Mapping'!$A$2:$A$270,0)),"Not Mapped"))</f>
        <v>Adhavan Subramani</v>
      </c>
      <c r="D2" s="14" t="str">
        <f aca="false">IF(B2="","",IFERROR(INDEX('CLM &amp; IM Mapping'!$C$2:$C$270,MATCH(TRIM(B2),'CLM &amp; IM Mapping'!$A$2:$A$270,0)),"Not Mapped"))</f>
        <v>Mohammed Akbar</v>
      </c>
      <c r="E2" s="18"/>
      <c r="F2" s="18"/>
      <c r="G2" s="18" t="n">
        <v>1632</v>
      </c>
      <c r="H2" s="18" t="n">
        <v>1632</v>
      </c>
      <c r="I2" s="35" t="n">
        <v>107843.72</v>
      </c>
    </row>
    <row r="3" customFormat="false" ht="15.75" hidden="false" customHeight="false" outlineLevel="0" collapsed="false">
      <c r="B3" s="34" t="s">
        <v>91</v>
      </c>
      <c r="C3" s="14" t="str">
        <f aca="false">IF(B3="","",IFERROR(INDEX('CLM &amp; IM Mapping'!$B$2:$B$270,MATCH(TRIM(B3),'CLM &amp; IM Mapping'!$A$2:$A$270,0)),"Not Mapped"))</f>
        <v>Manoj Kj</v>
      </c>
      <c r="D3" s="14" t="str">
        <f aca="false">IF(B3="","",IFERROR(INDEX('CLM &amp; IM Mapping'!$C$2:$C$270,MATCH(TRIM(B3),'CLM &amp; IM Mapping'!$A$2:$A$270,0)),"Not Mapped"))</f>
        <v>Srittam Dhal</v>
      </c>
      <c r="E3" s="18"/>
      <c r="F3" s="18"/>
      <c r="G3" s="18" t="n">
        <v>882</v>
      </c>
      <c r="H3" s="18" t="n">
        <v>882</v>
      </c>
      <c r="I3" s="35" t="n">
        <v>104241.31</v>
      </c>
    </row>
    <row r="4" customFormat="false" ht="15.75" hidden="false" customHeight="false" outlineLevel="0" collapsed="false">
      <c r="B4" s="34" t="s">
        <v>245</v>
      </c>
      <c r="C4" s="14" t="str">
        <f aca="false">IF(B4="","",IFERROR(INDEX('CLM &amp; IM Mapping'!$B$2:$B$270,MATCH(TRIM(B4),'CLM &amp; IM Mapping'!$A$2:$A$270,0)),"Not Mapped"))</f>
        <v>Rizwan Ahmed</v>
      </c>
      <c r="D4" s="14" t="str">
        <f aca="false">IF(B4="","",IFERROR(INDEX('CLM &amp; IM Mapping'!$C$2:$C$270,MATCH(TRIM(B4),'CLM &amp; IM Mapping'!$A$2:$A$270,0)),"Not Mapped"))</f>
        <v>Prakash BS</v>
      </c>
      <c r="E4" s="18" t="n">
        <v>62</v>
      </c>
      <c r="F4" s="18"/>
      <c r="G4" s="18" t="n">
        <v>383</v>
      </c>
      <c r="H4" s="18" t="n">
        <v>445</v>
      </c>
      <c r="I4" s="35" t="n">
        <v>97053.76</v>
      </c>
    </row>
    <row r="5" customFormat="false" ht="15.75" hidden="false" customHeight="false" outlineLevel="0" collapsed="false">
      <c r="B5" s="34" t="s">
        <v>157</v>
      </c>
      <c r="C5" s="14" t="str">
        <f aca="false">IF(B5="","",IFERROR(INDEX('CLM &amp; IM Mapping'!$B$2:$B$270,MATCH(TRIM(B5),'CLM &amp; IM Mapping'!$A$2:$A$270,0)),"Not Mapped"))</f>
        <v>Arun Raj</v>
      </c>
      <c r="D5" s="14" t="str">
        <f aca="false">IF(B5="","",IFERROR(INDEX('CLM &amp; IM Mapping'!$C$2:$C$270,MATCH(TRIM(B5),'CLM &amp; IM Mapping'!$A$2:$A$270,0)),"Not Mapped"))</f>
        <v>Simon Manoharan</v>
      </c>
      <c r="E5" s="18" t="n">
        <v>74</v>
      </c>
      <c r="F5" s="18"/>
      <c r="G5" s="18" t="n">
        <v>143</v>
      </c>
      <c r="H5" s="18" t="n">
        <v>217</v>
      </c>
      <c r="I5" s="35" t="n">
        <v>90995.49</v>
      </c>
    </row>
    <row r="6" customFormat="false" ht="15.75" hidden="false" customHeight="false" outlineLevel="0" collapsed="false">
      <c r="B6" s="34" t="s">
        <v>127</v>
      </c>
      <c r="C6" s="14" t="str">
        <f aca="false">IF(B6="","",IFERROR(INDEX('CLM &amp; IM Mapping'!$B$2:$B$270,MATCH(TRIM(B6),'CLM &amp; IM Mapping'!$A$2:$A$270,0)),"Not Mapped"))</f>
        <v>Rizwan Ahmed</v>
      </c>
      <c r="D6" s="14" t="str">
        <f aca="false">IF(B6="","",IFERROR(INDEX('CLM &amp; IM Mapping'!$C$2:$C$270,MATCH(TRIM(B6),'CLM &amp; IM Mapping'!$A$2:$A$270,0)),"Not Mapped"))</f>
        <v>Un Mapped</v>
      </c>
      <c r="E6" s="18" t="n">
        <v>111</v>
      </c>
      <c r="F6" s="18"/>
      <c r="G6" s="18" t="n">
        <v>1055</v>
      </c>
      <c r="H6" s="18" t="n">
        <v>1166</v>
      </c>
      <c r="I6" s="35" t="n">
        <v>81078.71</v>
      </c>
    </row>
    <row r="7" customFormat="false" ht="15.75" hidden="false" customHeight="false" outlineLevel="0" collapsed="false">
      <c r="B7" s="34" t="s">
        <v>167</v>
      </c>
      <c r="C7" s="14" t="str">
        <f aca="false">IF(B7="","",IFERROR(INDEX('CLM &amp; IM Mapping'!$B$2:$B$270,MATCH(TRIM(B7),'CLM &amp; IM Mapping'!$A$2:$A$270,0)),"Not Mapped"))</f>
        <v>Rizwan Ahmed</v>
      </c>
      <c r="D7" s="14" t="str">
        <f aca="false">IF(B7="","",IFERROR(INDEX('CLM &amp; IM Mapping'!$C$2:$C$270,MATCH(TRIM(B7),'CLM &amp; IM Mapping'!$A$2:$A$270,0)),"Not Mapped"))</f>
        <v>Un Mapped</v>
      </c>
      <c r="E7" s="18" t="n">
        <v>514</v>
      </c>
      <c r="F7" s="18"/>
      <c r="G7" s="18" t="n">
        <v>32</v>
      </c>
      <c r="H7" s="18" t="n">
        <v>546</v>
      </c>
      <c r="I7" s="35" t="n">
        <v>68476.09</v>
      </c>
    </row>
    <row r="8" customFormat="false" ht="15.75" hidden="false" customHeight="false" outlineLevel="0" collapsed="false">
      <c r="B8" s="34" t="s">
        <v>187</v>
      </c>
      <c r="C8" s="14" t="str">
        <f aca="false">IF(B8="","",IFERROR(INDEX('CLM &amp; IM Mapping'!$B$2:$B$270,MATCH(TRIM(B8),'CLM &amp; IM Mapping'!$A$2:$A$270,0)),"Not Mapped"))</f>
        <v>Akshay P</v>
      </c>
      <c r="D8" s="14" t="str">
        <f aca="false">IF(B8="","",IFERROR(INDEX('CLM &amp; IM Mapping'!$C$2:$C$270,MATCH(TRIM(B8),'CLM &amp; IM Mapping'!$A$2:$A$270,0)),"Not Mapped"))</f>
        <v>Srittam Dhal</v>
      </c>
      <c r="E8" s="18" t="n">
        <v>221</v>
      </c>
      <c r="F8" s="18"/>
      <c r="G8" s="18" t="n">
        <v>486</v>
      </c>
      <c r="H8" s="18" t="n">
        <v>707</v>
      </c>
      <c r="I8" s="35" t="n">
        <v>54546.34</v>
      </c>
    </row>
    <row r="9" customFormat="false" ht="15.75" hidden="false" customHeight="false" outlineLevel="0" collapsed="false">
      <c r="B9" s="34" t="s">
        <v>104</v>
      </c>
      <c r="C9" s="14" t="str">
        <f aca="false">IF(B9="","",IFERROR(INDEX('CLM &amp; IM Mapping'!$B$2:$B$270,MATCH(TRIM(B9),'CLM &amp; IM Mapping'!$A$2:$A$270,0)),"Not Mapped"))</f>
        <v>Vijay M</v>
      </c>
      <c r="D9" s="14" t="str">
        <f aca="false">IF(B9="","",IFERROR(INDEX('CLM &amp; IM Mapping'!$C$2:$C$270,MATCH(TRIM(B9),'CLM &amp; IM Mapping'!$A$2:$A$270,0)),"Not Mapped"))</f>
        <v>Kantha Kumar</v>
      </c>
      <c r="E9" s="18" t="n">
        <v>407</v>
      </c>
      <c r="F9" s="18"/>
      <c r="G9" s="18"/>
      <c r="H9" s="18" t="n">
        <v>407</v>
      </c>
      <c r="I9" s="35" t="n">
        <v>45794.29</v>
      </c>
    </row>
    <row r="10" customFormat="false" ht="15.75" hidden="false" customHeight="false" outlineLevel="0" collapsed="false">
      <c r="B10" s="34" t="s">
        <v>119</v>
      </c>
      <c r="C10" s="14" t="str">
        <f aca="false">IF(B10="","",IFERROR(INDEX('CLM &amp; IM Mapping'!$B$2:$B$270,MATCH(TRIM(B10),'CLM &amp; IM Mapping'!$A$2:$A$270,0)),"Not Mapped"))</f>
        <v>Arun Raj</v>
      </c>
      <c r="D10" s="14" t="str">
        <f aca="false">IF(B10="","",IFERROR(INDEX('CLM &amp; IM Mapping'!$C$2:$C$270,MATCH(TRIM(B10),'CLM &amp; IM Mapping'!$A$2:$A$270,0)),"Not Mapped"))</f>
        <v>Simon Manoharan</v>
      </c>
      <c r="E10" s="18"/>
      <c r="F10" s="18"/>
      <c r="G10" s="18" t="n">
        <v>235</v>
      </c>
      <c r="H10" s="18" t="n">
        <v>235</v>
      </c>
      <c r="I10" s="35" t="n">
        <v>45393.64</v>
      </c>
    </row>
    <row r="11" customFormat="false" ht="15.75" hidden="false" customHeight="false" outlineLevel="0" collapsed="false">
      <c r="B11" s="34" t="s">
        <v>251</v>
      </c>
      <c r="C11" s="14" t="str">
        <f aca="false">IF(B11="","",IFERROR(INDEX('CLM &amp; IM Mapping'!$B$2:$B$270,MATCH(TRIM(B11),'CLM &amp; IM Mapping'!$A$2:$A$270,0)),"Not Mapped"))</f>
        <v>Manjunatha V</v>
      </c>
      <c r="D11" s="14" t="str">
        <f aca="false">IF(B11="","",IFERROR(INDEX('CLM &amp; IM Mapping'!$C$2:$C$270,MATCH(TRIM(B11),'CLM &amp; IM Mapping'!$A$2:$A$270,0)),"Not Mapped"))</f>
        <v>Un Mapped</v>
      </c>
      <c r="E11" s="18" t="n">
        <v>343</v>
      </c>
      <c r="F11" s="18"/>
      <c r="G11" s="18" t="n">
        <v>304</v>
      </c>
      <c r="H11" s="18" t="n">
        <v>647</v>
      </c>
      <c r="I11" s="35" t="n">
        <v>45135.89</v>
      </c>
    </row>
    <row r="12" customFormat="false" ht="15.75" hidden="false" customHeight="false" outlineLevel="0" collapsed="false">
      <c r="B12" s="34" t="s">
        <v>60</v>
      </c>
      <c r="C12" s="14" t="str">
        <f aca="false">IF(B12="","",IFERROR(INDEX('CLM &amp; IM Mapping'!$B$2:$B$270,MATCH(TRIM(B12),'CLM &amp; IM Mapping'!$A$2:$A$270,0)),"Not Mapped"))</f>
        <v>Basil Scariya</v>
      </c>
      <c r="D12" s="14" t="str">
        <f aca="false">IF(B12="","",IFERROR(INDEX('CLM &amp; IM Mapping'!$C$2:$C$270,MATCH(TRIM(B12),'CLM &amp; IM Mapping'!$A$2:$A$270,0)),"Not Mapped"))</f>
        <v>Prakash BS</v>
      </c>
      <c r="E12" s="18" t="n">
        <v>83</v>
      </c>
      <c r="F12" s="18"/>
      <c r="G12" s="18" t="n">
        <v>334</v>
      </c>
      <c r="H12" s="18" t="n">
        <v>417</v>
      </c>
      <c r="I12" s="35" t="n">
        <v>40392.6</v>
      </c>
    </row>
    <row r="13" customFormat="false" ht="15.75" hidden="false" customHeight="false" outlineLevel="0" collapsed="false">
      <c r="B13" s="34" t="s">
        <v>196</v>
      </c>
      <c r="C13" s="14" t="str">
        <f aca="false">IF(B13="","",IFERROR(INDEX('CLM &amp; IM Mapping'!$B$2:$B$270,MATCH(TRIM(B13),'CLM &amp; IM Mapping'!$A$2:$A$270,0)),"Not Mapped"))</f>
        <v>Arun Raj</v>
      </c>
      <c r="D13" s="14" t="str">
        <f aca="false">IF(B13="","",IFERROR(INDEX('CLM &amp; IM Mapping'!$C$2:$C$270,MATCH(TRIM(B13),'CLM &amp; IM Mapping'!$A$2:$A$270,0)),"Not Mapped"))</f>
        <v>Simon Manoharan</v>
      </c>
      <c r="E13" s="18"/>
      <c r="F13" s="18"/>
      <c r="G13" s="18" t="n">
        <v>131</v>
      </c>
      <c r="H13" s="18" t="n">
        <v>131</v>
      </c>
      <c r="I13" s="35" t="n">
        <v>40273.88</v>
      </c>
    </row>
    <row r="14" customFormat="false" ht="15.75" hidden="false" customHeight="false" outlineLevel="0" collapsed="false">
      <c r="B14" s="34" t="s">
        <v>207</v>
      </c>
      <c r="C14" s="14" t="str">
        <f aca="false">IF(B14="","",IFERROR(INDEX('CLM &amp; IM Mapping'!$B$2:$B$270,MATCH(TRIM(B14),'CLM &amp; IM Mapping'!$A$2:$A$270,0)),"Not Mapped"))</f>
        <v>Keshav G</v>
      </c>
      <c r="D14" s="14" t="str">
        <f aca="false">IF(B14="","",IFERROR(INDEX('CLM &amp; IM Mapping'!$C$2:$C$270,MATCH(TRIM(B14),'CLM &amp; IM Mapping'!$A$2:$A$270,0)),"Not Mapped"))</f>
        <v>Mohammed Akbar</v>
      </c>
      <c r="E14" s="18" t="n">
        <v>48</v>
      </c>
      <c r="F14" s="18" t="n">
        <v>15</v>
      </c>
      <c r="G14" s="18" t="n">
        <v>580</v>
      </c>
      <c r="H14" s="18" t="n">
        <v>643</v>
      </c>
      <c r="I14" s="35" t="n">
        <v>32712.68</v>
      </c>
    </row>
    <row r="15" customFormat="false" ht="15.75" hidden="false" customHeight="false" outlineLevel="0" collapsed="false">
      <c r="B15" s="34" t="s">
        <v>77</v>
      </c>
      <c r="C15" s="14" t="str">
        <f aca="false">IF(B15="","",IFERROR(INDEX('CLM &amp; IM Mapping'!$B$2:$B$270,MATCH(TRIM(B15),'CLM &amp; IM Mapping'!$A$2:$A$270,0)),"Not Mapped"))</f>
        <v>Manjunatha V</v>
      </c>
      <c r="D15" s="14" t="str">
        <f aca="false">IF(B15="","",IFERROR(INDEX('CLM &amp; IM Mapping'!$C$2:$C$270,MATCH(TRIM(B15),'CLM &amp; IM Mapping'!$A$2:$A$270,0)),"Not Mapped"))</f>
        <v>Un Mapped</v>
      </c>
      <c r="E15" s="18"/>
      <c r="F15" s="18"/>
      <c r="G15" s="18" t="n">
        <v>267</v>
      </c>
      <c r="H15" s="18" t="n">
        <v>267</v>
      </c>
      <c r="I15" s="35" t="n">
        <v>31035.39</v>
      </c>
    </row>
    <row r="16" customFormat="false" ht="15.75" hidden="false" customHeight="false" outlineLevel="0" collapsed="false">
      <c r="B16" s="34" t="s">
        <v>41</v>
      </c>
      <c r="C16" s="14" t="str">
        <f aca="false">IF(B16="","",IFERROR(INDEX('CLM &amp; IM Mapping'!$B$2:$B$270,MATCH(TRIM(B16),'CLM &amp; IM Mapping'!$A$2:$A$270,0)),"Not Mapped"))</f>
        <v>Silambarasan E</v>
      </c>
      <c r="D16" s="14" t="str">
        <f aca="false">IF(B16="","",IFERROR(INDEX('CLM &amp; IM Mapping'!$C$2:$C$270,MATCH(TRIM(B16),'CLM &amp; IM Mapping'!$A$2:$A$270,0)),"Not Mapped"))</f>
        <v>Arivind S</v>
      </c>
      <c r="E16" s="18"/>
      <c r="F16" s="18"/>
      <c r="G16" s="18" t="n">
        <v>150</v>
      </c>
      <c r="H16" s="18" t="n">
        <v>150</v>
      </c>
      <c r="I16" s="35" t="n">
        <v>29719.31</v>
      </c>
    </row>
    <row r="17" customFormat="false" ht="15.75" hidden="false" customHeight="false" outlineLevel="0" collapsed="false">
      <c r="B17" s="34" t="s">
        <v>124</v>
      </c>
      <c r="C17" s="14" t="str">
        <f aca="false">IF(B17="","",IFERROR(INDEX('CLM &amp; IM Mapping'!$B$2:$B$270,MATCH(TRIM(B17),'CLM &amp; IM Mapping'!$A$2:$A$270,0)),"Not Mapped"))</f>
        <v>Akshay P</v>
      </c>
      <c r="D17" s="14" t="str">
        <f aca="false">IF(B17="","",IFERROR(INDEX('CLM &amp; IM Mapping'!$C$2:$C$270,MATCH(TRIM(B17),'CLM &amp; IM Mapping'!$A$2:$A$270,0)),"Not Mapped"))</f>
        <v>Srittam Dhal</v>
      </c>
      <c r="E17" s="18" t="n">
        <v>300</v>
      </c>
      <c r="F17" s="18"/>
      <c r="G17" s="18" t="n">
        <v>122</v>
      </c>
      <c r="H17" s="18" t="n">
        <v>422</v>
      </c>
      <c r="I17" s="35" t="n">
        <v>29420.75</v>
      </c>
    </row>
    <row r="18" customFormat="false" ht="15.75" hidden="false" customHeight="false" outlineLevel="0" collapsed="false">
      <c r="B18" s="34" t="s">
        <v>23</v>
      </c>
      <c r="C18" s="14" t="str">
        <f aca="false">IF(B18="","",IFERROR(INDEX('CLM &amp; IM Mapping'!$B$2:$B$270,MATCH(TRIM(B18),'CLM &amp; IM Mapping'!$A$2:$A$270,0)),"Not Mapped"))</f>
        <v>Akshay P</v>
      </c>
      <c r="D18" s="14" t="str">
        <f aca="false">IF(B18="","",IFERROR(INDEX('CLM &amp; IM Mapping'!$C$2:$C$270,MATCH(TRIM(B18),'CLM &amp; IM Mapping'!$A$2:$A$270,0)),"Not Mapped"))</f>
        <v>Srittam Dhal</v>
      </c>
      <c r="E18" s="18" t="n">
        <v>103</v>
      </c>
      <c r="F18" s="18" t="n">
        <v>143</v>
      </c>
      <c r="G18" s="18"/>
      <c r="H18" s="18" t="n">
        <v>246</v>
      </c>
      <c r="I18" s="35" t="n">
        <v>28773.12</v>
      </c>
    </row>
    <row r="19" customFormat="false" ht="15.75" hidden="false" customHeight="false" outlineLevel="0" collapsed="false">
      <c r="B19" s="34" t="s">
        <v>226</v>
      </c>
      <c r="C19" s="14" t="str">
        <f aca="false">IF(B19="","",IFERROR(INDEX('CLM &amp; IM Mapping'!$B$2:$B$270,MATCH(TRIM(B19),'CLM &amp; IM Mapping'!$A$2:$A$270,0)),"Not Mapped"))</f>
        <v>Arun Raj</v>
      </c>
      <c r="D19" s="14" t="str">
        <f aca="false">IF(B19="","",IFERROR(INDEX('CLM &amp; IM Mapping'!$C$2:$C$270,MATCH(TRIM(B19),'CLM &amp; IM Mapping'!$A$2:$A$270,0)),"Not Mapped"))</f>
        <v>Simon Manoharan</v>
      </c>
      <c r="E19" s="18"/>
      <c r="F19" s="18"/>
      <c r="G19" s="18" t="n">
        <v>113</v>
      </c>
      <c r="H19" s="18" t="n">
        <v>113</v>
      </c>
      <c r="I19" s="35" t="n">
        <v>27828.42</v>
      </c>
    </row>
    <row r="20" customFormat="false" ht="15.75" hidden="false" customHeight="false" outlineLevel="0" collapsed="false">
      <c r="B20" s="34" t="s">
        <v>71</v>
      </c>
      <c r="C20" s="14" t="str">
        <f aca="false">IF(B20="","",IFERROR(INDEX('CLM &amp; IM Mapping'!$B$2:$B$270,MATCH(TRIM(B20),'CLM &amp; IM Mapping'!$A$2:$A$270,0)),"Not Mapped"))</f>
        <v>Manoj Kj</v>
      </c>
      <c r="D20" s="14" t="str">
        <f aca="false">IF(B20="","",IFERROR(INDEX('CLM &amp; IM Mapping'!$C$2:$C$270,MATCH(TRIM(B20),'CLM &amp; IM Mapping'!$A$2:$A$270,0)),"Not Mapped"))</f>
        <v>Srittam Dhal</v>
      </c>
      <c r="E20" s="18"/>
      <c r="F20" s="18"/>
      <c r="G20" s="18" t="n">
        <v>516</v>
      </c>
      <c r="H20" s="18" t="n">
        <v>516</v>
      </c>
      <c r="I20" s="35" t="n">
        <v>27752.88</v>
      </c>
    </row>
    <row r="21" customFormat="false" ht="15.75" hidden="false" customHeight="false" outlineLevel="0" collapsed="false">
      <c r="B21" s="34" t="s">
        <v>239</v>
      </c>
      <c r="C21" s="14" t="str">
        <f aca="false">IF(B21="","",IFERROR(INDEX('CLM &amp; IM Mapping'!$B$2:$B$270,MATCH(TRIM(B21),'CLM &amp; IM Mapping'!$A$2:$A$270,0)),"Not Mapped"))</f>
        <v>Silambarasan E</v>
      </c>
      <c r="D21" s="14" t="str">
        <f aca="false">IF(B21="","",IFERROR(INDEX('CLM &amp; IM Mapping'!$C$2:$C$270,MATCH(TRIM(B21),'CLM &amp; IM Mapping'!$A$2:$A$270,0)),"Not Mapped"))</f>
        <v>Arivind S</v>
      </c>
      <c r="E21" s="18" t="n">
        <v>3</v>
      </c>
      <c r="F21" s="18"/>
      <c r="G21" s="18" t="n">
        <v>264</v>
      </c>
      <c r="H21" s="18" t="n">
        <v>267</v>
      </c>
      <c r="I21" s="35" t="n">
        <v>25563.77</v>
      </c>
    </row>
    <row r="22" customFormat="false" ht="15.75" hidden="false" customHeight="false" outlineLevel="0" collapsed="false">
      <c r="B22" s="34" t="s">
        <v>105</v>
      </c>
      <c r="C22" s="14" t="str">
        <f aca="false">IF(B22="","",IFERROR(INDEX('CLM &amp; IM Mapping'!$B$2:$B$270,MATCH(TRIM(B22),'CLM &amp; IM Mapping'!$A$2:$A$270,0)),"Not Mapped"))</f>
        <v>Vijay M</v>
      </c>
      <c r="D22" s="14" t="str">
        <f aca="false">IF(B22="","",IFERROR(INDEX('CLM &amp; IM Mapping'!$C$2:$C$270,MATCH(TRIM(B22),'CLM &amp; IM Mapping'!$A$2:$A$270,0)),"Not Mapped"))</f>
        <v>Kantha Kumar</v>
      </c>
      <c r="E22" s="18" t="n">
        <v>37</v>
      </c>
      <c r="F22" s="18" t="n">
        <v>46</v>
      </c>
      <c r="G22" s="18" t="n">
        <v>159</v>
      </c>
      <c r="H22" s="18" t="n">
        <v>242</v>
      </c>
      <c r="I22" s="35" t="n">
        <v>24100.68</v>
      </c>
    </row>
    <row r="23" customFormat="false" ht="15.75" hidden="false" customHeight="false" outlineLevel="0" collapsed="false">
      <c r="B23" s="34" t="s">
        <v>227</v>
      </c>
      <c r="C23" s="14" t="str">
        <f aca="false">IF(B23="","",IFERROR(INDEX('CLM &amp; IM Mapping'!$B$2:$B$270,MATCH(TRIM(B23),'CLM &amp; IM Mapping'!$A$2:$A$270,0)),"Not Mapped"))</f>
        <v>Mohaideen DH</v>
      </c>
      <c r="D23" s="14" t="str">
        <f aca="false">IF(B23="","",IFERROR(INDEX('CLM &amp; IM Mapping'!$C$2:$C$270,MATCH(TRIM(B23),'CLM &amp; IM Mapping'!$A$2:$A$270,0)),"Not Mapped"))</f>
        <v>Mohammed Akbar</v>
      </c>
      <c r="E23" s="18" t="n">
        <v>248</v>
      </c>
      <c r="F23" s="18" t="n">
        <v>1</v>
      </c>
      <c r="G23" s="18"/>
      <c r="H23" s="18" t="n">
        <v>249</v>
      </c>
      <c r="I23" s="35" t="n">
        <v>23064.55</v>
      </c>
    </row>
    <row r="24" customFormat="false" ht="15.75" hidden="false" customHeight="false" outlineLevel="0" collapsed="false">
      <c r="B24" s="34" t="s">
        <v>210</v>
      </c>
      <c r="C24" s="14" t="str">
        <f aca="false">IF(B24="","",IFERROR(INDEX('CLM &amp; IM Mapping'!$B$2:$B$270,MATCH(TRIM(B24),'CLM &amp; IM Mapping'!$A$2:$A$270,0)),"Not Mapped"))</f>
        <v>Mohaideen DH</v>
      </c>
      <c r="D24" s="14" t="str">
        <f aca="false">IF(B24="","",IFERROR(INDEX('CLM &amp; IM Mapping'!$C$2:$C$270,MATCH(TRIM(B24),'CLM &amp; IM Mapping'!$A$2:$A$270,0)),"Not Mapped"))</f>
        <v>Mohammed Akbar</v>
      </c>
      <c r="E24" s="18"/>
      <c r="F24" s="18" t="n">
        <v>41</v>
      </c>
      <c r="G24" s="18" t="n">
        <v>75</v>
      </c>
      <c r="H24" s="18" t="n">
        <v>116</v>
      </c>
      <c r="I24" s="35" t="n">
        <v>21903.32</v>
      </c>
    </row>
    <row r="25" customFormat="false" ht="15.75" hidden="false" customHeight="false" outlineLevel="0" collapsed="false">
      <c r="B25" s="34" t="s">
        <v>273</v>
      </c>
      <c r="C25" s="14" t="str">
        <f aca="false">IF(B25="","",IFERROR(INDEX('CLM &amp; IM Mapping'!$B$2:$B$270,MATCH(TRIM(B25),'CLM &amp; IM Mapping'!$A$2:$A$270,0)),"Not Mapped"))</f>
        <v>Vijay M</v>
      </c>
      <c r="D25" s="14" t="str">
        <f aca="false">IF(B25="","",IFERROR(INDEX('CLM &amp; IM Mapping'!$C$2:$C$270,MATCH(TRIM(B25),'CLM &amp; IM Mapping'!$A$2:$A$270,0)),"Not Mapped"))</f>
        <v>Kantha Kumar</v>
      </c>
      <c r="E25" s="18"/>
      <c r="F25" s="18" t="n">
        <v>171</v>
      </c>
      <c r="G25" s="18" t="n">
        <v>79</v>
      </c>
      <c r="H25" s="18" t="n">
        <v>250</v>
      </c>
      <c r="I25" s="35" t="n">
        <v>20254.73</v>
      </c>
    </row>
    <row r="26" customFormat="false" ht="15.75" hidden="false" customHeight="false" outlineLevel="0" collapsed="false">
      <c r="B26" s="34" t="s">
        <v>76</v>
      </c>
      <c r="C26" s="14" t="str">
        <f aca="false">IF(B26="","",IFERROR(INDEX('CLM &amp; IM Mapping'!$B$2:$B$270,MATCH(TRIM(B26),'CLM &amp; IM Mapping'!$A$2:$A$270,0)),"Not Mapped"))</f>
        <v>Silambarasan E</v>
      </c>
      <c r="D26" s="14" t="str">
        <f aca="false">IF(B26="","",IFERROR(INDEX('CLM &amp; IM Mapping'!$C$2:$C$270,MATCH(TRIM(B26),'CLM &amp; IM Mapping'!$A$2:$A$270,0)),"Not Mapped"))</f>
        <v>Arivind S</v>
      </c>
      <c r="E26" s="18" t="n">
        <v>166</v>
      </c>
      <c r="F26" s="18" t="n">
        <v>1</v>
      </c>
      <c r="G26" s="18" t="n">
        <v>240</v>
      </c>
      <c r="H26" s="18" t="n">
        <v>407</v>
      </c>
      <c r="I26" s="35" t="n">
        <v>19335.48</v>
      </c>
    </row>
    <row r="27" customFormat="false" ht="15.75" hidden="false" customHeight="false" outlineLevel="0" collapsed="false">
      <c r="B27" s="34" t="s">
        <v>86</v>
      </c>
      <c r="C27" s="14" t="str">
        <f aca="false">IF(B27="","",IFERROR(INDEX('CLM &amp; IM Mapping'!$B$2:$B$270,MATCH(TRIM(B27),'CLM &amp; IM Mapping'!$A$2:$A$270,0)),"Not Mapped"))</f>
        <v>Adhavan Subramani</v>
      </c>
      <c r="D27" s="14" t="str">
        <f aca="false">IF(B27="","",IFERROR(INDEX('CLM &amp; IM Mapping'!$C$2:$C$270,MATCH(TRIM(B27),'CLM &amp; IM Mapping'!$A$2:$A$270,0)),"Not Mapped"))</f>
        <v>Mohammed Akbar</v>
      </c>
      <c r="E27" s="18" t="n">
        <v>247</v>
      </c>
      <c r="F27" s="18"/>
      <c r="G27" s="18" t="n">
        <v>16</v>
      </c>
      <c r="H27" s="18" t="n">
        <v>263</v>
      </c>
      <c r="I27" s="35" t="n">
        <v>19258.09</v>
      </c>
    </row>
    <row r="28" customFormat="false" ht="15.75" hidden="false" customHeight="false" outlineLevel="0" collapsed="false">
      <c r="B28" s="34" t="s">
        <v>193</v>
      </c>
      <c r="C28" s="14" t="str">
        <f aca="false">IF(B28="","",IFERROR(INDEX('CLM &amp; IM Mapping'!$B$2:$B$270,MATCH(TRIM(B28),'CLM &amp; IM Mapping'!$A$2:$A$270,0)),"Not Mapped"))</f>
        <v>Basil Scariya</v>
      </c>
      <c r="D28" s="14" t="str">
        <f aca="false">IF(B28="","",IFERROR(INDEX('CLM &amp; IM Mapping'!$C$2:$C$270,MATCH(TRIM(B28),'CLM &amp; IM Mapping'!$A$2:$A$270,0)),"Not Mapped"))</f>
        <v>Prakash BS</v>
      </c>
      <c r="E28" s="18" t="n">
        <v>32</v>
      </c>
      <c r="F28" s="18"/>
      <c r="G28" s="18" t="n">
        <v>3</v>
      </c>
      <c r="H28" s="18" t="n">
        <v>35</v>
      </c>
      <c r="I28" s="35" t="n">
        <v>13998.49</v>
      </c>
    </row>
    <row r="29" customFormat="false" ht="15.75" hidden="false" customHeight="false" outlineLevel="0" collapsed="false">
      <c r="B29" s="34" t="s">
        <v>203</v>
      </c>
      <c r="C29" s="14" t="str">
        <f aca="false">IF(B29="","",IFERROR(INDEX('CLM &amp; IM Mapping'!$B$2:$B$270,MATCH(TRIM(B29),'CLM &amp; IM Mapping'!$A$2:$A$270,0)),"Not Mapped"))</f>
        <v>Suhas N</v>
      </c>
      <c r="D29" s="14" t="str">
        <f aca="false">IF(B29="","",IFERROR(INDEX('CLM &amp; IM Mapping'!$C$2:$C$270,MATCH(TRIM(B29),'CLM &amp; IM Mapping'!$A$2:$A$270,0)),"Not Mapped"))</f>
        <v>Aravind S</v>
      </c>
      <c r="E29" s="18" t="n">
        <v>30</v>
      </c>
      <c r="F29" s="18" t="n">
        <v>10</v>
      </c>
      <c r="G29" s="18" t="n">
        <v>57</v>
      </c>
      <c r="H29" s="18" t="n">
        <v>97</v>
      </c>
      <c r="I29" s="35" t="n">
        <v>13851.48</v>
      </c>
    </row>
    <row r="30" customFormat="false" ht="15.75" hidden="false" customHeight="false" outlineLevel="0" collapsed="false">
      <c r="B30" s="34" t="s">
        <v>87</v>
      </c>
      <c r="C30" s="14" t="str">
        <f aca="false">IF(B30="","",IFERROR(INDEX('CLM &amp; IM Mapping'!$B$2:$B$270,MATCH(TRIM(B30),'CLM &amp; IM Mapping'!$A$2:$A$270,0)),"Not Mapped"))</f>
        <v>Richard Harris</v>
      </c>
      <c r="D30" s="14" t="str">
        <f aca="false">IF(B30="","",IFERROR(INDEX('CLM &amp; IM Mapping'!$C$2:$C$270,MATCH(TRIM(B30),'CLM &amp; IM Mapping'!$A$2:$A$270,0)),"Not Mapped"))</f>
        <v>Kantha Kumar</v>
      </c>
      <c r="E30" s="18"/>
      <c r="F30" s="18"/>
      <c r="G30" s="18" t="n">
        <v>42</v>
      </c>
      <c r="H30" s="18" t="n">
        <v>42</v>
      </c>
      <c r="I30" s="35" t="n">
        <v>13670.67</v>
      </c>
    </row>
    <row r="31" customFormat="false" ht="15.75" hidden="false" customHeight="false" outlineLevel="0" collapsed="false">
      <c r="B31" s="34" t="s">
        <v>232</v>
      </c>
      <c r="C31" s="14" t="str">
        <f aca="false">IF(B31="","",IFERROR(INDEX('CLM &amp; IM Mapping'!$B$2:$B$270,MATCH(TRIM(B31),'CLM &amp; IM Mapping'!$A$2:$A$270,0)),"Not Mapped"))</f>
        <v>Sundaresh S</v>
      </c>
      <c r="D31" s="14" t="str">
        <f aca="false">IF(B31="","",IFERROR(INDEX('CLM &amp; IM Mapping'!$C$2:$C$270,MATCH(TRIM(B31),'CLM &amp; IM Mapping'!$A$2:$A$270,0)),"Not Mapped"))</f>
        <v>Un Mapped</v>
      </c>
      <c r="E31" s="18" t="n">
        <v>79</v>
      </c>
      <c r="F31" s="18"/>
      <c r="G31" s="18" t="n">
        <v>12</v>
      </c>
      <c r="H31" s="18" t="n">
        <v>91</v>
      </c>
      <c r="I31" s="35" t="n">
        <v>13577.18</v>
      </c>
    </row>
    <row r="32" customFormat="false" ht="15.75" hidden="false" customHeight="false" outlineLevel="0" collapsed="false">
      <c r="B32" s="34" t="s">
        <v>97</v>
      </c>
      <c r="C32" s="14" t="str">
        <f aca="false">IF(B32="","",IFERROR(INDEX('CLM &amp; IM Mapping'!$B$2:$B$270,MATCH(TRIM(B32),'CLM &amp; IM Mapping'!$A$2:$A$270,0)),"Not Mapped"))</f>
        <v>Arun Raj</v>
      </c>
      <c r="D32" s="14" t="str">
        <f aca="false">IF(B32="","",IFERROR(INDEX('CLM &amp; IM Mapping'!$C$2:$C$270,MATCH(TRIM(B32),'CLM &amp; IM Mapping'!$A$2:$A$270,0)),"Not Mapped"))</f>
        <v>Simon Manoharan</v>
      </c>
      <c r="E32" s="18"/>
      <c r="F32" s="18"/>
      <c r="G32" s="18" t="n">
        <v>58</v>
      </c>
      <c r="H32" s="18" t="n">
        <v>58</v>
      </c>
      <c r="I32" s="35" t="n">
        <v>12880.59</v>
      </c>
    </row>
    <row r="33" customFormat="false" ht="15.75" hidden="false" customHeight="false" outlineLevel="0" collapsed="false">
      <c r="B33" s="34" t="s">
        <v>57</v>
      </c>
      <c r="C33" s="14" t="str">
        <f aca="false">IF(B33="","",IFERROR(INDEX('CLM &amp; IM Mapping'!$B$2:$B$270,MATCH(TRIM(B33),'CLM &amp; IM Mapping'!$A$2:$A$270,0)),"Not Mapped"))</f>
        <v>Suhas N</v>
      </c>
      <c r="D33" s="14" t="str">
        <f aca="false">IF(B33="","",IFERROR(INDEX('CLM &amp; IM Mapping'!$C$2:$C$270,MATCH(TRIM(B33),'CLM &amp; IM Mapping'!$A$2:$A$270,0)),"Not Mapped"))</f>
        <v>Aravind S</v>
      </c>
      <c r="E33" s="18"/>
      <c r="F33" s="18" t="n">
        <v>112</v>
      </c>
      <c r="G33" s="18"/>
      <c r="H33" s="18" t="n">
        <v>112</v>
      </c>
      <c r="I33" s="35" t="n">
        <v>12850.85</v>
      </c>
    </row>
    <row r="34" customFormat="false" ht="15.75" hidden="false" customHeight="false" outlineLevel="0" collapsed="false">
      <c r="B34" s="34" t="s">
        <v>59</v>
      </c>
      <c r="C34" s="14" t="str">
        <f aca="false">IF(B34="","",IFERROR(INDEX('CLM &amp; IM Mapping'!$B$2:$B$270,MATCH(TRIM(B34),'CLM &amp; IM Mapping'!$A$2:$A$270,0)),"Not Mapped"))</f>
        <v>Manoj Kj</v>
      </c>
      <c r="D34" s="14" t="str">
        <f aca="false">IF(B34="","",IFERROR(INDEX('CLM &amp; IM Mapping'!$C$2:$C$270,MATCH(TRIM(B34),'CLM &amp; IM Mapping'!$A$2:$A$270,0)),"Not Mapped"))</f>
        <v>Srittam Dhal</v>
      </c>
      <c r="E34" s="18" t="n">
        <v>163</v>
      </c>
      <c r="F34" s="18"/>
      <c r="G34" s="18" t="n">
        <v>93</v>
      </c>
      <c r="H34" s="18" t="n">
        <v>256</v>
      </c>
      <c r="I34" s="35" t="n">
        <v>12819.34</v>
      </c>
    </row>
    <row r="35" customFormat="false" ht="15.75" hidden="false" customHeight="false" outlineLevel="0" collapsed="false">
      <c r="B35" s="34" t="s">
        <v>262</v>
      </c>
      <c r="C35" s="14" t="str">
        <f aca="false">IF(B35="","",IFERROR(INDEX('CLM &amp; IM Mapping'!$B$2:$B$270,MATCH(TRIM(B35),'CLM &amp; IM Mapping'!$A$2:$A$270,0)),"Not Mapped"))</f>
        <v>Raghavendra Vernekar</v>
      </c>
      <c r="D35" s="14" t="str">
        <f aca="false">IF(B35="","",IFERROR(INDEX('CLM &amp; IM Mapping'!$C$2:$C$270,MATCH(TRIM(B35),'CLM &amp; IM Mapping'!$A$2:$A$270,0)),"Not Mapped"))</f>
        <v>Prakash BS</v>
      </c>
      <c r="E35" s="18" t="n">
        <v>39</v>
      </c>
      <c r="F35" s="18"/>
      <c r="G35" s="18" t="n">
        <v>108</v>
      </c>
      <c r="H35" s="18" t="n">
        <v>147</v>
      </c>
      <c r="I35" s="35" t="n">
        <v>11961.78</v>
      </c>
    </row>
    <row r="36" customFormat="false" ht="15.75" hidden="false" customHeight="false" outlineLevel="0" collapsed="false">
      <c r="B36" s="34" t="s">
        <v>68</v>
      </c>
      <c r="C36" s="14" t="str">
        <f aca="false">IF(B36="","",IFERROR(INDEX('CLM &amp; IM Mapping'!$B$2:$B$270,MATCH(TRIM(B36),'CLM &amp; IM Mapping'!$A$2:$A$270,0)),"Not Mapped"))</f>
        <v>Silambarasan E</v>
      </c>
      <c r="D36" s="14" t="str">
        <f aca="false">IF(B36="","",IFERROR(INDEX('CLM &amp; IM Mapping'!$C$2:$C$270,MATCH(TRIM(B36),'CLM &amp; IM Mapping'!$A$2:$A$270,0)),"Not Mapped"))</f>
        <v>Arivind S</v>
      </c>
      <c r="E36" s="18" t="n">
        <v>178</v>
      </c>
      <c r="F36" s="18"/>
      <c r="G36" s="18"/>
      <c r="H36" s="18" t="n">
        <v>178</v>
      </c>
      <c r="I36" s="35" t="n">
        <v>11834.6</v>
      </c>
    </row>
    <row r="37" customFormat="false" ht="15.75" hidden="false" customHeight="false" outlineLevel="0" collapsed="false">
      <c r="B37" s="34" t="s">
        <v>188</v>
      </c>
      <c r="C37" s="14" t="str">
        <f aca="false">IF(B37="","",IFERROR(INDEX('CLM &amp; IM Mapping'!$B$2:$B$270,MATCH(TRIM(B37),'CLM &amp; IM Mapping'!$A$2:$A$270,0)),"Not Mapped"))</f>
        <v>Manjunatha V</v>
      </c>
      <c r="D37" s="14" t="str">
        <f aca="false">IF(B37="","",IFERROR(INDEX('CLM &amp; IM Mapping'!$C$2:$C$270,MATCH(TRIM(B37),'CLM &amp; IM Mapping'!$A$2:$A$270,0)),"Not Mapped"))</f>
        <v>Un Mapped</v>
      </c>
      <c r="E37" s="18" t="n">
        <v>56</v>
      </c>
      <c r="F37" s="18"/>
      <c r="G37" s="18" t="n">
        <v>38</v>
      </c>
      <c r="H37" s="18" t="n">
        <v>94</v>
      </c>
      <c r="I37" s="35" t="n">
        <v>11658.72</v>
      </c>
    </row>
    <row r="38" customFormat="false" ht="15.75" hidden="false" customHeight="false" outlineLevel="0" collapsed="false">
      <c r="B38" s="34" t="s">
        <v>25</v>
      </c>
      <c r="C38" s="14" t="str">
        <f aca="false">IF(B38="","",IFERROR(INDEX('CLM &amp; IM Mapping'!$B$2:$B$270,MATCH(TRIM(B38),'CLM &amp; IM Mapping'!$A$2:$A$270,0)),"Not Mapped"))</f>
        <v>Sundaresh S</v>
      </c>
      <c r="D38" s="14" t="str">
        <f aca="false">IF(B38="","",IFERROR(INDEX('CLM &amp; IM Mapping'!$C$2:$C$270,MATCH(TRIM(B38),'CLM &amp; IM Mapping'!$A$2:$A$270,0)),"Not Mapped"))</f>
        <v>Un Mapped</v>
      </c>
      <c r="E38" s="18" t="n">
        <v>2</v>
      </c>
      <c r="F38" s="18"/>
      <c r="G38" s="18" t="n">
        <v>11</v>
      </c>
      <c r="H38" s="18" t="n">
        <v>13</v>
      </c>
      <c r="I38" s="35" t="n">
        <v>11027.58</v>
      </c>
    </row>
    <row r="39" customFormat="false" ht="15.75" hidden="false" customHeight="false" outlineLevel="0" collapsed="false">
      <c r="B39" s="34" t="s">
        <v>280</v>
      </c>
      <c r="C39" s="14" t="str">
        <f aca="false">IF(B39="","",IFERROR(INDEX('CLM &amp; IM Mapping'!$B$2:$B$270,MATCH(TRIM(B39),'CLM &amp; IM Mapping'!$A$2:$A$270,0)),"Not Mapped"))</f>
        <v>Adhavan Subramani</v>
      </c>
      <c r="D39" s="14" t="str">
        <f aca="false">IF(B39="","",IFERROR(INDEX('CLM &amp; IM Mapping'!$C$2:$C$270,MATCH(TRIM(B39),'CLM &amp; IM Mapping'!$A$2:$A$270,0)),"Not Mapped"))</f>
        <v>Mohammed Akbar</v>
      </c>
      <c r="E39" s="18" t="n">
        <v>94</v>
      </c>
      <c r="F39" s="18"/>
      <c r="G39" s="18"/>
      <c r="H39" s="18" t="n">
        <v>94</v>
      </c>
      <c r="I39" s="35" t="n">
        <v>10939.86</v>
      </c>
    </row>
    <row r="40" customFormat="false" ht="15.75" hidden="false" customHeight="false" outlineLevel="0" collapsed="false">
      <c r="B40" s="34" t="s">
        <v>29</v>
      </c>
      <c r="C40" s="14" t="str">
        <f aca="false">IF(B40="","",IFERROR(INDEX('CLM &amp; IM Mapping'!$B$2:$B$270,MATCH(TRIM(B40),'CLM &amp; IM Mapping'!$A$2:$A$270,0)),"Not Mapped"))</f>
        <v>Rizwan Ahmed</v>
      </c>
      <c r="D40" s="14" t="str">
        <f aca="false">IF(B40="","",IFERROR(INDEX('CLM &amp; IM Mapping'!$C$2:$C$270,MATCH(TRIM(B40),'CLM &amp; IM Mapping'!$A$2:$A$270,0)),"Not Mapped"))</f>
        <v>Un Mapped</v>
      </c>
      <c r="E40" s="18"/>
      <c r="F40" s="18"/>
      <c r="G40" s="18" t="n">
        <v>69</v>
      </c>
      <c r="H40" s="18" t="n">
        <v>69</v>
      </c>
      <c r="I40" s="35" t="n">
        <v>10330.25</v>
      </c>
    </row>
    <row r="41" customFormat="false" ht="15.75" hidden="false" customHeight="false" outlineLevel="0" collapsed="false">
      <c r="B41" s="34" t="s">
        <v>107</v>
      </c>
      <c r="C41" s="14" t="str">
        <f aca="false">IF(B41="","",IFERROR(INDEX('CLM &amp; IM Mapping'!$B$2:$B$270,MATCH(TRIM(B41),'CLM &amp; IM Mapping'!$A$2:$A$270,0)),"Not Mapped"))</f>
        <v>Adhavan Subramani</v>
      </c>
      <c r="D41" s="14" t="str">
        <f aca="false">IF(B41="","",IFERROR(INDEX('CLM &amp; IM Mapping'!$C$2:$C$270,MATCH(TRIM(B41),'CLM &amp; IM Mapping'!$A$2:$A$270,0)),"Not Mapped"))</f>
        <v>Mohammed Akbar</v>
      </c>
      <c r="E41" s="18"/>
      <c r="F41" s="18" t="n">
        <v>2</v>
      </c>
      <c r="G41" s="18" t="n">
        <v>128</v>
      </c>
      <c r="H41" s="18" t="n">
        <v>130</v>
      </c>
      <c r="I41" s="35" t="n">
        <v>9870.32</v>
      </c>
    </row>
    <row r="42" customFormat="false" ht="15.75" hidden="false" customHeight="false" outlineLevel="0" collapsed="false">
      <c r="B42" s="34" t="s">
        <v>69</v>
      </c>
      <c r="C42" s="14" t="str">
        <f aca="false">IF(B42="","",IFERROR(INDEX('CLM &amp; IM Mapping'!$B$2:$B$270,MATCH(TRIM(B42),'CLM &amp; IM Mapping'!$A$2:$A$270,0)),"Not Mapped"))</f>
        <v>Akshay P</v>
      </c>
      <c r="D42" s="14" t="str">
        <f aca="false">IF(B42="","",IFERROR(INDEX('CLM &amp; IM Mapping'!$C$2:$C$270,MATCH(TRIM(B42),'CLM &amp; IM Mapping'!$A$2:$A$270,0)),"Not Mapped"))</f>
        <v>Srittam Dhal</v>
      </c>
      <c r="E42" s="18"/>
      <c r="F42" s="18"/>
      <c r="G42" s="18" t="n">
        <v>58</v>
      </c>
      <c r="H42" s="18" t="n">
        <v>58</v>
      </c>
      <c r="I42" s="35" t="n">
        <v>9337.94</v>
      </c>
    </row>
    <row r="43" customFormat="false" ht="15.75" hidden="false" customHeight="false" outlineLevel="0" collapsed="false">
      <c r="B43" s="34" t="s">
        <v>256</v>
      </c>
      <c r="C43" s="14" t="str">
        <f aca="false">IF(B43="","",IFERROR(INDEX('CLM &amp; IM Mapping'!$B$2:$B$270,MATCH(TRIM(B43),'CLM &amp; IM Mapping'!$A$2:$A$270,0)),"Not Mapped"))</f>
        <v>Raghavendra Vernekar</v>
      </c>
      <c r="D43" s="14" t="str">
        <f aca="false">IF(B43="","",IFERROR(INDEX('CLM &amp; IM Mapping'!$C$2:$C$270,MATCH(TRIM(B43),'CLM &amp; IM Mapping'!$A$2:$A$270,0)),"Not Mapped"))</f>
        <v>Prakash BS</v>
      </c>
      <c r="E43" s="18" t="n">
        <v>69</v>
      </c>
      <c r="F43" s="18"/>
      <c r="G43" s="18" t="n">
        <v>69</v>
      </c>
      <c r="H43" s="18" t="n">
        <v>138</v>
      </c>
      <c r="I43" s="35" t="n">
        <v>9025.76</v>
      </c>
    </row>
    <row r="44" customFormat="false" ht="15.75" hidden="false" customHeight="false" outlineLevel="0" collapsed="false">
      <c r="B44" s="34" t="s">
        <v>299</v>
      </c>
      <c r="C44" s="14" t="str">
        <f aca="false">IF(B44="","",IFERROR(INDEX('CLM &amp; IM Mapping'!$B$2:$B$270,MATCH(TRIM(B44),'CLM &amp; IM Mapping'!$A$2:$A$270,0)),"Not Mapped"))</f>
        <v>Basil Scariya</v>
      </c>
      <c r="D44" s="14" t="str">
        <f aca="false">IF(B44="","",IFERROR(INDEX('CLM &amp; IM Mapping'!$C$2:$C$270,MATCH(TRIM(B44),'CLM &amp; IM Mapping'!$A$2:$A$270,0)),"Not Mapped"))</f>
        <v>Prakash BS</v>
      </c>
      <c r="E44" s="18"/>
      <c r="F44" s="18"/>
      <c r="G44" s="18" t="n">
        <v>44</v>
      </c>
      <c r="H44" s="18" t="n">
        <v>44</v>
      </c>
      <c r="I44" s="35" t="n">
        <v>8292.26</v>
      </c>
    </row>
    <row r="45" customFormat="false" ht="15.75" hidden="false" customHeight="false" outlineLevel="0" collapsed="false">
      <c r="B45" s="34" t="s">
        <v>242</v>
      </c>
      <c r="C45" s="14" t="str">
        <f aca="false">IF(B45="","",IFERROR(INDEX('CLM &amp; IM Mapping'!$B$2:$B$270,MATCH(TRIM(B45),'CLM &amp; IM Mapping'!$A$2:$A$270,0)),"Not Mapped"))</f>
        <v>Ashwath S</v>
      </c>
      <c r="D45" s="14" t="str">
        <f aca="false">IF(B45="","",IFERROR(INDEX('CLM &amp; IM Mapping'!$C$2:$C$270,MATCH(TRIM(B45),'CLM &amp; IM Mapping'!$A$2:$A$270,0)),"Not Mapped"))</f>
        <v>Kantha Kumar</v>
      </c>
      <c r="E45" s="18"/>
      <c r="F45" s="18"/>
      <c r="G45" s="18" t="n">
        <v>67</v>
      </c>
      <c r="H45" s="18" t="n">
        <v>67</v>
      </c>
      <c r="I45" s="35" t="n">
        <v>8262.07</v>
      </c>
    </row>
    <row r="46" customFormat="false" ht="15.75" hidden="false" customHeight="false" outlineLevel="0" collapsed="false">
      <c r="B46" s="34" t="s">
        <v>180</v>
      </c>
      <c r="C46" s="14" t="str">
        <f aca="false">IF(B46="","",IFERROR(INDEX('CLM &amp; IM Mapping'!$B$2:$B$270,MATCH(TRIM(B46),'CLM &amp; IM Mapping'!$A$2:$A$270,0)),"Not Mapped"))</f>
        <v>Richard Harris</v>
      </c>
      <c r="D46" s="14" t="str">
        <f aca="false">IF(B46="","",IFERROR(INDEX('CLM &amp; IM Mapping'!$C$2:$C$270,MATCH(TRIM(B46),'CLM &amp; IM Mapping'!$A$2:$A$270,0)),"Not Mapped"))</f>
        <v>Kantha Kumar</v>
      </c>
      <c r="E46" s="18" t="n">
        <v>9</v>
      </c>
      <c r="F46" s="18"/>
      <c r="G46" s="18"/>
      <c r="H46" s="18" t="n">
        <v>9</v>
      </c>
      <c r="I46" s="35" t="n">
        <v>8055.75</v>
      </c>
    </row>
    <row r="47" customFormat="false" ht="15.75" hidden="false" customHeight="false" outlineLevel="0" collapsed="false">
      <c r="B47" s="34" t="s">
        <v>27</v>
      </c>
      <c r="C47" s="14" t="str">
        <f aca="false">IF(B47="","",IFERROR(INDEX('CLM &amp; IM Mapping'!$B$2:$B$270,MATCH(TRIM(B47),'CLM &amp; IM Mapping'!$A$2:$A$270,0)),"Not Mapped"))</f>
        <v>Arun Raj</v>
      </c>
      <c r="D47" s="14" t="str">
        <f aca="false">IF(B47="","",IFERROR(INDEX('CLM &amp; IM Mapping'!$C$2:$C$270,MATCH(TRIM(B47),'CLM &amp; IM Mapping'!$A$2:$A$270,0)),"Not Mapped"))</f>
        <v>Simon Manoharan</v>
      </c>
      <c r="E47" s="18"/>
      <c r="F47" s="18"/>
      <c r="G47" s="18" t="n">
        <v>30</v>
      </c>
      <c r="H47" s="18" t="n">
        <v>30</v>
      </c>
      <c r="I47" s="35" t="n">
        <v>8012.12</v>
      </c>
    </row>
    <row r="48" customFormat="false" ht="15.75" hidden="false" customHeight="false" outlineLevel="0" collapsed="false">
      <c r="B48" s="34" t="s">
        <v>197</v>
      </c>
      <c r="C48" s="14" t="str">
        <f aca="false">IF(B48="","",IFERROR(INDEX('CLM &amp; IM Mapping'!$B$2:$B$270,MATCH(TRIM(B48),'CLM &amp; IM Mapping'!$A$2:$A$270,0)),"Not Mapped"))</f>
        <v>Balaji G</v>
      </c>
      <c r="D48" s="14" t="str">
        <f aca="false">IF(B48="","",IFERROR(INDEX('CLM &amp; IM Mapping'!$C$2:$C$270,MATCH(TRIM(B48),'CLM &amp; IM Mapping'!$A$2:$A$270,0)),"Not Mapped"))</f>
        <v>Mohammed Akbar</v>
      </c>
      <c r="E48" s="18" t="n">
        <v>67</v>
      </c>
      <c r="F48" s="18"/>
      <c r="G48" s="18"/>
      <c r="H48" s="18" t="n">
        <v>67</v>
      </c>
      <c r="I48" s="35" t="n">
        <v>6954.88</v>
      </c>
    </row>
    <row r="49" customFormat="false" ht="15.75" hidden="false" customHeight="false" outlineLevel="0" collapsed="false">
      <c r="B49" s="34" t="s">
        <v>100</v>
      </c>
      <c r="C49" s="14" t="str">
        <f aca="false">IF(B49="","",IFERROR(INDEX('CLM &amp; IM Mapping'!$B$2:$B$270,MATCH(TRIM(B49),'CLM &amp; IM Mapping'!$A$2:$A$270,0)),"Not Mapped"))</f>
        <v>Adhavan Subramani</v>
      </c>
      <c r="D49" s="14" t="str">
        <f aca="false">IF(B49="","",IFERROR(INDEX('CLM &amp; IM Mapping'!$C$2:$C$270,MATCH(TRIM(B49),'CLM &amp; IM Mapping'!$A$2:$A$270,0)),"Not Mapped"))</f>
        <v>Mohammed Akbar</v>
      </c>
      <c r="E49" s="18" t="n">
        <v>2</v>
      </c>
      <c r="F49" s="18"/>
      <c r="G49" s="18" t="n">
        <v>39</v>
      </c>
      <c r="H49" s="18" t="n">
        <v>41</v>
      </c>
      <c r="I49" s="35" t="n">
        <v>6943.72</v>
      </c>
    </row>
    <row r="50" customFormat="false" ht="15.75" hidden="false" customHeight="false" outlineLevel="0" collapsed="false">
      <c r="B50" s="34" t="s">
        <v>233</v>
      </c>
      <c r="C50" s="14" t="str">
        <f aca="false">IF(B50="","",IFERROR(INDEX('CLM &amp; IM Mapping'!$B$2:$B$270,MATCH(TRIM(B50),'CLM &amp; IM Mapping'!$A$2:$A$270,0)),"Not Mapped"))</f>
        <v>Arun Raj</v>
      </c>
      <c r="D50" s="14" t="str">
        <f aca="false">IF(B50="","",IFERROR(INDEX('CLM &amp; IM Mapping'!$C$2:$C$270,MATCH(TRIM(B50),'CLM &amp; IM Mapping'!$A$2:$A$270,0)),"Not Mapped"))</f>
        <v>Simon Manoharan</v>
      </c>
      <c r="E50" s="18"/>
      <c r="F50" s="18"/>
      <c r="G50" s="18" t="n">
        <v>26</v>
      </c>
      <c r="H50" s="18" t="n">
        <v>26</v>
      </c>
      <c r="I50" s="35" t="n">
        <v>6287.3</v>
      </c>
    </row>
    <row r="51" customFormat="false" ht="15.75" hidden="false" customHeight="false" outlineLevel="0" collapsed="false">
      <c r="B51" s="34" t="s">
        <v>206</v>
      </c>
      <c r="C51" s="14" t="str">
        <f aca="false">IF(B51="","",IFERROR(INDEX('CLM &amp; IM Mapping'!$B$2:$B$270,MATCH(TRIM(B51),'CLM &amp; IM Mapping'!$A$2:$A$270,0)),"Not Mapped"))</f>
        <v>Saddam Hussain</v>
      </c>
      <c r="D51" s="14" t="str">
        <f aca="false">IF(B51="","",IFERROR(INDEX('CLM &amp; IM Mapping'!$C$2:$C$270,MATCH(TRIM(B51),'CLM &amp; IM Mapping'!$A$2:$A$270,0)),"Not Mapped"))</f>
        <v>Un Mapped</v>
      </c>
      <c r="E51" s="18"/>
      <c r="F51" s="18"/>
      <c r="G51" s="18" t="n">
        <v>19</v>
      </c>
      <c r="H51" s="18" t="n">
        <v>19</v>
      </c>
      <c r="I51" s="35" t="n">
        <v>6121.96</v>
      </c>
    </row>
    <row r="52" customFormat="false" ht="15.75" hidden="false" customHeight="false" outlineLevel="0" collapsed="false">
      <c r="B52" s="34" t="s">
        <v>114</v>
      </c>
      <c r="C52" s="14" t="str">
        <f aca="false">IF(B52="","",IFERROR(INDEX('CLM &amp; IM Mapping'!$B$2:$B$270,MATCH(TRIM(B52),'CLM &amp; IM Mapping'!$A$2:$A$270,0)),"Not Mapped"))</f>
        <v>Akshay P</v>
      </c>
      <c r="D52" s="14" t="str">
        <f aca="false">IF(B52="","",IFERROR(INDEX('CLM &amp; IM Mapping'!$C$2:$C$270,MATCH(TRIM(B52),'CLM &amp; IM Mapping'!$A$2:$A$270,0)),"Not Mapped"))</f>
        <v>Srittam Dhal</v>
      </c>
      <c r="E52" s="18"/>
      <c r="F52" s="18" t="n">
        <v>48</v>
      </c>
      <c r="G52" s="18" t="n">
        <v>52</v>
      </c>
      <c r="H52" s="18" t="n">
        <v>100</v>
      </c>
      <c r="I52" s="35" t="n">
        <v>6079.39</v>
      </c>
    </row>
    <row r="53" customFormat="false" ht="15.75" hidden="false" customHeight="false" outlineLevel="0" collapsed="false">
      <c r="B53" s="34" t="s">
        <v>130</v>
      </c>
      <c r="C53" s="14" t="str">
        <f aca="false">IF(B53="","",IFERROR(INDEX('CLM &amp; IM Mapping'!$B$2:$B$270,MATCH(TRIM(B53),'CLM &amp; IM Mapping'!$A$2:$A$270,0)),"Not Mapped"))</f>
        <v>Arun Raj</v>
      </c>
      <c r="D53" s="14" t="str">
        <f aca="false">IF(B53="","",IFERROR(INDEX('CLM &amp; IM Mapping'!$C$2:$C$270,MATCH(TRIM(B53),'CLM &amp; IM Mapping'!$A$2:$A$270,0)),"Not Mapped"))</f>
        <v>Simon Manoharan</v>
      </c>
      <c r="E53" s="18"/>
      <c r="F53" s="18"/>
      <c r="G53" s="18" t="n">
        <v>35</v>
      </c>
      <c r="H53" s="18" t="n">
        <v>35</v>
      </c>
      <c r="I53" s="35" t="n">
        <v>5858.75</v>
      </c>
    </row>
    <row r="54" customFormat="false" ht="15.75" hidden="false" customHeight="false" outlineLevel="0" collapsed="false">
      <c r="B54" s="34" t="s">
        <v>145</v>
      </c>
      <c r="C54" s="14" t="str">
        <f aca="false">IF(B54="","",IFERROR(INDEX('CLM &amp; IM Mapping'!$B$2:$B$270,MATCH(TRIM(B54),'CLM &amp; IM Mapping'!$A$2:$A$270,0)),"Not Mapped"))</f>
        <v>Saddam Hussain</v>
      </c>
      <c r="D54" s="14" t="str">
        <f aca="false">IF(B54="","",IFERROR(INDEX('CLM &amp; IM Mapping'!$C$2:$C$270,MATCH(TRIM(B54),'CLM &amp; IM Mapping'!$A$2:$A$270,0)),"Not Mapped"))</f>
        <v>Un Mapped</v>
      </c>
      <c r="E54" s="18"/>
      <c r="F54" s="18"/>
      <c r="G54" s="18" t="n">
        <v>11</v>
      </c>
      <c r="H54" s="18" t="n">
        <v>11</v>
      </c>
      <c r="I54" s="35" t="n">
        <v>5405.32</v>
      </c>
    </row>
    <row r="55" customFormat="false" ht="15.75" hidden="false" customHeight="false" outlineLevel="0" collapsed="false">
      <c r="B55" s="34" t="s">
        <v>113</v>
      </c>
      <c r="C55" s="14" t="str">
        <f aca="false">IF(B55="","",IFERROR(INDEX('CLM &amp; IM Mapping'!$B$2:$B$270,MATCH(TRIM(B55),'CLM &amp; IM Mapping'!$A$2:$A$270,0)),"Not Mapped"))</f>
        <v>Ashwath S</v>
      </c>
      <c r="D55" s="14" t="str">
        <f aca="false">IF(B55="","",IFERROR(INDEX('CLM &amp; IM Mapping'!$C$2:$C$270,MATCH(TRIM(B55),'CLM &amp; IM Mapping'!$A$2:$A$270,0)),"Not Mapped"))</f>
        <v>Kantha Kumar</v>
      </c>
      <c r="E55" s="18" t="n">
        <v>54</v>
      </c>
      <c r="F55" s="18"/>
      <c r="G55" s="18" t="n">
        <v>7</v>
      </c>
      <c r="H55" s="18" t="n">
        <v>61</v>
      </c>
      <c r="I55" s="35" t="n">
        <v>5404.3</v>
      </c>
    </row>
    <row r="56" customFormat="false" ht="15.75" hidden="false" customHeight="false" outlineLevel="0" collapsed="false">
      <c r="B56" s="34" t="s">
        <v>28</v>
      </c>
      <c r="C56" s="14" t="str">
        <f aca="false">IF(B56="","",IFERROR(INDEX('CLM &amp; IM Mapping'!$B$2:$B$270,MATCH(TRIM(B56),'CLM &amp; IM Mapping'!$A$2:$A$270,0)),"Not Mapped"))</f>
        <v>Ravishankar gowda</v>
      </c>
      <c r="D56" s="14" t="str">
        <f aca="false">IF(B56="","",IFERROR(INDEX('CLM &amp; IM Mapping'!$C$2:$C$270,MATCH(TRIM(B56),'CLM &amp; IM Mapping'!$A$2:$A$270,0)),"Not Mapped"))</f>
        <v>Kishor K</v>
      </c>
      <c r="E56" s="18"/>
      <c r="F56" s="18"/>
      <c r="G56" s="18" t="n">
        <v>47</v>
      </c>
      <c r="H56" s="18" t="n">
        <v>47</v>
      </c>
      <c r="I56" s="35" t="n">
        <v>5337.87</v>
      </c>
    </row>
    <row r="57" customFormat="false" ht="15.75" hidden="false" customHeight="false" outlineLevel="0" collapsed="false">
      <c r="B57" s="34" t="s">
        <v>53</v>
      </c>
      <c r="C57" s="14" t="str">
        <f aca="false">IF(B57="","",IFERROR(INDEX('CLM &amp; IM Mapping'!$B$2:$B$270,MATCH(TRIM(B57),'CLM &amp; IM Mapping'!$A$2:$A$270,0)),"Not Mapped"))</f>
        <v>Ashwath S</v>
      </c>
      <c r="D57" s="14" t="str">
        <f aca="false">IF(B57="","",IFERROR(INDEX('CLM &amp; IM Mapping'!$C$2:$C$270,MATCH(TRIM(B57),'CLM &amp; IM Mapping'!$A$2:$A$270,0)),"Not Mapped"))</f>
        <v>Kantha Kumar</v>
      </c>
      <c r="E57" s="18"/>
      <c r="F57" s="18"/>
      <c r="G57" s="18" t="n">
        <v>14</v>
      </c>
      <c r="H57" s="18" t="n">
        <v>14</v>
      </c>
      <c r="I57" s="35" t="n">
        <v>5024.04</v>
      </c>
    </row>
    <row r="58" customFormat="false" ht="15.75" hidden="false" customHeight="false" outlineLevel="0" collapsed="false">
      <c r="B58" s="34" t="s">
        <v>248</v>
      </c>
      <c r="C58" s="14" t="str">
        <f aca="false">IF(B58="","",IFERROR(INDEX('CLM &amp; IM Mapping'!$B$2:$B$270,MATCH(TRIM(B58),'CLM &amp; IM Mapping'!$A$2:$A$270,0)),"Not Mapped"))</f>
        <v>Sundaresh S</v>
      </c>
      <c r="D58" s="14" t="str">
        <f aca="false">IF(B58="","",IFERROR(INDEX('CLM &amp; IM Mapping'!$C$2:$C$270,MATCH(TRIM(B58),'CLM &amp; IM Mapping'!$A$2:$A$270,0)),"Not Mapped"))</f>
        <v>Un Mapped</v>
      </c>
      <c r="E58" s="18" t="n">
        <v>127</v>
      </c>
      <c r="F58" s="18"/>
      <c r="G58" s="18"/>
      <c r="H58" s="18" t="n">
        <v>127</v>
      </c>
      <c r="I58" s="35" t="n">
        <v>4907.14</v>
      </c>
    </row>
    <row r="59" customFormat="false" ht="15.75" hidden="false" customHeight="false" outlineLevel="0" collapsed="false">
      <c r="B59" s="34" t="s">
        <v>35</v>
      </c>
      <c r="C59" s="14" t="str">
        <f aca="false">IF(B59="","",IFERROR(INDEX('CLM &amp; IM Mapping'!$B$2:$B$270,MATCH(TRIM(B59),'CLM &amp; IM Mapping'!$A$2:$A$270,0)),"Not Mapped"))</f>
        <v>Manjunatha V</v>
      </c>
      <c r="D59" s="14" t="str">
        <f aca="false">IF(B59="","",IFERROR(INDEX('CLM &amp; IM Mapping'!$C$2:$C$270,MATCH(TRIM(B59),'CLM &amp; IM Mapping'!$A$2:$A$270,0)),"Not Mapped"))</f>
        <v>Un Mapped</v>
      </c>
      <c r="E59" s="18"/>
      <c r="F59" s="18" t="n">
        <v>3</v>
      </c>
      <c r="G59" s="18"/>
      <c r="H59" s="18" t="n">
        <v>3</v>
      </c>
      <c r="I59" s="35" t="n">
        <v>4739.25</v>
      </c>
    </row>
    <row r="60" customFormat="false" ht="15.75" hidden="false" customHeight="false" outlineLevel="0" collapsed="false">
      <c r="B60" s="34" t="s">
        <v>121</v>
      </c>
      <c r="C60" s="14" t="str">
        <f aca="false">IF(B60="","",IFERROR(INDEX('CLM &amp; IM Mapping'!$B$2:$B$270,MATCH(TRIM(B60),'CLM &amp; IM Mapping'!$A$2:$A$270,0)),"Not Mapped"))</f>
        <v>Sundaresh S</v>
      </c>
      <c r="D60" s="14" t="str">
        <f aca="false">IF(B60="","",IFERROR(INDEX('CLM &amp; IM Mapping'!$C$2:$C$270,MATCH(TRIM(B60),'CLM &amp; IM Mapping'!$A$2:$A$270,0)),"Not Mapped"))</f>
        <v>Un Mapped</v>
      </c>
      <c r="E60" s="18"/>
      <c r="F60" s="18"/>
      <c r="G60" s="18" t="n">
        <v>9</v>
      </c>
      <c r="H60" s="18" t="n">
        <v>9</v>
      </c>
      <c r="I60" s="35" t="n">
        <v>4633.28</v>
      </c>
    </row>
    <row r="61" customFormat="false" ht="15.75" hidden="false" customHeight="false" outlineLevel="0" collapsed="false">
      <c r="B61" s="34" t="s">
        <v>140</v>
      </c>
      <c r="C61" s="14" t="str">
        <f aca="false">IF(B61="","",IFERROR(INDEX('CLM &amp; IM Mapping'!$B$2:$B$270,MATCH(TRIM(B61),'CLM &amp; IM Mapping'!$A$2:$A$270,0)),"Not Mapped"))</f>
        <v>Mohaideen DH</v>
      </c>
      <c r="D61" s="14" t="str">
        <f aca="false">IF(B61="","",IFERROR(INDEX('CLM &amp; IM Mapping'!$C$2:$C$270,MATCH(TRIM(B61),'CLM &amp; IM Mapping'!$A$2:$A$270,0)),"Not Mapped"))</f>
        <v>Mohammed Akbar</v>
      </c>
      <c r="E61" s="18" t="n">
        <v>48</v>
      </c>
      <c r="F61" s="18"/>
      <c r="G61" s="18"/>
      <c r="H61" s="18" t="n">
        <v>48</v>
      </c>
      <c r="I61" s="35" t="n">
        <v>4449.23</v>
      </c>
    </row>
    <row r="62" customFormat="false" ht="15.75" hidden="false" customHeight="false" outlineLevel="0" collapsed="false">
      <c r="B62" s="34" t="s">
        <v>224</v>
      </c>
      <c r="C62" s="14" t="str">
        <f aca="false">IF(B62="","",IFERROR(INDEX('CLM &amp; IM Mapping'!$B$2:$B$270,MATCH(TRIM(B62),'CLM &amp; IM Mapping'!$A$2:$A$270,0)),"Not Mapped"))</f>
        <v>Balaji G</v>
      </c>
      <c r="D62" s="14" t="str">
        <f aca="false">IF(B62="","",IFERROR(INDEX('CLM &amp; IM Mapping'!$C$2:$C$270,MATCH(TRIM(B62),'CLM &amp; IM Mapping'!$A$2:$A$270,0)),"Not Mapped"))</f>
        <v>Mohammed Akbar</v>
      </c>
      <c r="E62" s="18"/>
      <c r="F62" s="18"/>
      <c r="G62" s="18" t="n">
        <v>10</v>
      </c>
      <c r="H62" s="18" t="n">
        <v>10</v>
      </c>
      <c r="I62" s="35" t="n">
        <v>4213.19</v>
      </c>
    </row>
    <row r="63" customFormat="false" ht="15.75" hidden="false" customHeight="false" outlineLevel="0" collapsed="false">
      <c r="B63" s="34" t="s">
        <v>19</v>
      </c>
      <c r="C63" s="14" t="str">
        <f aca="false">IF(B63="","",IFERROR(INDEX('CLM &amp; IM Mapping'!$B$2:$B$270,MATCH(TRIM(B63),'CLM &amp; IM Mapping'!$A$2:$A$270,0)),"Not Mapped"))</f>
        <v>Ashwath S</v>
      </c>
      <c r="D63" s="14" t="str">
        <f aca="false">IF(B63="","",IFERROR(INDEX('CLM &amp; IM Mapping'!$C$2:$C$270,MATCH(TRIM(B63),'CLM &amp; IM Mapping'!$A$2:$A$270,0)),"Not Mapped"))</f>
        <v>Kantha Kumar</v>
      </c>
      <c r="E63" s="18"/>
      <c r="F63" s="18"/>
      <c r="G63" s="18" t="n">
        <v>7</v>
      </c>
      <c r="H63" s="18" t="n">
        <v>7</v>
      </c>
      <c r="I63" s="35" t="n">
        <v>4126.03</v>
      </c>
    </row>
    <row r="64" customFormat="false" ht="15.75" hidden="false" customHeight="false" outlineLevel="0" collapsed="false">
      <c r="B64" s="34" t="s">
        <v>125</v>
      </c>
      <c r="C64" s="14" t="str">
        <f aca="false">IF(B64="","",IFERROR(INDEX('CLM &amp; IM Mapping'!$B$2:$B$270,MATCH(TRIM(B64),'CLM &amp; IM Mapping'!$A$2:$A$270,0)),"Not Mapped"))</f>
        <v>Sundaresh S</v>
      </c>
      <c r="D64" s="14" t="str">
        <f aca="false">IF(B64="","",IFERROR(INDEX('CLM &amp; IM Mapping'!$C$2:$C$270,MATCH(TRIM(B64),'CLM &amp; IM Mapping'!$A$2:$A$270,0)),"Not Mapped"))</f>
        <v>Un Mapped</v>
      </c>
      <c r="E64" s="18"/>
      <c r="F64" s="18" t="n">
        <v>13</v>
      </c>
      <c r="G64" s="18"/>
      <c r="H64" s="18" t="n">
        <v>13</v>
      </c>
      <c r="I64" s="35" t="n">
        <v>3959.47</v>
      </c>
    </row>
    <row r="65" customFormat="false" ht="15.75" hidden="false" customHeight="false" outlineLevel="0" collapsed="false">
      <c r="B65" s="34" t="s">
        <v>221</v>
      </c>
      <c r="C65" s="14" t="str">
        <f aca="false">IF(B65="","",IFERROR(INDEX('CLM &amp; IM Mapping'!$B$2:$B$270,MATCH(TRIM(B65),'CLM &amp; IM Mapping'!$A$2:$A$270,0)),"Not Mapped"))</f>
        <v>Balaji G</v>
      </c>
      <c r="D65" s="14" t="str">
        <f aca="false">IF(B65="","",IFERROR(INDEX('CLM &amp; IM Mapping'!$C$2:$C$270,MATCH(TRIM(B65),'CLM &amp; IM Mapping'!$A$2:$A$270,0)),"Not Mapped"))</f>
        <v>Mohammed Akbar</v>
      </c>
      <c r="E65" s="18" t="n">
        <v>2</v>
      </c>
      <c r="F65" s="18"/>
      <c r="G65" s="18" t="n">
        <v>11</v>
      </c>
      <c r="H65" s="18" t="n">
        <v>13</v>
      </c>
      <c r="I65" s="35" t="n">
        <v>3875.48</v>
      </c>
    </row>
    <row r="66" customFormat="false" ht="15.75" hidden="false" customHeight="false" outlineLevel="0" collapsed="false">
      <c r="B66" s="34" t="s">
        <v>84</v>
      </c>
      <c r="C66" s="14" t="str">
        <f aca="false">IF(B66="","",IFERROR(INDEX('CLM &amp; IM Mapping'!$B$2:$B$270,MATCH(TRIM(B66),'CLM &amp; IM Mapping'!$A$2:$A$270,0)),"Not Mapped"))</f>
        <v>Mohaideen DH</v>
      </c>
      <c r="D66" s="14" t="str">
        <f aca="false">IF(B66="","",IFERROR(INDEX('CLM &amp; IM Mapping'!$C$2:$C$270,MATCH(TRIM(B66),'CLM &amp; IM Mapping'!$A$2:$A$270,0)),"Not Mapped"))</f>
        <v>Mohammed Akbar</v>
      </c>
      <c r="E66" s="18"/>
      <c r="F66" s="18"/>
      <c r="G66" s="18" t="n">
        <v>71</v>
      </c>
      <c r="H66" s="18" t="n">
        <v>71</v>
      </c>
      <c r="I66" s="35" t="n">
        <v>3855.48</v>
      </c>
    </row>
    <row r="67" customFormat="false" ht="15.75" hidden="false" customHeight="false" outlineLevel="0" collapsed="false">
      <c r="B67" s="34" t="s">
        <v>70</v>
      </c>
      <c r="C67" s="14" t="str">
        <f aca="false">IF(B67="","",IFERROR(INDEX('CLM &amp; IM Mapping'!$B$2:$B$270,MATCH(TRIM(B67),'CLM &amp; IM Mapping'!$A$2:$A$270,0)),"Not Mapped"))</f>
        <v>Arun Raj</v>
      </c>
      <c r="D67" s="14" t="str">
        <f aca="false">IF(B67="","",IFERROR(INDEX('CLM &amp; IM Mapping'!$C$2:$C$270,MATCH(TRIM(B67),'CLM &amp; IM Mapping'!$A$2:$A$270,0)),"Not Mapped"))</f>
        <v>Simon Manoharan</v>
      </c>
      <c r="E67" s="18"/>
      <c r="F67" s="18"/>
      <c r="G67" s="18" t="n">
        <v>17</v>
      </c>
      <c r="H67" s="18" t="n">
        <v>17</v>
      </c>
      <c r="I67" s="35" t="n">
        <v>3817.58</v>
      </c>
    </row>
    <row r="68" customFormat="false" ht="15.75" hidden="false" customHeight="false" outlineLevel="0" collapsed="false">
      <c r="B68" s="34" t="s">
        <v>67</v>
      </c>
      <c r="C68" s="14" t="str">
        <f aca="false">IF(B68="","",IFERROR(INDEX('CLM &amp; IM Mapping'!$B$2:$B$270,MATCH(TRIM(B68),'CLM &amp; IM Mapping'!$A$2:$A$270,0)),"Not Mapped"))</f>
        <v>Raghavendra Vernekar</v>
      </c>
      <c r="D68" s="14" t="str">
        <f aca="false">IF(B68="","",IFERROR(INDEX('CLM &amp; IM Mapping'!$C$2:$C$270,MATCH(TRIM(B68),'CLM &amp; IM Mapping'!$A$2:$A$270,0)),"Not Mapped"))</f>
        <v>Prakash BS</v>
      </c>
      <c r="E68" s="18" t="n">
        <v>15</v>
      </c>
      <c r="F68" s="18"/>
      <c r="G68" s="18" t="n">
        <v>12</v>
      </c>
      <c r="H68" s="18" t="n">
        <v>27</v>
      </c>
      <c r="I68" s="35" t="n">
        <v>3730.43</v>
      </c>
    </row>
    <row r="69" customFormat="false" ht="15.75" hidden="false" customHeight="false" outlineLevel="0" collapsed="false">
      <c r="B69" s="34" t="s">
        <v>211</v>
      </c>
      <c r="C69" s="14" t="str">
        <f aca="false">IF(B69="","",IFERROR(INDEX('CLM &amp; IM Mapping'!$B$2:$B$270,MATCH(TRIM(B69),'CLM &amp; IM Mapping'!$A$2:$A$270,0)),"Not Mapped"))</f>
        <v>Ashwath S</v>
      </c>
      <c r="D69" s="14" t="str">
        <f aca="false">IF(B69="","",IFERROR(INDEX('CLM &amp; IM Mapping'!$C$2:$C$270,MATCH(TRIM(B69),'CLM &amp; IM Mapping'!$A$2:$A$270,0)),"Not Mapped"))</f>
        <v>Kantha Kumar</v>
      </c>
      <c r="E69" s="18"/>
      <c r="F69" s="18"/>
      <c r="G69" s="18" t="n">
        <v>21</v>
      </c>
      <c r="H69" s="18" t="n">
        <v>21</v>
      </c>
      <c r="I69" s="35" t="n">
        <v>3728.64</v>
      </c>
    </row>
    <row r="70" customFormat="false" ht="15.75" hidden="false" customHeight="false" outlineLevel="0" collapsed="false">
      <c r="B70" s="34" t="s">
        <v>98</v>
      </c>
      <c r="C70" s="14" t="str">
        <f aca="false">IF(B70="","",IFERROR(INDEX('CLM &amp; IM Mapping'!$B$2:$B$270,MATCH(TRIM(B70),'CLM &amp; IM Mapping'!$A$2:$A$270,0)),"Not Mapped"))</f>
        <v>Silambarasan E</v>
      </c>
      <c r="D70" s="14" t="str">
        <f aca="false">IF(B70="","",IFERROR(INDEX('CLM &amp; IM Mapping'!$C$2:$C$270,MATCH(TRIM(B70),'CLM &amp; IM Mapping'!$A$2:$A$270,0)),"Not Mapped"))</f>
        <v>Arivind S</v>
      </c>
      <c r="E70" s="18" t="n">
        <v>17</v>
      </c>
      <c r="F70" s="18" t="n">
        <v>30</v>
      </c>
      <c r="G70" s="18" t="n">
        <v>2</v>
      </c>
      <c r="H70" s="18" t="n">
        <v>49</v>
      </c>
      <c r="I70" s="35" t="n">
        <v>3710.89</v>
      </c>
    </row>
    <row r="71" customFormat="false" ht="15.75" hidden="false" customHeight="false" outlineLevel="0" collapsed="false">
      <c r="B71" s="34" t="s">
        <v>51</v>
      </c>
      <c r="C71" s="14" t="str">
        <f aca="false">IF(B71="","",IFERROR(INDEX('CLM &amp; IM Mapping'!$B$2:$B$270,MATCH(TRIM(B71),'CLM &amp; IM Mapping'!$A$2:$A$270,0)),"Not Mapped"))</f>
        <v>Arun Raj</v>
      </c>
      <c r="D71" s="14" t="str">
        <f aca="false">IF(B71="","",IFERROR(INDEX('CLM &amp; IM Mapping'!$C$2:$C$270,MATCH(TRIM(B71),'CLM &amp; IM Mapping'!$A$2:$A$270,0)),"Not Mapped"))</f>
        <v>Simon Manoharan</v>
      </c>
      <c r="E71" s="18"/>
      <c r="F71" s="18"/>
      <c r="G71" s="18" t="n">
        <v>19</v>
      </c>
      <c r="H71" s="18" t="n">
        <v>19</v>
      </c>
      <c r="I71" s="35" t="n">
        <v>3706.88</v>
      </c>
    </row>
    <row r="72" customFormat="false" ht="15.75" hidden="false" customHeight="false" outlineLevel="0" collapsed="false">
      <c r="B72" s="34" t="s">
        <v>258</v>
      </c>
      <c r="C72" s="14" t="str">
        <f aca="false">IF(B72="","",IFERROR(INDEX('CLM &amp; IM Mapping'!$B$2:$B$270,MATCH(TRIM(B72),'CLM &amp; IM Mapping'!$A$2:$A$270,0)),"Not Mapped"))</f>
        <v>Sundaresh S</v>
      </c>
      <c r="D72" s="14" t="str">
        <f aca="false">IF(B72="","",IFERROR(INDEX('CLM &amp; IM Mapping'!$C$2:$C$270,MATCH(TRIM(B72),'CLM &amp; IM Mapping'!$A$2:$A$270,0)),"Not Mapped"))</f>
        <v>Un Mapped</v>
      </c>
      <c r="E72" s="18"/>
      <c r="F72" s="18"/>
      <c r="G72" s="18" t="n">
        <v>38</v>
      </c>
      <c r="H72" s="18" t="n">
        <v>38</v>
      </c>
      <c r="I72" s="35" t="n">
        <v>3684.21</v>
      </c>
    </row>
    <row r="73" customFormat="false" ht="15.75" hidden="false" customHeight="false" outlineLevel="0" collapsed="false">
      <c r="B73" s="34" t="s">
        <v>115</v>
      </c>
      <c r="C73" s="14" t="str">
        <f aca="false">IF(B73="","",IFERROR(INDEX('CLM &amp; IM Mapping'!$B$2:$B$270,MATCH(TRIM(B73),'CLM &amp; IM Mapping'!$A$2:$A$270,0)),"Not Mapped"))</f>
        <v>Bangareppa CS</v>
      </c>
      <c r="D73" s="14" t="str">
        <f aca="false">IF(B73="","",IFERROR(INDEX('CLM &amp; IM Mapping'!$C$2:$C$270,MATCH(TRIM(B73),'CLM &amp; IM Mapping'!$A$2:$A$270,0)),"Not Mapped"))</f>
        <v>Kishor K</v>
      </c>
      <c r="E73" s="18"/>
      <c r="F73" s="18" t="n">
        <v>59</v>
      </c>
      <c r="G73" s="18" t="n">
        <v>99</v>
      </c>
      <c r="H73" s="18" t="n">
        <v>158</v>
      </c>
      <c r="I73" s="35" t="n">
        <v>3513.86</v>
      </c>
    </row>
    <row r="74" customFormat="false" ht="15.75" hidden="false" customHeight="false" outlineLevel="0" collapsed="false">
      <c r="B74" s="34" t="s">
        <v>148</v>
      </c>
      <c r="C74" s="14" t="str">
        <f aca="false">IF(B74="","",IFERROR(INDEX('CLM &amp; IM Mapping'!$B$2:$B$270,MATCH(TRIM(B74),'CLM &amp; IM Mapping'!$A$2:$A$270,0)),"Not Mapped"))</f>
        <v>Santhosha M</v>
      </c>
      <c r="D74" s="14" t="str">
        <f aca="false">IF(B74="","",IFERROR(INDEX('CLM &amp; IM Mapping'!$C$2:$C$270,MATCH(TRIM(B74),'CLM &amp; IM Mapping'!$A$2:$A$270,0)),"Not Mapped"))</f>
        <v>Aravind S</v>
      </c>
      <c r="E74" s="18"/>
      <c r="F74" s="18"/>
      <c r="G74" s="18" t="n">
        <v>11</v>
      </c>
      <c r="H74" s="18" t="n">
        <v>11</v>
      </c>
      <c r="I74" s="35" t="n">
        <v>3275.33</v>
      </c>
    </row>
    <row r="75" customFormat="false" ht="15.75" hidden="false" customHeight="false" outlineLevel="0" collapsed="false">
      <c r="B75" s="34" t="s">
        <v>279</v>
      </c>
      <c r="C75" s="14" t="str">
        <f aca="false">IF(B75="","",IFERROR(INDEX('CLM &amp; IM Mapping'!$B$2:$B$270,MATCH(TRIM(B75),'CLM &amp; IM Mapping'!$A$2:$A$270,0)),"Not Mapped"))</f>
        <v>Balaji G</v>
      </c>
      <c r="D75" s="14" t="str">
        <f aca="false">IF(B75="","",IFERROR(INDEX('CLM &amp; IM Mapping'!$C$2:$C$270,MATCH(TRIM(B75),'CLM &amp; IM Mapping'!$A$2:$A$270,0)),"Not Mapped"))</f>
        <v>Mohammed Akbar</v>
      </c>
      <c r="E75" s="18"/>
      <c r="F75" s="18"/>
      <c r="G75" s="18" t="n">
        <v>17</v>
      </c>
      <c r="H75" s="18" t="n">
        <v>17</v>
      </c>
      <c r="I75" s="35" t="n">
        <v>3153.75</v>
      </c>
    </row>
    <row r="76" customFormat="false" ht="15.75" hidden="false" customHeight="false" outlineLevel="0" collapsed="false">
      <c r="B76" s="34" t="s">
        <v>269</v>
      </c>
      <c r="C76" s="14" t="str">
        <f aca="false">IF(B76="","",IFERROR(INDEX('CLM &amp; IM Mapping'!$B$2:$B$270,MATCH(TRIM(B76),'CLM &amp; IM Mapping'!$A$2:$A$270,0)),"Not Mapped"))</f>
        <v>Santhosha M</v>
      </c>
      <c r="D76" s="14" t="str">
        <f aca="false">IF(B76="","",IFERROR(INDEX('CLM &amp; IM Mapping'!$C$2:$C$270,MATCH(TRIM(B76),'CLM &amp; IM Mapping'!$A$2:$A$270,0)),"Not Mapped"))</f>
        <v>Aravind S</v>
      </c>
      <c r="E76" s="18"/>
      <c r="F76" s="18" t="n">
        <v>11</v>
      </c>
      <c r="G76" s="18" t="n">
        <v>5</v>
      </c>
      <c r="H76" s="18" t="n">
        <v>16</v>
      </c>
      <c r="I76" s="35" t="n">
        <v>3112.14</v>
      </c>
    </row>
    <row r="77" customFormat="false" ht="15.75" hidden="false" customHeight="false" outlineLevel="0" collapsed="false">
      <c r="B77" s="34" t="s">
        <v>202</v>
      </c>
      <c r="C77" s="14" t="str">
        <f aca="false">IF(B77="","",IFERROR(INDEX('CLM &amp; IM Mapping'!$B$2:$B$270,MATCH(TRIM(B77),'CLM &amp; IM Mapping'!$A$2:$A$270,0)),"Not Mapped"))</f>
        <v>Ashwath S</v>
      </c>
      <c r="D77" s="14" t="str">
        <f aca="false">IF(B77="","",IFERROR(INDEX('CLM &amp; IM Mapping'!$C$2:$C$270,MATCH(TRIM(B77),'CLM &amp; IM Mapping'!$A$2:$A$270,0)),"Not Mapped"))</f>
        <v>Kantha Kumar</v>
      </c>
      <c r="E77" s="18"/>
      <c r="F77" s="18"/>
      <c r="G77" s="18" t="n">
        <v>52</v>
      </c>
      <c r="H77" s="18" t="n">
        <v>52</v>
      </c>
      <c r="I77" s="35" t="n">
        <v>3027.07</v>
      </c>
    </row>
    <row r="78" customFormat="false" ht="15.75" hidden="false" customHeight="false" outlineLevel="0" collapsed="false">
      <c r="B78" s="34" t="s">
        <v>264</v>
      </c>
      <c r="C78" s="14" t="str">
        <f aca="false">IF(B78="","",IFERROR(INDEX('CLM &amp; IM Mapping'!$B$2:$B$270,MATCH(TRIM(B78),'CLM &amp; IM Mapping'!$A$2:$A$270,0)),"Not Mapped"))</f>
        <v>Basil Scariya</v>
      </c>
      <c r="D78" s="14" t="str">
        <f aca="false">IF(B78="","",IFERROR(INDEX('CLM &amp; IM Mapping'!$C$2:$C$270,MATCH(TRIM(B78),'CLM &amp; IM Mapping'!$A$2:$A$270,0)),"Not Mapped"))</f>
        <v>Prakash BS</v>
      </c>
      <c r="E78" s="18"/>
      <c r="F78" s="18"/>
      <c r="G78" s="18" t="n">
        <v>9</v>
      </c>
      <c r="H78" s="18" t="n">
        <v>9</v>
      </c>
      <c r="I78" s="35" t="n">
        <v>2813.68</v>
      </c>
    </row>
    <row r="79" customFormat="false" ht="15.75" hidden="false" customHeight="false" outlineLevel="0" collapsed="false">
      <c r="B79" s="34" t="s">
        <v>39</v>
      </c>
      <c r="C79" s="14" t="str">
        <f aca="false">IF(B79="","",IFERROR(INDEX('CLM &amp; IM Mapping'!$B$2:$B$270,MATCH(TRIM(B79),'CLM &amp; IM Mapping'!$A$2:$A$270,0)),"Not Mapped"))</f>
        <v>Arun Raj</v>
      </c>
      <c r="D79" s="14" t="str">
        <f aca="false">IF(B79="","",IFERROR(INDEX('CLM &amp; IM Mapping'!$C$2:$C$270,MATCH(TRIM(B79),'CLM &amp; IM Mapping'!$A$2:$A$270,0)),"Not Mapped"))</f>
        <v>Simon Manoharan</v>
      </c>
      <c r="E79" s="18"/>
      <c r="F79" s="18"/>
      <c r="G79" s="18" t="n">
        <v>14</v>
      </c>
      <c r="H79" s="18" t="n">
        <v>14</v>
      </c>
      <c r="I79" s="35" t="n">
        <v>2672.66</v>
      </c>
    </row>
    <row r="80" customFormat="false" ht="15.75" hidden="false" customHeight="false" outlineLevel="0" collapsed="false">
      <c r="B80" s="34" t="s">
        <v>66</v>
      </c>
      <c r="C80" s="14" t="str">
        <f aca="false">IF(B80="","",IFERROR(INDEX('CLM &amp; IM Mapping'!$B$2:$B$270,MATCH(TRIM(B80),'CLM &amp; IM Mapping'!$A$2:$A$270,0)),"Not Mapped"))</f>
        <v>Narasimhamurthy R</v>
      </c>
      <c r="D80" s="14" t="str">
        <f aca="false">IF(B80="","",IFERROR(INDEX('CLM &amp; IM Mapping'!$C$2:$C$270,MATCH(TRIM(B80),'CLM &amp; IM Mapping'!$A$2:$A$270,0)),"Not Mapped"))</f>
        <v>Kishor K</v>
      </c>
      <c r="E80" s="18"/>
      <c r="F80" s="18"/>
      <c r="G80" s="18" t="n">
        <v>47</v>
      </c>
      <c r="H80" s="18" t="n">
        <v>47</v>
      </c>
      <c r="I80" s="35" t="n">
        <v>2601.46</v>
      </c>
    </row>
    <row r="81" customFormat="false" ht="15.75" hidden="false" customHeight="false" outlineLevel="0" collapsed="false">
      <c r="B81" s="34" t="s">
        <v>176</v>
      </c>
      <c r="C81" s="14" t="str">
        <f aca="false">IF(B81="","",IFERROR(INDEX('CLM &amp; IM Mapping'!$B$2:$B$270,MATCH(TRIM(B81),'CLM &amp; IM Mapping'!$A$2:$A$270,0)),"Not Mapped"))</f>
        <v>Raghavendra Vernekar</v>
      </c>
      <c r="D81" s="14" t="str">
        <f aca="false">IF(B81="","",IFERROR(INDEX('CLM &amp; IM Mapping'!$C$2:$C$270,MATCH(TRIM(B81),'CLM &amp; IM Mapping'!$A$2:$A$270,0)),"Not Mapped"))</f>
        <v>Prakash BS</v>
      </c>
      <c r="E81" s="18"/>
      <c r="F81" s="18"/>
      <c r="G81" s="18" t="n">
        <v>15</v>
      </c>
      <c r="H81" s="18" t="n">
        <v>15</v>
      </c>
      <c r="I81" s="35" t="n">
        <v>2595.44</v>
      </c>
    </row>
    <row r="82" customFormat="false" ht="15.75" hidden="false" customHeight="false" outlineLevel="0" collapsed="false">
      <c r="B82" s="34" t="s">
        <v>146</v>
      </c>
      <c r="C82" s="14" t="str">
        <f aca="false">IF(B82="","",IFERROR(INDEX('CLM &amp; IM Mapping'!$B$2:$B$270,MATCH(TRIM(B82),'CLM &amp; IM Mapping'!$A$2:$A$270,0)),"Not Mapped"))</f>
        <v>Basil Scariya</v>
      </c>
      <c r="D82" s="14" t="str">
        <f aca="false">IF(B82="","",IFERROR(INDEX('CLM &amp; IM Mapping'!$C$2:$C$270,MATCH(TRIM(B82),'CLM &amp; IM Mapping'!$A$2:$A$270,0)),"Not Mapped"))</f>
        <v>Prakash BS</v>
      </c>
      <c r="E82" s="18"/>
      <c r="F82" s="18"/>
      <c r="G82" s="18" t="n">
        <v>17</v>
      </c>
      <c r="H82" s="18" t="n">
        <v>17</v>
      </c>
      <c r="I82" s="35" t="n">
        <v>2532.25</v>
      </c>
    </row>
    <row r="83" customFormat="false" ht="15.75" hidden="false" customHeight="false" outlineLevel="0" collapsed="false">
      <c r="B83" s="34" t="s">
        <v>213</v>
      </c>
      <c r="C83" s="14" t="str">
        <f aca="false">IF(B83="","",IFERROR(INDEX('CLM &amp; IM Mapping'!$B$2:$B$270,MATCH(TRIM(B83),'CLM &amp; IM Mapping'!$A$2:$A$270,0)),"Not Mapped"))</f>
        <v>Arun Raj</v>
      </c>
      <c r="D83" s="14" t="str">
        <f aca="false">IF(B83="","",IFERROR(INDEX('CLM &amp; IM Mapping'!$C$2:$C$270,MATCH(TRIM(B83),'CLM &amp; IM Mapping'!$A$2:$A$270,0)),"Not Mapped"))</f>
        <v>Simon Manoharan</v>
      </c>
      <c r="E83" s="18"/>
      <c r="F83" s="18"/>
      <c r="G83" s="18" t="n">
        <v>10</v>
      </c>
      <c r="H83" s="18" t="n">
        <v>10</v>
      </c>
      <c r="I83" s="35" t="n">
        <v>2526.23</v>
      </c>
    </row>
    <row r="84" customFormat="false" ht="15.75" hidden="false" customHeight="false" outlineLevel="0" collapsed="false">
      <c r="B84" s="34" t="s">
        <v>267</v>
      </c>
      <c r="C84" s="14" t="str">
        <f aca="false">IF(B84="","",IFERROR(INDEX('CLM &amp; IM Mapping'!$B$2:$B$270,MATCH(TRIM(B84),'CLM &amp; IM Mapping'!$A$2:$A$270,0)),"Not Mapped"))</f>
        <v>Suhas N</v>
      </c>
      <c r="D84" s="14" t="str">
        <f aca="false">IF(B84="","",IFERROR(INDEX('CLM &amp; IM Mapping'!$C$2:$C$270,MATCH(TRIM(B84),'CLM &amp; IM Mapping'!$A$2:$A$270,0)),"Not Mapped"))</f>
        <v>Aravind S</v>
      </c>
      <c r="E84" s="18" t="n">
        <v>4</v>
      </c>
      <c r="F84" s="18"/>
      <c r="G84" s="18" t="n">
        <v>43</v>
      </c>
      <c r="H84" s="18" t="n">
        <v>47</v>
      </c>
      <c r="I84" s="35" t="n">
        <v>2432.06</v>
      </c>
    </row>
    <row r="85" customFormat="false" ht="15.75" hidden="false" customHeight="false" outlineLevel="0" collapsed="false">
      <c r="B85" s="34" t="s">
        <v>241</v>
      </c>
      <c r="C85" s="14" t="str">
        <f aca="false">IF(B85="","",IFERROR(INDEX('CLM &amp; IM Mapping'!$B$2:$B$270,MATCH(TRIM(B85),'CLM &amp; IM Mapping'!$A$2:$A$270,0)),"Not Mapped"))</f>
        <v>Arun Raj</v>
      </c>
      <c r="D85" s="14" t="str">
        <f aca="false">IF(B85="","",IFERROR(INDEX('CLM &amp; IM Mapping'!$C$2:$C$270,MATCH(TRIM(B85),'CLM &amp; IM Mapping'!$A$2:$A$270,0)),"Not Mapped"))</f>
        <v>Simon Manoharan</v>
      </c>
      <c r="E85" s="18"/>
      <c r="F85" s="18"/>
      <c r="G85" s="18" t="n">
        <v>7</v>
      </c>
      <c r="H85" s="18" t="n">
        <v>7</v>
      </c>
      <c r="I85" s="35" t="n">
        <v>2418.21</v>
      </c>
    </row>
    <row r="86" customFormat="false" ht="15.75" hidden="false" customHeight="false" outlineLevel="0" collapsed="false">
      <c r="B86" s="34" t="s">
        <v>285</v>
      </c>
      <c r="C86" s="14" t="str">
        <f aca="false">IF(B86="","",IFERROR(INDEX('CLM &amp; IM Mapping'!$B$2:$B$270,MATCH(TRIM(B86),'CLM &amp; IM Mapping'!$A$2:$A$270,0)),"Not Mapped"))</f>
        <v>Adhavan Subramani</v>
      </c>
      <c r="D86" s="14" t="str">
        <f aca="false">IF(B86="","",IFERROR(INDEX('CLM &amp; IM Mapping'!$C$2:$C$270,MATCH(TRIM(B86),'CLM &amp; IM Mapping'!$A$2:$A$270,0)),"Not Mapped"))</f>
        <v>Mohammed Akbar</v>
      </c>
      <c r="E86" s="18" t="n">
        <v>6</v>
      </c>
      <c r="F86" s="18" t="n">
        <v>11</v>
      </c>
      <c r="G86" s="18"/>
      <c r="H86" s="18" t="n">
        <v>17</v>
      </c>
      <c r="I86" s="35" t="n">
        <v>2310.71</v>
      </c>
    </row>
    <row r="87" customFormat="false" ht="15.75" hidden="false" customHeight="false" outlineLevel="0" collapsed="false">
      <c r="B87" s="34" t="s">
        <v>178</v>
      </c>
      <c r="C87" s="14" t="str">
        <f aca="false">IF(B87="","",IFERROR(INDEX('CLM &amp; IM Mapping'!$B$2:$B$270,MATCH(TRIM(B87),'CLM &amp; IM Mapping'!$A$2:$A$270,0)),"Not Mapped"))</f>
        <v>Balaji G</v>
      </c>
      <c r="D87" s="14" t="str">
        <f aca="false">IF(B87="","",IFERROR(INDEX('CLM &amp; IM Mapping'!$C$2:$C$270,MATCH(TRIM(B87),'CLM &amp; IM Mapping'!$A$2:$A$270,0)),"Not Mapped"))</f>
        <v>Mohammed Akbar</v>
      </c>
      <c r="E87" s="18"/>
      <c r="F87" s="18"/>
      <c r="G87" s="18" t="n">
        <v>7</v>
      </c>
      <c r="H87" s="18" t="n">
        <v>7</v>
      </c>
      <c r="I87" s="35" t="n">
        <v>2210.11</v>
      </c>
    </row>
    <row r="88" customFormat="false" ht="15.75" hidden="false" customHeight="false" outlineLevel="0" collapsed="false">
      <c r="B88" s="34" t="s">
        <v>223</v>
      </c>
      <c r="C88" s="14" t="str">
        <f aca="false">IF(B88="","",IFERROR(INDEX('CLM &amp; IM Mapping'!$B$2:$B$270,MATCH(TRIM(B88),'CLM &amp; IM Mapping'!$A$2:$A$270,0)),"Not Mapped"))</f>
        <v>Suhas N</v>
      </c>
      <c r="D88" s="14" t="str">
        <f aca="false">IF(B88="","",IFERROR(INDEX('CLM &amp; IM Mapping'!$C$2:$C$270,MATCH(TRIM(B88),'CLM &amp; IM Mapping'!$A$2:$A$270,0)),"Not Mapped"))</f>
        <v>Aravind S</v>
      </c>
      <c r="E88" s="18"/>
      <c r="F88" s="18" t="n">
        <v>64</v>
      </c>
      <c r="G88" s="18"/>
      <c r="H88" s="18" t="n">
        <v>64</v>
      </c>
      <c r="I88" s="35" t="n">
        <v>2172.76</v>
      </c>
    </row>
    <row r="89" customFormat="false" ht="15.75" hidden="false" customHeight="false" outlineLevel="0" collapsed="false">
      <c r="B89" s="34" t="s">
        <v>90</v>
      </c>
      <c r="C89" s="14" t="str">
        <f aca="false">IF(B89="","",IFERROR(INDEX('CLM &amp; IM Mapping'!$B$2:$B$270,MATCH(TRIM(B89),'CLM &amp; IM Mapping'!$A$2:$A$270,0)),"Not Mapped"))</f>
        <v>Ashwath S</v>
      </c>
      <c r="D89" s="14" t="str">
        <f aca="false">IF(B89="","",IFERROR(INDEX('CLM &amp; IM Mapping'!$C$2:$C$270,MATCH(TRIM(B89),'CLM &amp; IM Mapping'!$A$2:$A$270,0)),"Not Mapped"))</f>
        <v>Kantha Kumar</v>
      </c>
      <c r="E89" s="18"/>
      <c r="F89" s="18"/>
      <c r="G89" s="18" t="n">
        <v>29</v>
      </c>
      <c r="H89" s="18" t="n">
        <v>29</v>
      </c>
      <c r="I89" s="35" t="n">
        <v>2155.87</v>
      </c>
    </row>
    <row r="90" customFormat="false" ht="15.75" hidden="false" customHeight="false" outlineLevel="0" collapsed="false">
      <c r="B90" s="34" t="s">
        <v>195</v>
      </c>
      <c r="C90" s="14" t="str">
        <f aca="false">IF(B90="","",IFERROR(INDEX('CLM &amp; IM Mapping'!$B$2:$B$270,MATCH(TRIM(B90),'CLM &amp; IM Mapping'!$A$2:$A$270,0)),"Not Mapped"))</f>
        <v>Ravishankar gowda</v>
      </c>
      <c r="D90" s="14" t="str">
        <f aca="false">IF(B90="","",IFERROR(INDEX('CLM &amp; IM Mapping'!$C$2:$C$270,MATCH(TRIM(B90),'CLM &amp; IM Mapping'!$A$2:$A$270,0)),"Not Mapped"))</f>
        <v>Kishor K</v>
      </c>
      <c r="E90" s="18"/>
      <c r="F90" s="18"/>
      <c r="G90" s="18" t="n">
        <v>6</v>
      </c>
      <c r="H90" s="18" t="n">
        <v>6</v>
      </c>
      <c r="I90" s="35" t="n">
        <v>2007.73</v>
      </c>
    </row>
    <row r="91" customFormat="false" ht="15.75" hidden="false" customHeight="false" outlineLevel="0" collapsed="false">
      <c r="B91" s="34" t="s">
        <v>137</v>
      </c>
      <c r="C91" s="14" t="str">
        <f aca="false">IF(B91="","",IFERROR(INDEX('CLM &amp; IM Mapping'!$B$2:$B$270,MATCH(TRIM(B91),'CLM &amp; IM Mapping'!$A$2:$A$270,0)),"Not Mapped"))</f>
        <v>Raghavendra Vernekar</v>
      </c>
      <c r="D91" s="14" t="str">
        <f aca="false">IF(B91="","",IFERROR(INDEX('CLM &amp; IM Mapping'!$C$2:$C$270,MATCH(TRIM(B91),'CLM &amp; IM Mapping'!$A$2:$A$270,0)),"Not Mapped"))</f>
        <v>Prakash BS</v>
      </c>
      <c r="E91" s="18" t="n">
        <v>5</v>
      </c>
      <c r="F91" s="18"/>
      <c r="G91" s="18" t="n">
        <v>6</v>
      </c>
      <c r="H91" s="18" t="n">
        <v>11</v>
      </c>
      <c r="I91" s="35" t="n">
        <v>1904.4</v>
      </c>
    </row>
    <row r="92" customFormat="false" ht="15.75" hidden="false" customHeight="false" outlineLevel="0" collapsed="false">
      <c r="B92" s="34" t="s">
        <v>61</v>
      </c>
      <c r="C92" s="14" t="str">
        <f aca="false">IF(B92="","",IFERROR(INDEX('CLM &amp; IM Mapping'!$B$2:$B$270,MATCH(TRIM(B92),'CLM &amp; IM Mapping'!$A$2:$A$270,0)),"Not Mapped"))</f>
        <v>Basil Scariya</v>
      </c>
      <c r="D92" s="14" t="str">
        <f aca="false">IF(B92="","",IFERROR(INDEX('CLM &amp; IM Mapping'!$C$2:$C$270,MATCH(TRIM(B92),'CLM &amp; IM Mapping'!$A$2:$A$270,0)),"Not Mapped"))</f>
        <v>Prakash BS</v>
      </c>
      <c r="E92" s="18"/>
      <c r="F92" s="18"/>
      <c r="G92" s="18" t="n">
        <v>69</v>
      </c>
      <c r="H92" s="18" t="n">
        <v>69</v>
      </c>
      <c r="I92" s="35" t="n">
        <v>1881.47</v>
      </c>
    </row>
    <row r="93" customFormat="false" ht="15.75" hidden="false" customHeight="false" outlineLevel="0" collapsed="false">
      <c r="B93" s="34" t="s">
        <v>184</v>
      </c>
      <c r="C93" s="14" t="str">
        <f aca="false">IF(B93="","",IFERROR(INDEX('CLM &amp; IM Mapping'!$B$2:$B$270,MATCH(TRIM(B93),'CLM &amp; IM Mapping'!$A$2:$A$270,0)),"Not Mapped"))</f>
        <v>Arun Raj</v>
      </c>
      <c r="D93" s="14" t="str">
        <f aca="false">IF(B93="","",IFERROR(INDEX('CLM &amp; IM Mapping'!$C$2:$C$270,MATCH(TRIM(B93),'CLM &amp; IM Mapping'!$A$2:$A$270,0)),"Not Mapped"))</f>
        <v>Simon Manoharan</v>
      </c>
      <c r="E93" s="18"/>
      <c r="F93" s="18"/>
      <c r="G93" s="18" t="n">
        <v>18</v>
      </c>
      <c r="H93" s="18" t="n">
        <v>18</v>
      </c>
      <c r="I93" s="35" t="n">
        <v>1764.67</v>
      </c>
    </row>
    <row r="94" customFormat="false" ht="15.75" hidden="false" customHeight="false" outlineLevel="0" collapsed="false">
      <c r="B94" s="34" t="s">
        <v>265</v>
      </c>
      <c r="C94" s="14" t="str">
        <f aca="false">IF(B94="","",IFERROR(INDEX('CLM &amp; IM Mapping'!$B$2:$B$270,MATCH(TRIM(B94),'CLM &amp; IM Mapping'!$A$2:$A$270,0)),"Not Mapped"))</f>
        <v>Arun Raj</v>
      </c>
      <c r="D94" s="14" t="str">
        <f aca="false">IF(B94="","",IFERROR(INDEX('CLM &amp; IM Mapping'!$C$2:$C$270,MATCH(TRIM(B94),'CLM &amp; IM Mapping'!$A$2:$A$270,0)),"Not Mapped"))</f>
        <v>Simon Manoharan</v>
      </c>
      <c r="E94" s="18"/>
      <c r="F94" s="18" t="n">
        <v>1</v>
      </c>
      <c r="G94" s="18" t="n">
        <v>3</v>
      </c>
      <c r="H94" s="18" t="n">
        <v>4</v>
      </c>
      <c r="I94" s="35" t="n">
        <v>1723.71</v>
      </c>
    </row>
    <row r="95" customFormat="false" ht="15.75" hidden="false" customHeight="false" outlineLevel="0" collapsed="false">
      <c r="B95" s="34" t="s">
        <v>218</v>
      </c>
      <c r="C95" s="14" t="str">
        <f aca="false">IF(B95="","",IFERROR(INDEX('CLM &amp; IM Mapping'!$B$2:$B$270,MATCH(TRIM(B95),'CLM &amp; IM Mapping'!$A$2:$A$270,0)),"Not Mapped"))</f>
        <v>Akshay P</v>
      </c>
      <c r="D95" s="14" t="str">
        <f aca="false">IF(B95="","",IFERROR(INDEX('CLM &amp; IM Mapping'!$C$2:$C$270,MATCH(TRIM(B95),'CLM &amp; IM Mapping'!$A$2:$A$270,0)),"Not Mapped"))</f>
        <v>Srittam Dhal</v>
      </c>
      <c r="E95" s="18" t="n">
        <v>42</v>
      </c>
      <c r="F95" s="18"/>
      <c r="G95" s="18"/>
      <c r="H95" s="18" t="n">
        <v>42</v>
      </c>
      <c r="I95" s="35" t="n">
        <v>1628.72</v>
      </c>
    </row>
    <row r="96" customFormat="false" ht="15.75" hidden="false" customHeight="false" outlineLevel="0" collapsed="false">
      <c r="B96" s="34" t="s">
        <v>94</v>
      </c>
      <c r="C96" s="14" t="str">
        <f aca="false">IF(B96="","",IFERROR(INDEX('CLM &amp; IM Mapping'!$B$2:$B$270,MATCH(TRIM(B96),'CLM &amp; IM Mapping'!$A$2:$A$270,0)),"Not Mapped"))</f>
        <v>Raghavendra Vernekar</v>
      </c>
      <c r="D96" s="14" t="str">
        <f aca="false">IF(B96="","",IFERROR(INDEX('CLM &amp; IM Mapping'!$C$2:$C$270,MATCH(TRIM(B96),'CLM &amp; IM Mapping'!$A$2:$A$270,0)),"Not Mapped"))</f>
        <v>Prakash BS</v>
      </c>
      <c r="E96" s="18"/>
      <c r="F96" s="18"/>
      <c r="G96" s="18" t="n">
        <v>2</v>
      </c>
      <c r="H96" s="18" t="n">
        <v>2</v>
      </c>
      <c r="I96" s="35" t="n">
        <v>1602.13</v>
      </c>
    </row>
    <row r="97" customFormat="false" ht="15.75" hidden="false" customHeight="false" outlineLevel="0" collapsed="false">
      <c r="B97" s="34" t="s">
        <v>141</v>
      </c>
      <c r="C97" s="14" t="str">
        <f aca="false">IF(B97="","",IFERROR(INDEX('CLM &amp; IM Mapping'!$B$2:$B$270,MATCH(TRIM(B97),'CLM &amp; IM Mapping'!$A$2:$A$270,0)),"Not Mapped"))</f>
        <v>Rizwan Ahmed</v>
      </c>
      <c r="D97" s="14" t="str">
        <f aca="false">IF(B97="","",IFERROR(INDEX('CLM &amp; IM Mapping'!$C$2:$C$270,MATCH(TRIM(B97),'CLM &amp; IM Mapping'!$A$2:$A$270,0)),"Not Mapped"))</f>
        <v>Un Mapped</v>
      </c>
      <c r="E97" s="18"/>
      <c r="F97" s="18"/>
      <c r="G97" s="18" t="n">
        <v>5</v>
      </c>
      <c r="H97" s="18" t="n">
        <v>5</v>
      </c>
      <c r="I97" s="35" t="n">
        <v>1545.36</v>
      </c>
    </row>
    <row r="98" customFormat="false" ht="15.75" hidden="false" customHeight="false" outlineLevel="0" collapsed="false">
      <c r="B98" s="34" t="s">
        <v>236</v>
      </c>
      <c r="C98" s="14" t="str">
        <f aca="false">IF(B98="","",IFERROR(INDEX('CLM &amp; IM Mapping'!$B$2:$B$270,MATCH(TRIM(B98),'CLM &amp; IM Mapping'!$A$2:$A$270,0)),"Not Mapped"))</f>
        <v>Balaji G</v>
      </c>
      <c r="D98" s="14" t="str">
        <f aca="false">IF(B98="","",IFERROR(INDEX('CLM &amp; IM Mapping'!$C$2:$C$270,MATCH(TRIM(B98),'CLM &amp; IM Mapping'!$A$2:$A$270,0)),"Not Mapped"))</f>
        <v>Mohammed Akbar</v>
      </c>
      <c r="E98" s="18"/>
      <c r="F98" s="18"/>
      <c r="G98" s="18" t="n">
        <v>6</v>
      </c>
      <c r="H98" s="18" t="n">
        <v>6</v>
      </c>
      <c r="I98" s="35" t="n">
        <v>1426.91</v>
      </c>
    </row>
    <row r="99" customFormat="false" ht="15.75" hidden="false" customHeight="false" outlineLevel="0" collapsed="false">
      <c r="B99" s="34" t="s">
        <v>26</v>
      </c>
      <c r="C99" s="14" t="str">
        <f aca="false">IF(B99="","",IFERROR(INDEX('CLM &amp; IM Mapping'!$B$2:$B$270,MATCH(TRIM(B99),'CLM &amp; IM Mapping'!$A$2:$A$270,0)),"Not Mapped"))</f>
        <v>Suhas N</v>
      </c>
      <c r="D99" s="14" t="str">
        <f aca="false">IF(B99="","",IFERROR(INDEX('CLM &amp; IM Mapping'!$C$2:$C$270,MATCH(TRIM(B99),'CLM &amp; IM Mapping'!$A$2:$A$270,0)),"Not Mapped"))</f>
        <v>Aravind S</v>
      </c>
      <c r="E99" s="18"/>
      <c r="F99" s="18"/>
      <c r="G99" s="18" t="n">
        <v>10</v>
      </c>
      <c r="H99" s="18" t="n">
        <v>10</v>
      </c>
      <c r="I99" s="35" t="n">
        <v>1406.56</v>
      </c>
    </row>
    <row r="100" customFormat="false" ht="15.75" hidden="false" customHeight="false" outlineLevel="0" collapsed="false">
      <c r="B100" s="34" t="s">
        <v>81</v>
      </c>
      <c r="C100" s="14" t="str">
        <f aca="false">IF(B100="","",IFERROR(INDEX('CLM &amp; IM Mapping'!$B$2:$B$270,MATCH(TRIM(B100),'CLM &amp; IM Mapping'!$A$2:$A$270,0)),"Not Mapped"))</f>
        <v>Sundaresh S</v>
      </c>
      <c r="D100" s="14" t="str">
        <f aca="false">IF(B100="","",IFERROR(INDEX('CLM &amp; IM Mapping'!$C$2:$C$270,MATCH(TRIM(B100),'CLM &amp; IM Mapping'!$A$2:$A$270,0)),"Not Mapped"))</f>
        <v>Un Mapped</v>
      </c>
      <c r="E100" s="18" t="n">
        <v>20</v>
      </c>
      <c r="F100" s="18"/>
      <c r="G100" s="18"/>
      <c r="H100" s="18" t="n">
        <v>20</v>
      </c>
      <c r="I100" s="35" t="n">
        <v>1247.18</v>
      </c>
    </row>
    <row r="101" customFormat="false" ht="15.75" hidden="false" customHeight="false" outlineLevel="0" collapsed="false">
      <c r="B101" s="34" t="s">
        <v>158</v>
      </c>
      <c r="C101" s="14" t="str">
        <f aca="false">IF(B101="","",IFERROR(INDEX('CLM &amp; IM Mapping'!$B$2:$B$270,MATCH(TRIM(B101),'CLM &amp; IM Mapping'!$A$2:$A$270,0)),"Not Mapped"))</f>
        <v>Santhosha M</v>
      </c>
      <c r="D101" s="14" t="str">
        <f aca="false">IF(B101="","",IFERROR(INDEX('CLM &amp; IM Mapping'!$C$2:$C$270,MATCH(TRIM(B101),'CLM &amp; IM Mapping'!$A$2:$A$270,0)),"Not Mapped"))</f>
        <v>Aravind S</v>
      </c>
      <c r="E101" s="18"/>
      <c r="F101" s="18"/>
      <c r="G101" s="18" t="n">
        <v>7</v>
      </c>
      <c r="H101" s="18" t="n">
        <v>7</v>
      </c>
      <c r="I101" s="35" t="n">
        <v>1153.61</v>
      </c>
    </row>
    <row r="102" customFormat="false" ht="15.75" hidden="false" customHeight="false" outlineLevel="0" collapsed="false">
      <c r="B102" s="34" t="s">
        <v>165</v>
      </c>
      <c r="C102" s="14" t="str">
        <f aca="false">IF(B102="","",IFERROR(INDEX('CLM &amp; IM Mapping'!$B$2:$B$270,MATCH(TRIM(B102),'CLM &amp; IM Mapping'!$A$2:$A$270,0)),"Not Mapped"))</f>
        <v>Akshay P</v>
      </c>
      <c r="D102" s="14" t="str">
        <f aca="false">IF(B102="","",IFERROR(INDEX('CLM &amp; IM Mapping'!$C$2:$C$270,MATCH(TRIM(B102),'CLM &amp; IM Mapping'!$A$2:$A$270,0)),"Not Mapped"))</f>
        <v>Srittam Dhal</v>
      </c>
      <c r="E102" s="18" t="n">
        <v>53</v>
      </c>
      <c r="F102" s="18"/>
      <c r="G102" s="18"/>
      <c r="H102" s="18" t="n">
        <v>53</v>
      </c>
      <c r="I102" s="35" t="n">
        <v>1060.28</v>
      </c>
    </row>
    <row r="103" customFormat="false" ht="15.75" hidden="false" customHeight="false" outlineLevel="0" collapsed="false">
      <c r="B103" s="34" t="s">
        <v>151</v>
      </c>
      <c r="C103" s="14" t="str">
        <f aca="false">IF(B103="","",IFERROR(INDEX('CLM &amp; IM Mapping'!$B$2:$B$270,MATCH(TRIM(B103),'CLM &amp; IM Mapping'!$A$2:$A$270,0)),"Not Mapped"))</f>
        <v>Manjunatha V</v>
      </c>
      <c r="D103" s="14" t="str">
        <f aca="false">IF(B103="","",IFERROR(INDEX('CLM &amp; IM Mapping'!$C$2:$C$270,MATCH(TRIM(B103),'CLM &amp; IM Mapping'!$A$2:$A$270,0)),"Not Mapped"))</f>
        <v>Un Mapped</v>
      </c>
      <c r="E103" s="18" t="n">
        <v>6</v>
      </c>
      <c r="F103" s="18"/>
      <c r="G103" s="18" t="n">
        <v>1</v>
      </c>
      <c r="H103" s="18" t="n">
        <v>7</v>
      </c>
      <c r="I103" s="35" t="n">
        <v>1025.28</v>
      </c>
    </row>
    <row r="104" customFormat="false" ht="15.75" hidden="false" customHeight="false" outlineLevel="0" collapsed="false">
      <c r="B104" s="34" t="s">
        <v>246</v>
      </c>
      <c r="C104" s="14" t="str">
        <f aca="false">IF(B104="","",IFERROR(INDEX('CLM &amp; IM Mapping'!$B$2:$B$270,MATCH(TRIM(B104),'CLM &amp; IM Mapping'!$A$2:$A$270,0)),"Not Mapped"))</f>
        <v>Adhavan Subramani</v>
      </c>
      <c r="D104" s="14" t="str">
        <f aca="false">IF(B104="","",IFERROR(INDEX('CLM &amp; IM Mapping'!$C$2:$C$270,MATCH(TRIM(B104),'CLM &amp; IM Mapping'!$A$2:$A$270,0)),"Not Mapped"))</f>
        <v>Mohammed Akbar</v>
      </c>
      <c r="E104" s="18"/>
      <c r="F104" s="18"/>
      <c r="G104" s="18" t="n">
        <v>15</v>
      </c>
      <c r="H104" s="18" t="n">
        <v>15</v>
      </c>
      <c r="I104" s="35" t="n">
        <v>1012.41</v>
      </c>
    </row>
    <row r="105" customFormat="false" ht="15.75" hidden="false" customHeight="false" outlineLevel="0" collapsed="false">
      <c r="B105" s="34" t="s">
        <v>160</v>
      </c>
      <c r="C105" s="14" t="str">
        <f aca="false">IF(B105="","",IFERROR(INDEX('CLM &amp; IM Mapping'!$B$2:$B$270,MATCH(TRIM(B105),'CLM &amp; IM Mapping'!$A$2:$A$270,0)),"Not Mapped"))</f>
        <v>Richard Harris</v>
      </c>
      <c r="D105" s="14" t="str">
        <f aca="false">IF(B105="","",IFERROR(INDEX('CLM &amp; IM Mapping'!$C$2:$C$270,MATCH(TRIM(B105),'CLM &amp; IM Mapping'!$A$2:$A$270,0)),"Not Mapped"))</f>
        <v>Kantha Kumar</v>
      </c>
      <c r="E105" s="18"/>
      <c r="F105" s="18"/>
      <c r="G105" s="18" t="n">
        <v>2</v>
      </c>
      <c r="H105" s="18" t="n">
        <v>2</v>
      </c>
      <c r="I105" s="35" t="n">
        <v>829.34</v>
      </c>
    </row>
    <row r="106" customFormat="false" ht="15.75" hidden="false" customHeight="false" outlineLevel="0" collapsed="false">
      <c r="B106" s="34" t="s">
        <v>20</v>
      </c>
      <c r="C106" s="14" t="str">
        <f aca="false">IF(B106="","",IFERROR(INDEX('CLM &amp; IM Mapping'!$B$2:$B$270,MATCH(TRIM(B106),'CLM &amp; IM Mapping'!$A$2:$A$270,0)),"Not Mapped"))</f>
        <v>Vijay M</v>
      </c>
      <c r="D106" s="14" t="str">
        <f aca="false">IF(B106="","",IFERROR(INDEX('CLM &amp; IM Mapping'!$C$2:$C$270,MATCH(TRIM(B106),'CLM &amp; IM Mapping'!$A$2:$A$270,0)),"Not Mapped"))</f>
        <v>Kantha Kumar</v>
      </c>
      <c r="E106" s="18"/>
      <c r="F106" s="18"/>
      <c r="G106" s="18" t="n">
        <v>11</v>
      </c>
      <c r="H106" s="18" t="n">
        <v>11</v>
      </c>
      <c r="I106" s="35" t="n">
        <v>767.93</v>
      </c>
    </row>
    <row r="107" customFormat="false" ht="15.75" hidden="false" customHeight="false" outlineLevel="0" collapsed="false">
      <c r="B107" s="34" t="s">
        <v>174</v>
      </c>
      <c r="C107" s="14" t="str">
        <f aca="false">IF(B107="","",IFERROR(INDEX('CLM &amp; IM Mapping'!$B$2:$B$270,MATCH(TRIM(B107),'CLM &amp; IM Mapping'!$A$2:$A$270,0)),"Not Mapped"))</f>
        <v>Richard Harris</v>
      </c>
      <c r="D107" s="14" t="str">
        <f aca="false">IF(B107="","",IFERROR(INDEX('CLM &amp; IM Mapping'!$C$2:$C$270,MATCH(TRIM(B107),'CLM &amp; IM Mapping'!$A$2:$A$270,0)),"Not Mapped"))</f>
        <v>Kantha Kumar</v>
      </c>
      <c r="E107" s="18"/>
      <c r="F107" s="18"/>
      <c r="G107" s="18" t="n">
        <v>7</v>
      </c>
      <c r="H107" s="18" t="n">
        <v>7</v>
      </c>
      <c r="I107" s="35" t="n">
        <v>756.44</v>
      </c>
    </row>
    <row r="108" customFormat="false" ht="15.75" hidden="false" customHeight="false" outlineLevel="0" collapsed="false">
      <c r="B108" s="34" t="s">
        <v>198</v>
      </c>
      <c r="C108" s="14" t="str">
        <f aca="false">IF(B108="","",IFERROR(INDEX('CLM &amp; IM Mapping'!$B$2:$B$270,MATCH(TRIM(B108),'CLM &amp; IM Mapping'!$A$2:$A$270,0)),"Not Mapped"))</f>
        <v>Girish N</v>
      </c>
      <c r="D108" s="14" t="str">
        <f aca="false">IF(B108="","",IFERROR(INDEX('CLM &amp; IM Mapping'!$C$2:$C$270,MATCH(TRIM(B108),'CLM &amp; IM Mapping'!$A$2:$A$270,0)),"Not Mapped"))</f>
        <v>Un Mapped</v>
      </c>
      <c r="E108" s="18"/>
      <c r="F108" s="18"/>
      <c r="G108" s="18" t="n">
        <v>9</v>
      </c>
      <c r="H108" s="18" t="n">
        <v>9</v>
      </c>
      <c r="I108" s="35" t="n">
        <v>714.71</v>
      </c>
    </row>
    <row r="109" customFormat="false" ht="15.75" hidden="false" customHeight="false" outlineLevel="0" collapsed="false">
      <c r="B109" s="34" t="s">
        <v>229</v>
      </c>
      <c r="C109" s="14" t="str">
        <f aca="false">IF(B109="","",IFERROR(INDEX('CLM &amp; IM Mapping'!$B$2:$B$270,MATCH(TRIM(B109),'CLM &amp; IM Mapping'!$A$2:$A$270,0)),"Not Mapped"))</f>
        <v>Bangareppa CS</v>
      </c>
      <c r="D109" s="14" t="str">
        <f aca="false">IF(B109="","",IFERROR(INDEX('CLM &amp; IM Mapping'!$C$2:$C$270,MATCH(TRIM(B109),'CLM &amp; IM Mapping'!$A$2:$A$270,0)),"Not Mapped"))</f>
        <v>Kishor K</v>
      </c>
      <c r="E109" s="18" t="n">
        <v>7</v>
      </c>
      <c r="F109" s="18"/>
      <c r="G109" s="18"/>
      <c r="H109" s="18" t="n">
        <v>7</v>
      </c>
      <c r="I109" s="35" t="n">
        <v>701.09</v>
      </c>
    </row>
    <row r="110" customFormat="false" ht="15.75" hidden="false" customHeight="false" outlineLevel="0" collapsed="false">
      <c r="B110" s="34" t="s">
        <v>116</v>
      </c>
      <c r="C110" s="14" t="str">
        <f aca="false">IF(B110="","",IFERROR(INDEX('CLM &amp; IM Mapping'!$B$2:$B$270,MATCH(TRIM(B110),'CLM &amp; IM Mapping'!$A$2:$A$270,0)),"Not Mapped"))</f>
        <v>Raghavendra Vernekar</v>
      </c>
      <c r="D110" s="14" t="str">
        <f aca="false">IF(B110="","",IFERROR(INDEX('CLM &amp; IM Mapping'!$C$2:$C$270,MATCH(TRIM(B110),'CLM &amp; IM Mapping'!$A$2:$A$270,0)),"Not Mapped"))</f>
        <v>Prakash BS</v>
      </c>
      <c r="E110" s="18"/>
      <c r="F110" s="18"/>
      <c r="G110" s="18" t="n">
        <v>2</v>
      </c>
      <c r="H110" s="18" t="n">
        <v>2</v>
      </c>
      <c r="I110" s="35" t="n">
        <v>687.72</v>
      </c>
    </row>
    <row r="111" customFormat="false" ht="15.75" hidden="false" customHeight="false" outlineLevel="0" collapsed="false">
      <c r="B111" s="34" t="s">
        <v>17</v>
      </c>
      <c r="C111" s="14" t="str">
        <f aca="false">IF(B111="","",IFERROR(INDEX('CLM &amp; IM Mapping'!$B$2:$B$270,MATCH(TRIM(B111),'CLM &amp; IM Mapping'!$A$2:$A$270,0)),"Not Mapped"))</f>
        <v>Saddam Hussain</v>
      </c>
      <c r="D111" s="14" t="str">
        <f aca="false">IF(B111="","",IFERROR(INDEX('CLM &amp; IM Mapping'!$C$2:$C$270,MATCH(TRIM(B111),'CLM &amp; IM Mapping'!$A$2:$A$270,0)),"Not Mapped"))</f>
        <v>Un Mapped</v>
      </c>
      <c r="E111" s="18"/>
      <c r="F111" s="18"/>
      <c r="G111" s="18" t="n">
        <v>6</v>
      </c>
      <c r="H111" s="18" t="n">
        <v>6</v>
      </c>
      <c r="I111" s="35" t="n">
        <v>682.7</v>
      </c>
    </row>
    <row r="112" customFormat="false" ht="15.75" hidden="false" customHeight="false" outlineLevel="0" collapsed="false">
      <c r="B112" s="34" t="s">
        <v>261</v>
      </c>
      <c r="C112" s="14" t="str">
        <f aca="false">IF(B112="","",IFERROR(INDEX('CLM &amp; IM Mapping'!$B$2:$B$270,MATCH(TRIM(B112),'CLM &amp; IM Mapping'!$A$2:$A$270,0)),"Not Mapped"))</f>
        <v>Balaji G</v>
      </c>
      <c r="D112" s="14" t="str">
        <f aca="false">IF(B112="","",IFERROR(INDEX('CLM &amp; IM Mapping'!$C$2:$C$270,MATCH(TRIM(B112),'CLM &amp; IM Mapping'!$A$2:$A$270,0)),"Not Mapped"))</f>
        <v>Mohammed Akbar</v>
      </c>
      <c r="E112" s="18"/>
      <c r="F112" s="18"/>
      <c r="G112" s="18" t="n">
        <v>25</v>
      </c>
      <c r="H112" s="18" t="n">
        <v>25</v>
      </c>
      <c r="I112" s="35" t="n">
        <v>667.95</v>
      </c>
    </row>
    <row r="113" customFormat="false" ht="15.75" hidden="false" customHeight="false" outlineLevel="0" collapsed="false">
      <c r="B113" s="34" t="s">
        <v>240</v>
      </c>
      <c r="C113" s="14" t="str">
        <f aca="false">IF(B113="","",IFERROR(INDEX('CLM &amp; IM Mapping'!$B$2:$B$270,MATCH(TRIM(B113),'CLM &amp; IM Mapping'!$A$2:$A$270,0)),"Not Mapped"))</f>
        <v>Richard Harris</v>
      </c>
      <c r="D113" s="14" t="str">
        <f aca="false">IF(B113="","",IFERROR(INDEX('CLM &amp; IM Mapping'!$C$2:$C$270,MATCH(TRIM(B113),'CLM &amp; IM Mapping'!$A$2:$A$270,0)),"Not Mapped"))</f>
        <v>Kantha Kumar</v>
      </c>
      <c r="E113" s="18"/>
      <c r="F113" s="18"/>
      <c r="G113" s="18" t="n">
        <v>4</v>
      </c>
      <c r="H113" s="18" t="n">
        <v>4</v>
      </c>
      <c r="I113" s="35" t="n">
        <v>546.64</v>
      </c>
    </row>
    <row r="114" customFormat="false" ht="15.75" hidden="false" customHeight="false" outlineLevel="0" collapsed="false">
      <c r="B114" s="34" t="s">
        <v>24</v>
      </c>
      <c r="C114" s="14" t="str">
        <f aca="false">IF(B114="","",IFERROR(INDEX('CLM &amp; IM Mapping'!$B$2:$B$270,MATCH(TRIM(B114),'CLM &amp; IM Mapping'!$A$2:$A$270,0)),"Not Mapped"))</f>
        <v>Balaji G</v>
      </c>
      <c r="D114" s="14" t="str">
        <f aca="false">IF(B114="","",IFERROR(INDEX('CLM &amp; IM Mapping'!$C$2:$C$270,MATCH(TRIM(B114),'CLM &amp; IM Mapping'!$A$2:$A$270,0)),"Not Mapped"))</f>
        <v>Mohammed Akbar</v>
      </c>
      <c r="E114" s="18" t="n">
        <v>5</v>
      </c>
      <c r="F114" s="18"/>
      <c r="G114" s="18"/>
      <c r="H114" s="18" t="n">
        <v>5</v>
      </c>
      <c r="I114" s="35" t="n">
        <v>510.57</v>
      </c>
    </row>
    <row r="115" customFormat="false" ht="15.75" hidden="false" customHeight="false" outlineLevel="0" collapsed="false">
      <c r="B115" s="34" t="s">
        <v>268</v>
      </c>
      <c r="C115" s="14" t="str">
        <f aca="false">IF(B115="","",IFERROR(INDEX('CLM &amp; IM Mapping'!$B$2:$B$270,MATCH(TRIM(B115),'CLM &amp; IM Mapping'!$A$2:$A$270,0)),"Not Mapped"))</f>
        <v>Arun Raj</v>
      </c>
      <c r="D115" s="14" t="str">
        <f aca="false">IF(B115="","",IFERROR(INDEX('CLM &amp; IM Mapping'!$C$2:$C$270,MATCH(TRIM(B115),'CLM &amp; IM Mapping'!$A$2:$A$270,0)),"Not Mapped"))</f>
        <v>Simon Manoharan</v>
      </c>
      <c r="E115" s="18"/>
      <c r="F115" s="18"/>
      <c r="G115" s="18" t="n">
        <v>8</v>
      </c>
      <c r="H115" s="18" t="n">
        <v>8</v>
      </c>
      <c r="I115" s="35" t="n">
        <v>478.95</v>
      </c>
    </row>
    <row r="116" customFormat="false" ht="15.75" hidden="false" customHeight="false" outlineLevel="0" collapsed="false">
      <c r="B116" s="34" t="s">
        <v>254</v>
      </c>
      <c r="C116" s="14" t="str">
        <f aca="false">IF(B116="","",IFERROR(INDEX('CLM &amp; IM Mapping'!$B$2:$B$270,MATCH(TRIM(B116),'CLM &amp; IM Mapping'!$A$2:$A$270,0)),"Not Mapped"))</f>
        <v>Suhas N</v>
      </c>
      <c r="D116" s="14" t="str">
        <f aca="false">IF(B116="","",IFERROR(INDEX('CLM &amp; IM Mapping'!$C$2:$C$270,MATCH(TRIM(B116),'CLM &amp; IM Mapping'!$A$2:$A$270,0)),"Not Mapped"))</f>
        <v>Aravind S</v>
      </c>
      <c r="E116" s="18"/>
      <c r="F116" s="18"/>
      <c r="G116" s="18" t="n">
        <v>4</v>
      </c>
      <c r="H116" s="18" t="n">
        <v>4</v>
      </c>
      <c r="I116" s="35" t="n">
        <v>476.1</v>
      </c>
    </row>
    <row r="117" customFormat="false" ht="15.75" hidden="false" customHeight="false" outlineLevel="0" collapsed="false">
      <c r="B117" s="34" t="s">
        <v>150</v>
      </c>
      <c r="C117" s="14" t="str">
        <f aca="false">IF(B117="","",IFERROR(INDEX('CLM &amp; IM Mapping'!$B$2:$B$270,MATCH(TRIM(B117),'CLM &amp; IM Mapping'!$A$2:$A$270,0)),"Not Mapped"))</f>
        <v>Manoj Kj</v>
      </c>
      <c r="D117" s="14" t="str">
        <f aca="false">IF(B117="","",IFERROR(INDEX('CLM &amp; IM Mapping'!$C$2:$C$270,MATCH(TRIM(B117),'CLM &amp; IM Mapping'!$A$2:$A$270,0)),"Not Mapped"))</f>
        <v>Srittam Dhal</v>
      </c>
      <c r="E117" s="18" t="n">
        <v>3</v>
      </c>
      <c r="F117" s="18"/>
      <c r="G117" s="18"/>
      <c r="H117" s="18" t="n">
        <v>3</v>
      </c>
      <c r="I117" s="35" t="n">
        <v>408.78</v>
      </c>
    </row>
    <row r="118" customFormat="false" ht="15.75" hidden="false" customHeight="false" outlineLevel="0" collapsed="false">
      <c r="B118" s="34" t="s">
        <v>112</v>
      </c>
      <c r="C118" s="14" t="str">
        <f aca="false">IF(B118="","",IFERROR(INDEX('CLM &amp; IM Mapping'!$B$2:$B$270,MATCH(TRIM(B118),'CLM &amp; IM Mapping'!$A$2:$A$270,0)),"Not Mapped"))</f>
        <v>Arun Raj</v>
      </c>
      <c r="D118" s="14" t="str">
        <f aca="false">IF(B118="","",IFERROR(INDEX('CLM &amp; IM Mapping'!$C$2:$C$270,MATCH(TRIM(B118),'CLM &amp; IM Mapping'!$A$2:$A$270,0)),"Not Mapped"))</f>
        <v>Simon Manoharan</v>
      </c>
      <c r="E118" s="18"/>
      <c r="F118" s="18"/>
      <c r="G118" s="18" t="n">
        <v>2</v>
      </c>
      <c r="H118" s="18" t="n">
        <v>2</v>
      </c>
      <c r="I118" s="35" t="n">
        <v>387.42</v>
      </c>
    </row>
    <row r="119" customFormat="false" ht="15.75" hidden="false" customHeight="false" outlineLevel="0" collapsed="false">
      <c r="B119" s="34" t="s">
        <v>72</v>
      </c>
      <c r="C119" s="14" t="str">
        <f aca="false">IF(B119="","",IFERROR(INDEX('CLM &amp; IM Mapping'!$B$2:$B$270,MATCH(TRIM(B119),'CLM &amp; IM Mapping'!$A$2:$A$270,0)),"Not Mapped"))</f>
        <v>Basil Scariya</v>
      </c>
      <c r="D119" s="14" t="str">
        <f aca="false">IF(B119="","",IFERROR(INDEX('CLM &amp; IM Mapping'!$C$2:$C$270,MATCH(TRIM(B119),'CLM &amp; IM Mapping'!$A$2:$A$270,0)),"Not Mapped"))</f>
        <v>Prakash BS</v>
      </c>
      <c r="E119" s="18" t="n">
        <v>4</v>
      </c>
      <c r="F119" s="18"/>
      <c r="G119" s="18"/>
      <c r="H119" s="18" t="n">
        <v>4</v>
      </c>
      <c r="I119" s="35" t="n">
        <v>385.77</v>
      </c>
    </row>
    <row r="120" customFormat="false" ht="15.75" hidden="false" customHeight="false" outlineLevel="0" collapsed="false">
      <c r="B120" s="34" t="s">
        <v>257</v>
      </c>
      <c r="C120" s="14" t="str">
        <f aca="false">IF(B120="","",IFERROR(INDEX('CLM &amp; IM Mapping'!$B$2:$B$270,MATCH(TRIM(B120),'CLM &amp; IM Mapping'!$A$2:$A$270,0)),"Not Mapped"))</f>
        <v>Balaji G</v>
      </c>
      <c r="D120" s="14" t="str">
        <f aca="false">IF(B120="","",IFERROR(INDEX('CLM &amp; IM Mapping'!$C$2:$C$270,MATCH(TRIM(B120),'CLM &amp; IM Mapping'!$A$2:$A$270,0)),"Not Mapped"))</f>
        <v>Mohammed Akbar</v>
      </c>
      <c r="E120" s="18"/>
      <c r="F120" s="18"/>
      <c r="G120" s="18" t="n">
        <v>3</v>
      </c>
      <c r="H120" s="18" t="n">
        <v>3</v>
      </c>
      <c r="I120" s="35" t="n">
        <v>291.99</v>
      </c>
    </row>
    <row r="121" customFormat="false" ht="15.75" hidden="false" customHeight="false" outlineLevel="0" collapsed="false">
      <c r="B121" s="34" t="s">
        <v>75</v>
      </c>
      <c r="C121" s="14" t="str">
        <f aca="false">IF(B121="","",IFERROR(INDEX('CLM &amp; IM Mapping'!$B$2:$B$270,MATCH(TRIM(B121),'CLM &amp; IM Mapping'!$A$2:$A$270,0)),"Not Mapped"))</f>
        <v>Akshay P</v>
      </c>
      <c r="D121" s="14" t="str">
        <f aca="false">IF(B121="","",IFERROR(INDEX('CLM &amp; IM Mapping'!$C$2:$C$270,MATCH(TRIM(B121),'CLM &amp; IM Mapping'!$A$2:$A$270,0)),"Not Mapped"))</f>
        <v>Srittam Dhal</v>
      </c>
      <c r="E121" s="18"/>
      <c r="F121" s="18"/>
      <c r="G121" s="18" t="n">
        <v>3</v>
      </c>
      <c r="H121" s="18" t="n">
        <v>3</v>
      </c>
      <c r="I121" s="35" t="n">
        <v>233.7</v>
      </c>
    </row>
    <row r="122" customFormat="false" ht="15.75" hidden="false" customHeight="false" outlineLevel="0" collapsed="false">
      <c r="B122" s="34" t="s">
        <v>182</v>
      </c>
      <c r="C122" s="14" t="str">
        <f aca="false">IF(B122="","",IFERROR(INDEX('CLM &amp; IM Mapping'!$B$2:$B$270,MATCH(TRIM(B122),'CLM &amp; IM Mapping'!$A$2:$A$270,0)),"Not Mapped"))</f>
        <v>Balaji G</v>
      </c>
      <c r="D122" s="14" t="str">
        <f aca="false">IF(B122="","",IFERROR(INDEX('CLM &amp; IM Mapping'!$C$2:$C$270,MATCH(TRIM(B122),'CLM &amp; IM Mapping'!$A$2:$A$270,0)),"Not Mapped"))</f>
        <v>Mohammed Akbar</v>
      </c>
      <c r="E122" s="18"/>
      <c r="F122" s="18"/>
      <c r="G122" s="18" t="n">
        <v>2</v>
      </c>
      <c r="H122" s="18" t="n">
        <v>2</v>
      </c>
      <c r="I122" s="35" t="n">
        <v>231.55</v>
      </c>
    </row>
    <row r="123" customFormat="false" ht="15.75" hidden="false" customHeight="false" outlineLevel="0" collapsed="false">
      <c r="B123" s="34" t="s">
        <v>38</v>
      </c>
      <c r="C123" s="14" t="str">
        <f aca="false">IF(B123="","",IFERROR(INDEX('CLM &amp; IM Mapping'!$B$2:$B$270,MATCH(TRIM(B123),'CLM &amp; IM Mapping'!$A$2:$A$270,0)),"Not Mapped"))</f>
        <v>Saddam Hussain</v>
      </c>
      <c r="D123" s="14" t="str">
        <f aca="false">IF(B123="","",IFERROR(INDEX('CLM &amp; IM Mapping'!$C$2:$C$270,MATCH(TRIM(B123),'CLM &amp; IM Mapping'!$A$2:$A$270,0)),"Not Mapped"))</f>
        <v>Un Mapped</v>
      </c>
      <c r="E123" s="18"/>
      <c r="F123" s="18"/>
      <c r="G123" s="18" t="n">
        <v>3</v>
      </c>
      <c r="H123" s="18" t="n">
        <v>3</v>
      </c>
      <c r="I123" s="35" t="n">
        <v>225.76</v>
      </c>
    </row>
    <row r="124" customFormat="false" ht="15.75" hidden="false" customHeight="false" outlineLevel="0" collapsed="false">
      <c r="B124" s="34" t="s">
        <v>118</v>
      </c>
      <c r="C124" s="14" t="str">
        <f aca="false">IF(B124="","",IFERROR(INDEX('CLM &amp; IM Mapping'!$B$2:$B$270,MATCH(TRIM(B124),'CLM &amp; IM Mapping'!$A$2:$A$270,0)),"Not Mapped"))</f>
        <v>Balaji G</v>
      </c>
      <c r="D124" s="14" t="str">
        <f aca="false">IF(B124="","",IFERROR(INDEX('CLM &amp; IM Mapping'!$C$2:$C$270,MATCH(TRIM(B124),'CLM &amp; IM Mapping'!$A$2:$A$270,0)),"Not Mapped"))</f>
        <v>Mohammed Akbar</v>
      </c>
      <c r="E124" s="18" t="n">
        <v>1</v>
      </c>
      <c r="F124" s="18"/>
      <c r="G124" s="18"/>
      <c r="H124" s="18" t="n">
        <v>1</v>
      </c>
      <c r="I124" s="35" t="n">
        <v>168.53</v>
      </c>
    </row>
    <row r="125" customFormat="false" ht="15.75" hidden="false" customHeight="false" outlineLevel="0" collapsed="false">
      <c r="B125" s="34" t="s">
        <v>149</v>
      </c>
      <c r="C125" s="14" t="str">
        <f aca="false">IF(B125="","",IFERROR(INDEX('CLM &amp; IM Mapping'!$B$2:$B$270,MATCH(TRIM(B125),'CLM &amp; IM Mapping'!$A$2:$A$270,0)),"Not Mapped"))</f>
        <v>Manjunatha V</v>
      </c>
      <c r="D125" s="14" t="str">
        <f aca="false">IF(B125="","",IFERROR(INDEX('CLM &amp; IM Mapping'!$C$2:$C$270,MATCH(TRIM(B125),'CLM &amp; IM Mapping'!$A$2:$A$270,0)),"Not Mapped"))</f>
        <v>Un Mapped</v>
      </c>
      <c r="E125" s="18"/>
      <c r="F125" s="18"/>
      <c r="G125" s="18" t="n">
        <v>4</v>
      </c>
      <c r="H125" s="18" t="n">
        <v>4</v>
      </c>
      <c r="I125" s="35" t="n">
        <v>165.08</v>
      </c>
    </row>
    <row r="126" customFormat="false" ht="15.75" hidden="false" customHeight="false" outlineLevel="0" collapsed="false">
      <c r="B126" s="34" t="s">
        <v>220</v>
      </c>
      <c r="C126" s="14" t="str">
        <f aca="false">IF(B126="","",IFERROR(INDEX('CLM &amp; IM Mapping'!$B$2:$B$270,MATCH(TRIM(B126),'CLM &amp; IM Mapping'!$A$2:$A$270,0)),"Not Mapped"))</f>
        <v>Sundaresh S</v>
      </c>
      <c r="D126" s="14" t="str">
        <f aca="false">IF(B126="","",IFERROR(INDEX('CLM &amp; IM Mapping'!$C$2:$C$270,MATCH(TRIM(B126),'CLM &amp; IM Mapping'!$A$2:$A$270,0)),"Not Mapped"))</f>
        <v>Un Mapped</v>
      </c>
      <c r="E126" s="18" t="n">
        <v>2</v>
      </c>
      <c r="F126" s="18"/>
      <c r="G126" s="18"/>
      <c r="H126" s="18" t="n">
        <v>2</v>
      </c>
      <c r="I126" s="35" t="n">
        <v>158.16</v>
      </c>
    </row>
    <row r="127" customFormat="false" ht="15.75" hidden="false" customHeight="false" outlineLevel="0" collapsed="false">
      <c r="B127" s="34" t="s">
        <v>21</v>
      </c>
      <c r="C127" s="14" t="str">
        <f aca="false">IF(B127="","",IFERROR(INDEX('CLM &amp; IM Mapping'!$B$2:$B$270,MATCH(TRIM(B127),'CLM &amp; IM Mapping'!$A$2:$A$270,0)),"Not Mapped"))</f>
        <v>Arun Raj</v>
      </c>
      <c r="D127" s="14" t="str">
        <f aca="false">IF(B127="","",IFERROR(INDEX('CLM &amp; IM Mapping'!$C$2:$C$270,MATCH(TRIM(B127),'CLM &amp; IM Mapping'!$A$2:$A$270,0)),"Not Mapped"))</f>
        <v>Simon Manoharan</v>
      </c>
      <c r="E127" s="18"/>
      <c r="F127" s="18"/>
      <c r="G127" s="18" t="n">
        <v>2</v>
      </c>
      <c r="H127" s="18" t="n">
        <v>2</v>
      </c>
      <c r="I127" s="35" t="n">
        <v>145.86</v>
      </c>
    </row>
    <row r="128" customFormat="false" ht="15.75" hidden="false" customHeight="false" outlineLevel="0" collapsed="false">
      <c r="B128" s="34" t="s">
        <v>277</v>
      </c>
      <c r="C128" s="14" t="str">
        <f aca="false">IF(B128="","",IFERROR(INDEX('CLM &amp; IM Mapping'!$B$2:$B$270,MATCH(TRIM(B128),'CLM &amp; IM Mapping'!$A$2:$A$270,0)),"Not Mapped"))</f>
        <v>Silambarasan E</v>
      </c>
      <c r="D128" s="14" t="str">
        <f aca="false">IF(B128="","",IFERROR(INDEX('CLM &amp; IM Mapping'!$C$2:$C$270,MATCH(TRIM(B128),'CLM &amp; IM Mapping'!$A$2:$A$270,0)),"Not Mapped"))</f>
        <v>Arivind S</v>
      </c>
      <c r="E128" s="18"/>
      <c r="F128" s="18"/>
      <c r="G128" s="18" t="n">
        <v>1</v>
      </c>
      <c r="H128" s="18" t="n">
        <v>1</v>
      </c>
      <c r="I128" s="35" t="n">
        <v>128.9</v>
      </c>
    </row>
    <row r="129" customFormat="false" ht="15.75" hidden="false" customHeight="false" outlineLevel="0" collapsed="false">
      <c r="B129" s="34" t="s">
        <v>278</v>
      </c>
      <c r="C129" s="14" t="str">
        <f aca="false">IF(B129="","",IFERROR(INDEX('CLM &amp; IM Mapping'!$B$2:$B$270,MATCH(TRIM(B129),'CLM &amp; IM Mapping'!$A$2:$A$270,0)),"Not Mapped"))</f>
        <v>Adhavan Subramani</v>
      </c>
      <c r="D129" s="14" t="str">
        <f aca="false">IF(B129="","",IFERROR(INDEX('CLM &amp; IM Mapping'!$C$2:$C$270,MATCH(TRIM(B129),'CLM &amp; IM Mapping'!$A$2:$A$270,0)),"Not Mapped"))</f>
        <v>Mohammed Akbar</v>
      </c>
      <c r="E129" s="18"/>
      <c r="F129" s="18"/>
      <c r="G129" s="18" t="n">
        <v>1</v>
      </c>
      <c r="H129" s="18" t="n">
        <v>1</v>
      </c>
      <c r="I129" s="35" t="n">
        <v>95.94</v>
      </c>
    </row>
    <row r="130" customFormat="false" ht="15.75" hidden="false" customHeight="false" outlineLevel="0" collapsed="false">
      <c r="B130" s="34" t="s">
        <v>186</v>
      </c>
      <c r="C130" s="14" t="str">
        <f aca="false">IF(B130="","",IFERROR(INDEX('CLM &amp; IM Mapping'!$B$2:$B$270,MATCH(TRIM(B130),'CLM &amp; IM Mapping'!$A$2:$A$270,0)),"Not Mapped"))</f>
        <v>Balaji G</v>
      </c>
      <c r="D130" s="14" t="str">
        <f aca="false">IF(B130="","",IFERROR(INDEX('CLM &amp; IM Mapping'!$C$2:$C$270,MATCH(TRIM(B130),'CLM &amp; IM Mapping'!$A$2:$A$270,0)),"Not Mapped"))</f>
        <v>Mohammed Akbar</v>
      </c>
      <c r="E130" s="18"/>
      <c r="F130" s="18"/>
      <c r="G130" s="18" t="n">
        <v>1</v>
      </c>
      <c r="H130" s="18" t="n">
        <v>1</v>
      </c>
      <c r="I130" s="35" t="n">
        <v>95.85</v>
      </c>
    </row>
    <row r="131" customFormat="false" ht="15.75" hidden="false" customHeight="false" outlineLevel="0" collapsed="false">
      <c r="B131" s="34" t="s">
        <v>120</v>
      </c>
      <c r="C131" s="14" t="str">
        <f aca="false">IF(B131="","",IFERROR(INDEX('CLM &amp; IM Mapping'!$B$2:$B$270,MATCH(TRIM(B131),'CLM &amp; IM Mapping'!$A$2:$A$270,0)),"Not Mapped"))</f>
        <v>Arun Raj</v>
      </c>
      <c r="D131" s="14" t="str">
        <f aca="false">IF(B131="","",IFERROR(INDEX('CLM &amp; IM Mapping'!$C$2:$C$270,MATCH(TRIM(B131),'CLM &amp; IM Mapping'!$A$2:$A$270,0)),"Not Mapped"))</f>
        <v>Simon Manoharan</v>
      </c>
      <c r="E131" s="18"/>
      <c r="F131" s="18"/>
      <c r="G131" s="18" t="n">
        <v>2</v>
      </c>
      <c r="H131" s="18" t="n">
        <v>2</v>
      </c>
      <c r="I131" s="35" t="n">
        <v>91.41</v>
      </c>
    </row>
    <row r="132" customFormat="false" ht="15.75" hidden="false" customHeight="false" outlineLevel="0" collapsed="false">
      <c r="B132" s="34" t="s">
        <v>235</v>
      </c>
      <c r="C132" s="14" t="str">
        <f aca="false">IF(B132="","",IFERROR(INDEX('CLM &amp; IM Mapping'!$B$2:$B$270,MATCH(TRIM(B132),'CLM &amp; IM Mapping'!$A$2:$A$270,0)),"Not Mapped"))</f>
        <v>Ravishankar gowda</v>
      </c>
      <c r="D132" s="14" t="str">
        <f aca="false">IF(B132="","",IFERROR(INDEX('CLM &amp; IM Mapping'!$C$2:$C$270,MATCH(TRIM(B132),'CLM &amp; IM Mapping'!$A$2:$A$270,0)),"Not Mapped"))</f>
        <v>Kishor K</v>
      </c>
      <c r="E132" s="18"/>
      <c r="F132" s="18"/>
      <c r="G132" s="18" t="n">
        <v>1</v>
      </c>
      <c r="H132" s="18" t="n">
        <v>1</v>
      </c>
      <c r="I132" s="35" t="n">
        <v>86.18</v>
      </c>
    </row>
    <row r="133" customFormat="false" ht="15.75" hidden="false" customHeight="false" outlineLevel="0" collapsed="false">
      <c r="B133" s="34" t="s">
        <v>244</v>
      </c>
      <c r="C133" s="14" t="str">
        <f aca="false">IF(B133="","",IFERROR(INDEX('CLM &amp; IM Mapping'!$B$2:$B$270,MATCH(TRIM(B133),'CLM &amp; IM Mapping'!$A$2:$A$270,0)),"Not Mapped"))</f>
        <v>Balaji G</v>
      </c>
      <c r="D133" s="14" t="str">
        <f aca="false">IF(B133="","",IFERROR(INDEX('CLM &amp; IM Mapping'!$C$2:$C$270,MATCH(TRIM(B133),'CLM &amp; IM Mapping'!$A$2:$A$270,0)),"Not Mapped"))</f>
        <v>Mohammed Akbar</v>
      </c>
      <c r="E133" s="18" t="n">
        <v>1</v>
      </c>
      <c r="F133" s="18"/>
      <c r="G133" s="18"/>
      <c r="H133" s="18" t="n">
        <v>1</v>
      </c>
      <c r="I133" s="35" t="n">
        <v>43.8</v>
      </c>
    </row>
    <row r="134" customFormat="false" ht="15.75" hidden="false" customHeight="false" outlineLevel="0" collapsed="false">
      <c r="B134" s="34" t="s">
        <v>172</v>
      </c>
      <c r="C134" s="14" t="str">
        <f aca="false">IF(B134="","",IFERROR(INDEX('CLM &amp; IM Mapping'!$B$2:$B$270,MATCH(TRIM(B134),'CLM &amp; IM Mapping'!$A$2:$A$270,0)),"Not Mapped"))</f>
        <v>Santhosha M</v>
      </c>
      <c r="D134" s="14" t="str">
        <f aca="false">IF(B134="","",IFERROR(INDEX('CLM &amp; IM Mapping'!$C$2:$C$270,MATCH(TRIM(B134),'CLM &amp; IM Mapping'!$A$2:$A$270,0)),"Not Mapped"))</f>
        <v>Aravind S</v>
      </c>
      <c r="E134" s="18"/>
      <c r="F134" s="18"/>
      <c r="G134" s="18" t="n">
        <v>1</v>
      </c>
      <c r="H134" s="18" t="n">
        <v>1</v>
      </c>
      <c r="I134" s="35" t="n">
        <v>37.45</v>
      </c>
    </row>
    <row r="135" customFormat="false" ht="15.75" hidden="false" customHeight="false" outlineLevel="0" collapsed="false">
      <c r="E135" s="30"/>
      <c r="F135" s="30"/>
      <c r="G135" s="30"/>
      <c r="H135" s="30"/>
      <c r="I135" s="36"/>
    </row>
    <row r="136" customFormat="false" ht="15.75" hidden="false" customHeight="false" outlineLevel="0" collapsed="false">
      <c r="E136" s="30"/>
      <c r="F136" s="30"/>
      <c r="G136" s="30"/>
      <c r="H136" s="30"/>
      <c r="I136" s="36"/>
    </row>
    <row r="137" customFormat="false" ht="15.75" hidden="false" customHeight="false" outlineLevel="0" collapsed="false">
      <c r="E137" s="30"/>
      <c r="F137" s="30"/>
      <c r="G137" s="30"/>
      <c r="H137" s="30"/>
      <c r="I137" s="36"/>
    </row>
    <row r="138" customFormat="false" ht="15.75" hidden="false" customHeight="false" outlineLevel="0" collapsed="false">
      <c r="E138" s="30"/>
      <c r="F138" s="30"/>
      <c r="G138" s="30"/>
      <c r="H138" s="30"/>
      <c r="I138" s="36"/>
    </row>
    <row r="139" customFormat="false" ht="15.75" hidden="false" customHeight="false" outlineLevel="0" collapsed="false">
      <c r="E139" s="30"/>
      <c r="F139" s="30"/>
      <c r="G139" s="30"/>
      <c r="H139" s="30"/>
      <c r="I139" s="36"/>
    </row>
    <row r="140" customFormat="false" ht="15.75" hidden="false" customHeight="false" outlineLevel="0" collapsed="false">
      <c r="E140" s="30"/>
      <c r="F140" s="30"/>
      <c r="G140" s="30"/>
      <c r="H140" s="30"/>
      <c r="I140" s="36"/>
    </row>
    <row r="141" customFormat="false" ht="15.75" hidden="false" customHeight="false" outlineLevel="0" collapsed="false">
      <c r="E141" s="30"/>
      <c r="F141" s="30"/>
      <c r="G141" s="30"/>
      <c r="H141" s="30"/>
      <c r="I141" s="36"/>
    </row>
    <row r="142" customFormat="false" ht="15.75" hidden="false" customHeight="false" outlineLevel="0" collapsed="false">
      <c r="E142" s="30"/>
      <c r="F142" s="30"/>
      <c r="G142" s="30"/>
      <c r="H142" s="30"/>
      <c r="I142" s="36"/>
    </row>
    <row r="143" customFormat="false" ht="15.75" hidden="false" customHeight="false" outlineLevel="0" collapsed="false">
      <c r="E143" s="30"/>
      <c r="F143" s="30"/>
      <c r="G143" s="30"/>
      <c r="H143" s="30"/>
      <c r="I143" s="36"/>
    </row>
    <row r="144" customFormat="false" ht="15.75" hidden="false" customHeight="false" outlineLevel="0" collapsed="false">
      <c r="E144" s="30"/>
      <c r="F144" s="30"/>
      <c r="G144" s="30"/>
      <c r="H144" s="30"/>
      <c r="I144" s="36"/>
    </row>
    <row r="145" customFormat="false" ht="15.75" hidden="false" customHeight="false" outlineLevel="0" collapsed="false">
      <c r="E145" s="30"/>
      <c r="F145" s="30"/>
      <c r="G145" s="30"/>
      <c r="H145" s="30"/>
      <c r="I145" s="36"/>
    </row>
    <row r="146" customFormat="false" ht="15.75" hidden="false" customHeight="false" outlineLevel="0" collapsed="false">
      <c r="E146" s="30"/>
      <c r="F146" s="30"/>
      <c r="G146" s="30"/>
      <c r="H146" s="30"/>
      <c r="I146" s="36"/>
    </row>
    <row r="147" customFormat="false" ht="15.75" hidden="false" customHeight="false" outlineLevel="0" collapsed="false">
      <c r="E147" s="30"/>
      <c r="F147" s="30"/>
      <c r="G147" s="30"/>
      <c r="H147" s="30"/>
      <c r="I147" s="36"/>
    </row>
    <row r="148" customFormat="false" ht="15.75" hidden="false" customHeight="false" outlineLevel="0" collapsed="false">
      <c r="E148" s="30"/>
      <c r="F148" s="30"/>
      <c r="G148" s="30"/>
      <c r="H148" s="30"/>
      <c r="I148" s="36"/>
    </row>
    <row r="149" customFormat="false" ht="15.75" hidden="false" customHeight="false" outlineLevel="0" collapsed="false">
      <c r="E149" s="30"/>
      <c r="F149" s="30"/>
      <c r="G149" s="30"/>
      <c r="H149" s="30"/>
      <c r="I149" s="36"/>
    </row>
    <row r="150" customFormat="false" ht="15.75" hidden="false" customHeight="false" outlineLevel="0" collapsed="false">
      <c r="E150" s="30"/>
      <c r="F150" s="30"/>
      <c r="G150" s="30"/>
      <c r="H150" s="30"/>
      <c r="I150" s="36"/>
    </row>
    <row r="151" customFormat="false" ht="15.75" hidden="false" customHeight="false" outlineLevel="0" collapsed="false">
      <c r="E151" s="30"/>
      <c r="F151" s="30"/>
      <c r="G151" s="30"/>
      <c r="H151" s="30"/>
      <c r="I151" s="36"/>
    </row>
    <row r="152" customFormat="false" ht="15.75" hidden="false" customHeight="false" outlineLevel="0" collapsed="false">
      <c r="E152" s="30"/>
      <c r="F152" s="30"/>
      <c r="G152" s="30"/>
      <c r="H152" s="30"/>
      <c r="I152" s="36"/>
    </row>
    <row r="153" customFormat="false" ht="15.75" hidden="false" customHeight="false" outlineLevel="0" collapsed="false">
      <c r="E153" s="30"/>
      <c r="F153" s="30"/>
      <c r="G153" s="30"/>
      <c r="H153" s="30"/>
      <c r="I153" s="36"/>
    </row>
    <row r="154" customFormat="false" ht="15.75" hidden="false" customHeight="false" outlineLevel="0" collapsed="false">
      <c r="E154" s="30"/>
      <c r="F154" s="30"/>
      <c r="G154" s="30"/>
      <c r="H154" s="30"/>
      <c r="I154" s="36"/>
    </row>
    <row r="155" customFormat="false" ht="15.75" hidden="false" customHeight="false" outlineLevel="0" collapsed="false">
      <c r="E155" s="30"/>
      <c r="F155" s="30"/>
      <c r="G155" s="30"/>
      <c r="H155" s="30"/>
      <c r="I155" s="36"/>
    </row>
    <row r="156" customFormat="false" ht="15.75" hidden="false" customHeight="false" outlineLevel="0" collapsed="false">
      <c r="E156" s="30"/>
      <c r="F156" s="30"/>
      <c r="G156" s="30"/>
      <c r="H156" s="30"/>
      <c r="I156" s="36"/>
    </row>
    <row r="157" customFormat="false" ht="15.75" hidden="false" customHeight="false" outlineLevel="0" collapsed="false">
      <c r="E157" s="30"/>
      <c r="F157" s="30"/>
      <c r="G157" s="30"/>
      <c r="H157" s="30"/>
      <c r="I157" s="36"/>
    </row>
    <row r="158" customFormat="false" ht="15.75" hidden="false" customHeight="false" outlineLevel="0" collapsed="false">
      <c r="E158" s="30"/>
      <c r="F158" s="30"/>
      <c r="G158" s="30"/>
      <c r="H158" s="30"/>
      <c r="I158" s="36"/>
    </row>
    <row r="159" customFormat="false" ht="15.75" hidden="false" customHeight="false" outlineLevel="0" collapsed="false">
      <c r="E159" s="30"/>
      <c r="F159" s="30"/>
      <c r="G159" s="30"/>
      <c r="H159" s="30"/>
      <c r="I159" s="36"/>
    </row>
    <row r="160" customFormat="false" ht="15.75" hidden="false" customHeight="false" outlineLevel="0" collapsed="false">
      <c r="E160" s="30"/>
      <c r="F160" s="30"/>
      <c r="G160" s="30"/>
      <c r="H160" s="30"/>
      <c r="I160" s="36"/>
    </row>
    <row r="161" customFormat="false" ht="15.75" hidden="false" customHeight="false" outlineLevel="0" collapsed="false">
      <c r="E161" s="30"/>
      <c r="F161" s="30"/>
      <c r="G161" s="30"/>
      <c r="H161" s="30"/>
      <c r="I161" s="36"/>
    </row>
    <row r="162" customFormat="false" ht="15.75" hidden="false" customHeight="false" outlineLevel="0" collapsed="false">
      <c r="E162" s="30"/>
      <c r="F162" s="30"/>
      <c r="G162" s="30"/>
      <c r="H162" s="30"/>
      <c r="I162" s="36"/>
    </row>
    <row r="163" customFormat="false" ht="15.75" hidden="false" customHeight="false" outlineLevel="0" collapsed="false">
      <c r="E163" s="30"/>
      <c r="F163" s="30"/>
      <c r="G163" s="30"/>
      <c r="H163" s="30"/>
      <c r="I163" s="36"/>
    </row>
    <row r="164" customFormat="false" ht="15.75" hidden="false" customHeight="false" outlineLevel="0" collapsed="false">
      <c r="E164" s="30"/>
      <c r="F164" s="30"/>
      <c r="G164" s="30"/>
      <c r="H164" s="30"/>
      <c r="I164" s="36"/>
    </row>
    <row r="165" customFormat="false" ht="15.75" hidden="false" customHeight="false" outlineLevel="0" collapsed="false">
      <c r="E165" s="30"/>
      <c r="F165" s="30"/>
      <c r="G165" s="30"/>
      <c r="H165" s="30"/>
      <c r="I165" s="36"/>
    </row>
    <row r="166" customFormat="false" ht="15.75" hidden="false" customHeight="false" outlineLevel="0" collapsed="false">
      <c r="E166" s="30"/>
      <c r="F166" s="30"/>
      <c r="G166" s="30"/>
      <c r="H166" s="30"/>
      <c r="I166" s="36"/>
    </row>
    <row r="167" customFormat="false" ht="15.75" hidden="false" customHeight="false" outlineLevel="0" collapsed="false">
      <c r="E167" s="30"/>
      <c r="F167" s="30"/>
      <c r="G167" s="30"/>
      <c r="H167" s="30"/>
      <c r="I167" s="36"/>
    </row>
    <row r="168" customFormat="false" ht="15.75" hidden="false" customHeight="false" outlineLevel="0" collapsed="false">
      <c r="E168" s="30"/>
      <c r="F168" s="30"/>
      <c r="G168" s="30"/>
      <c r="H168" s="30"/>
      <c r="I168" s="36"/>
    </row>
    <row r="169" customFormat="false" ht="15.75" hidden="false" customHeight="false" outlineLevel="0" collapsed="false">
      <c r="E169" s="30"/>
      <c r="F169" s="30"/>
      <c r="G169" s="30"/>
      <c r="H169" s="30"/>
      <c r="I169" s="36"/>
    </row>
    <row r="170" customFormat="false" ht="15.75" hidden="false" customHeight="false" outlineLevel="0" collapsed="false">
      <c r="E170" s="30"/>
      <c r="F170" s="30"/>
      <c r="G170" s="30"/>
      <c r="H170" s="30"/>
      <c r="I170" s="36"/>
    </row>
    <row r="171" customFormat="false" ht="15.75" hidden="false" customHeight="false" outlineLevel="0" collapsed="false">
      <c r="E171" s="30"/>
      <c r="F171" s="30"/>
      <c r="G171" s="30"/>
      <c r="H171" s="30"/>
      <c r="I171" s="36"/>
    </row>
    <row r="172" customFormat="false" ht="15.75" hidden="false" customHeight="false" outlineLevel="0" collapsed="false">
      <c r="E172" s="30"/>
      <c r="F172" s="30"/>
      <c r="G172" s="30"/>
      <c r="H172" s="30"/>
      <c r="I172" s="36"/>
    </row>
    <row r="173" customFormat="false" ht="15.75" hidden="false" customHeight="false" outlineLevel="0" collapsed="false">
      <c r="E173" s="30"/>
      <c r="F173" s="30"/>
      <c r="G173" s="30"/>
      <c r="H173" s="30"/>
      <c r="I173" s="36"/>
    </row>
    <row r="174" customFormat="false" ht="15.75" hidden="false" customHeight="false" outlineLevel="0" collapsed="false">
      <c r="E174" s="30"/>
      <c r="F174" s="30"/>
      <c r="G174" s="30"/>
      <c r="H174" s="30"/>
      <c r="I174" s="36"/>
    </row>
    <row r="175" customFormat="false" ht="15.75" hidden="false" customHeight="false" outlineLevel="0" collapsed="false">
      <c r="E175" s="30"/>
      <c r="F175" s="30"/>
      <c r="G175" s="30"/>
      <c r="H175" s="30"/>
      <c r="I175" s="36"/>
    </row>
    <row r="176" customFormat="false" ht="15.75" hidden="false" customHeight="false" outlineLevel="0" collapsed="false">
      <c r="E176" s="30"/>
      <c r="F176" s="30"/>
      <c r="G176" s="30"/>
      <c r="H176" s="30"/>
      <c r="I176" s="36"/>
    </row>
    <row r="177" customFormat="false" ht="15.75" hidden="false" customHeight="false" outlineLevel="0" collapsed="false">
      <c r="E177" s="30"/>
      <c r="F177" s="30"/>
      <c r="G177" s="30"/>
      <c r="H177" s="30"/>
      <c r="I177" s="36"/>
    </row>
    <row r="178" customFormat="false" ht="15.75" hidden="false" customHeight="false" outlineLevel="0" collapsed="false">
      <c r="E178" s="30"/>
      <c r="F178" s="30"/>
      <c r="G178" s="30"/>
      <c r="H178" s="30"/>
      <c r="I178" s="36"/>
    </row>
    <row r="179" customFormat="false" ht="15.75" hidden="false" customHeight="false" outlineLevel="0" collapsed="false">
      <c r="E179" s="30"/>
      <c r="F179" s="30"/>
      <c r="G179" s="30"/>
      <c r="H179" s="30"/>
      <c r="I179" s="36"/>
    </row>
    <row r="180" customFormat="false" ht="15.75" hidden="false" customHeight="false" outlineLevel="0" collapsed="false">
      <c r="E180" s="30"/>
      <c r="F180" s="30"/>
      <c r="G180" s="30"/>
      <c r="H180" s="30"/>
      <c r="I180" s="36"/>
    </row>
    <row r="181" customFormat="false" ht="15.75" hidden="false" customHeight="false" outlineLevel="0" collapsed="false">
      <c r="E181" s="30"/>
      <c r="F181" s="30"/>
      <c r="G181" s="30"/>
      <c r="H181" s="30"/>
      <c r="I181" s="36"/>
    </row>
    <row r="182" customFormat="false" ht="15.75" hidden="false" customHeight="false" outlineLevel="0" collapsed="false">
      <c r="E182" s="30"/>
      <c r="F182" s="30"/>
      <c r="G182" s="30"/>
      <c r="H182" s="30"/>
      <c r="I182" s="36"/>
    </row>
    <row r="183" customFormat="false" ht="15.75" hidden="false" customHeight="false" outlineLevel="0" collapsed="false">
      <c r="E183" s="30"/>
      <c r="F183" s="30"/>
      <c r="G183" s="30"/>
      <c r="H183" s="30"/>
      <c r="I183" s="36"/>
    </row>
    <row r="184" customFormat="false" ht="15.75" hidden="false" customHeight="false" outlineLevel="0" collapsed="false">
      <c r="E184" s="30"/>
      <c r="F184" s="30"/>
      <c r="G184" s="30"/>
      <c r="H184" s="30"/>
      <c r="I184" s="36"/>
    </row>
    <row r="185" customFormat="false" ht="15.75" hidden="false" customHeight="false" outlineLevel="0" collapsed="false">
      <c r="E185" s="30"/>
      <c r="F185" s="30"/>
      <c r="G185" s="30"/>
      <c r="H185" s="30"/>
      <c r="I185" s="36"/>
    </row>
    <row r="186" customFormat="false" ht="15.75" hidden="false" customHeight="false" outlineLevel="0" collapsed="false">
      <c r="E186" s="30"/>
      <c r="F186" s="30"/>
      <c r="G186" s="30"/>
      <c r="H186" s="30"/>
      <c r="I186" s="36"/>
    </row>
    <row r="187" customFormat="false" ht="15.75" hidden="false" customHeight="false" outlineLevel="0" collapsed="false">
      <c r="E187" s="30"/>
      <c r="F187" s="30"/>
      <c r="G187" s="30"/>
      <c r="H187" s="30"/>
      <c r="I187" s="36"/>
    </row>
    <row r="188" customFormat="false" ht="15.75" hidden="false" customHeight="false" outlineLevel="0" collapsed="false">
      <c r="E188" s="30"/>
      <c r="F188" s="30"/>
      <c r="G188" s="30"/>
      <c r="H188" s="30"/>
      <c r="I188" s="36"/>
    </row>
    <row r="189" customFormat="false" ht="15.75" hidden="false" customHeight="false" outlineLevel="0" collapsed="false">
      <c r="E189" s="30"/>
      <c r="F189" s="30"/>
      <c r="G189" s="30"/>
      <c r="H189" s="30"/>
      <c r="I189" s="36"/>
    </row>
    <row r="190" customFormat="false" ht="15.75" hidden="false" customHeight="false" outlineLevel="0" collapsed="false">
      <c r="E190" s="30"/>
      <c r="F190" s="30"/>
      <c r="G190" s="30"/>
      <c r="H190" s="30"/>
      <c r="I190" s="36"/>
    </row>
    <row r="191" customFormat="false" ht="15.75" hidden="false" customHeight="false" outlineLevel="0" collapsed="false">
      <c r="E191" s="30"/>
      <c r="F191" s="30"/>
      <c r="G191" s="30"/>
      <c r="H191" s="30"/>
      <c r="I191" s="36"/>
    </row>
    <row r="192" customFormat="false" ht="15.75" hidden="false" customHeight="false" outlineLevel="0" collapsed="false">
      <c r="E192" s="30"/>
      <c r="F192" s="30"/>
      <c r="G192" s="30"/>
      <c r="H192" s="30"/>
      <c r="I192" s="36"/>
    </row>
    <row r="193" customFormat="false" ht="15.75" hidden="false" customHeight="false" outlineLevel="0" collapsed="false">
      <c r="E193" s="30"/>
      <c r="F193" s="30"/>
      <c r="G193" s="30"/>
      <c r="H193" s="30"/>
      <c r="I193" s="36"/>
    </row>
    <row r="194" customFormat="false" ht="15.75" hidden="false" customHeight="false" outlineLevel="0" collapsed="false">
      <c r="E194" s="30"/>
      <c r="F194" s="30"/>
      <c r="G194" s="30"/>
      <c r="H194" s="30"/>
      <c r="I194" s="36"/>
    </row>
    <row r="195" customFormat="false" ht="15.75" hidden="false" customHeight="false" outlineLevel="0" collapsed="false">
      <c r="E195" s="30"/>
      <c r="F195" s="30"/>
      <c r="G195" s="30"/>
      <c r="H195" s="30"/>
      <c r="I195" s="36"/>
    </row>
    <row r="196" customFormat="false" ht="15.75" hidden="false" customHeight="false" outlineLevel="0" collapsed="false">
      <c r="E196" s="30"/>
      <c r="F196" s="30"/>
      <c r="G196" s="30"/>
      <c r="H196" s="30"/>
      <c r="I196" s="36"/>
    </row>
    <row r="197" customFormat="false" ht="15.75" hidden="false" customHeight="false" outlineLevel="0" collapsed="false">
      <c r="E197" s="30"/>
      <c r="F197" s="30"/>
      <c r="G197" s="30"/>
      <c r="H197" s="30"/>
      <c r="I197" s="36"/>
    </row>
    <row r="198" customFormat="false" ht="15.75" hidden="false" customHeight="false" outlineLevel="0" collapsed="false">
      <c r="E198" s="30"/>
      <c r="F198" s="30"/>
      <c r="G198" s="30"/>
      <c r="H198" s="30"/>
      <c r="I198" s="36"/>
    </row>
    <row r="199" customFormat="false" ht="15.75" hidden="false" customHeight="false" outlineLevel="0" collapsed="false">
      <c r="E199" s="30"/>
      <c r="F199" s="30"/>
      <c r="G199" s="30"/>
      <c r="H199" s="30"/>
      <c r="I199" s="36"/>
    </row>
    <row r="200" customFormat="false" ht="15.75" hidden="false" customHeight="false" outlineLevel="0" collapsed="false">
      <c r="E200" s="30"/>
      <c r="F200" s="30"/>
      <c r="G200" s="30"/>
      <c r="H200" s="30"/>
      <c r="I200" s="36"/>
    </row>
    <row r="201" customFormat="false" ht="15.75" hidden="false" customHeight="false" outlineLevel="0" collapsed="false">
      <c r="E201" s="30"/>
      <c r="F201" s="30"/>
      <c r="G201" s="30"/>
      <c r="H201" s="30"/>
      <c r="I201" s="36"/>
    </row>
    <row r="202" customFormat="false" ht="15.75" hidden="false" customHeight="false" outlineLevel="0" collapsed="false">
      <c r="E202" s="30"/>
      <c r="F202" s="30"/>
      <c r="G202" s="30"/>
      <c r="H202" s="30"/>
      <c r="I202" s="36"/>
    </row>
    <row r="203" customFormat="false" ht="15.75" hidden="false" customHeight="false" outlineLevel="0" collapsed="false">
      <c r="E203" s="30"/>
      <c r="F203" s="30"/>
      <c r="G203" s="30"/>
      <c r="H203" s="30"/>
      <c r="I203" s="36"/>
    </row>
    <row r="204" customFormat="false" ht="15.75" hidden="false" customHeight="false" outlineLevel="0" collapsed="false">
      <c r="E204" s="30"/>
      <c r="F204" s="30"/>
      <c r="G204" s="30"/>
      <c r="H204" s="30"/>
      <c r="I204" s="36"/>
    </row>
    <row r="205" customFormat="false" ht="15.75" hidden="false" customHeight="false" outlineLevel="0" collapsed="false">
      <c r="E205" s="30"/>
      <c r="F205" s="30"/>
      <c r="G205" s="30"/>
      <c r="H205" s="30"/>
      <c r="I205" s="36"/>
    </row>
    <row r="206" customFormat="false" ht="15.75" hidden="false" customHeight="false" outlineLevel="0" collapsed="false">
      <c r="E206" s="30"/>
      <c r="F206" s="30"/>
      <c r="G206" s="30"/>
      <c r="H206" s="30"/>
      <c r="I206" s="36"/>
    </row>
    <row r="207" customFormat="false" ht="15.75" hidden="false" customHeight="false" outlineLevel="0" collapsed="false">
      <c r="E207" s="30"/>
      <c r="F207" s="30"/>
      <c r="G207" s="30"/>
      <c r="H207" s="30"/>
      <c r="I207" s="36"/>
    </row>
    <row r="208" customFormat="false" ht="15.75" hidden="false" customHeight="false" outlineLevel="0" collapsed="false">
      <c r="E208" s="30"/>
      <c r="F208" s="30"/>
      <c r="G208" s="30"/>
      <c r="H208" s="30"/>
      <c r="I208" s="36"/>
    </row>
    <row r="209" customFormat="false" ht="15.75" hidden="false" customHeight="false" outlineLevel="0" collapsed="false">
      <c r="E209" s="30"/>
      <c r="F209" s="30"/>
      <c r="G209" s="30"/>
      <c r="H209" s="30"/>
      <c r="I209" s="36"/>
    </row>
    <row r="210" customFormat="false" ht="15.75" hidden="false" customHeight="false" outlineLevel="0" collapsed="false">
      <c r="E210" s="30"/>
      <c r="F210" s="30"/>
      <c r="G210" s="30"/>
      <c r="H210" s="30"/>
      <c r="I210" s="36"/>
    </row>
    <row r="211" customFormat="false" ht="15.75" hidden="false" customHeight="false" outlineLevel="0" collapsed="false">
      <c r="E211" s="30"/>
      <c r="F211" s="30"/>
      <c r="G211" s="30"/>
      <c r="H211" s="30"/>
      <c r="I211" s="36"/>
    </row>
    <row r="212" customFormat="false" ht="15.75" hidden="false" customHeight="false" outlineLevel="0" collapsed="false">
      <c r="E212" s="30"/>
      <c r="F212" s="30"/>
      <c r="G212" s="30"/>
      <c r="H212" s="30"/>
      <c r="I212" s="36"/>
    </row>
    <row r="213" customFormat="false" ht="15.75" hidden="false" customHeight="false" outlineLevel="0" collapsed="false">
      <c r="E213" s="30"/>
      <c r="F213" s="30"/>
      <c r="G213" s="30"/>
      <c r="H213" s="30"/>
      <c r="I213" s="36"/>
    </row>
    <row r="214" customFormat="false" ht="15.75" hidden="false" customHeight="false" outlineLevel="0" collapsed="false">
      <c r="E214" s="30"/>
      <c r="F214" s="30"/>
      <c r="G214" s="30"/>
      <c r="H214" s="30"/>
      <c r="I214" s="36"/>
    </row>
    <row r="215" customFormat="false" ht="15.75" hidden="false" customHeight="false" outlineLevel="0" collapsed="false">
      <c r="E215" s="30"/>
      <c r="F215" s="30"/>
      <c r="G215" s="30"/>
      <c r="H215" s="30"/>
      <c r="I215" s="36"/>
    </row>
    <row r="216" customFormat="false" ht="15.75" hidden="false" customHeight="false" outlineLevel="0" collapsed="false">
      <c r="E216" s="30"/>
      <c r="F216" s="30"/>
      <c r="G216" s="30"/>
      <c r="H216" s="30"/>
      <c r="I216" s="36"/>
    </row>
    <row r="217" customFormat="false" ht="15.75" hidden="false" customHeight="false" outlineLevel="0" collapsed="false">
      <c r="E217" s="30"/>
      <c r="F217" s="30"/>
      <c r="G217" s="30"/>
      <c r="H217" s="30"/>
      <c r="I217" s="36"/>
    </row>
    <row r="218" customFormat="false" ht="15.75" hidden="false" customHeight="false" outlineLevel="0" collapsed="false">
      <c r="E218" s="30"/>
      <c r="F218" s="30"/>
      <c r="G218" s="30"/>
      <c r="H218" s="30"/>
      <c r="I218" s="36"/>
    </row>
    <row r="219" customFormat="false" ht="15.75" hidden="false" customHeight="false" outlineLevel="0" collapsed="false">
      <c r="E219" s="30"/>
      <c r="F219" s="30"/>
      <c r="G219" s="30"/>
      <c r="H219" s="30"/>
      <c r="I219" s="36"/>
    </row>
    <row r="220" customFormat="false" ht="15.75" hidden="false" customHeight="false" outlineLevel="0" collapsed="false">
      <c r="E220" s="30"/>
      <c r="F220" s="30"/>
      <c r="G220" s="30"/>
      <c r="H220" s="30"/>
      <c r="I220" s="36"/>
    </row>
    <row r="221" customFormat="false" ht="15.75" hidden="false" customHeight="false" outlineLevel="0" collapsed="false">
      <c r="E221" s="30"/>
      <c r="F221" s="30"/>
      <c r="G221" s="30"/>
      <c r="H221" s="30"/>
      <c r="I221" s="36"/>
    </row>
    <row r="222" customFormat="false" ht="15.75" hidden="false" customHeight="false" outlineLevel="0" collapsed="false">
      <c r="E222" s="30"/>
      <c r="F222" s="30"/>
      <c r="G222" s="30"/>
      <c r="H222" s="30"/>
      <c r="I222" s="36"/>
    </row>
    <row r="223" customFormat="false" ht="15.75" hidden="false" customHeight="false" outlineLevel="0" collapsed="false">
      <c r="E223" s="30"/>
      <c r="F223" s="30"/>
      <c r="G223" s="30"/>
      <c r="H223" s="30"/>
      <c r="I223" s="36"/>
    </row>
    <row r="224" customFormat="false" ht="15.75" hidden="false" customHeight="false" outlineLevel="0" collapsed="false">
      <c r="E224" s="30"/>
      <c r="F224" s="30"/>
      <c r="G224" s="30"/>
      <c r="H224" s="30"/>
      <c r="I224" s="36"/>
    </row>
    <row r="225" customFormat="false" ht="15.75" hidden="false" customHeight="false" outlineLevel="0" collapsed="false">
      <c r="E225" s="30"/>
      <c r="F225" s="30"/>
      <c r="G225" s="30"/>
      <c r="H225" s="30"/>
      <c r="I225" s="36"/>
    </row>
    <row r="226" customFormat="false" ht="15.75" hidden="false" customHeight="false" outlineLevel="0" collapsed="false">
      <c r="E226" s="30"/>
      <c r="F226" s="30"/>
      <c r="G226" s="30"/>
      <c r="H226" s="30"/>
      <c r="I226" s="36"/>
    </row>
    <row r="227" customFormat="false" ht="15.75" hidden="false" customHeight="false" outlineLevel="0" collapsed="false">
      <c r="E227" s="30"/>
      <c r="F227" s="30"/>
      <c r="G227" s="30"/>
      <c r="H227" s="30"/>
      <c r="I227" s="36"/>
    </row>
    <row r="228" customFormat="false" ht="15.75" hidden="false" customHeight="false" outlineLevel="0" collapsed="false">
      <c r="E228" s="30"/>
      <c r="F228" s="30"/>
      <c r="G228" s="30"/>
      <c r="H228" s="30"/>
      <c r="I228" s="36"/>
    </row>
    <row r="229" customFormat="false" ht="15.75" hidden="false" customHeight="false" outlineLevel="0" collapsed="false">
      <c r="E229" s="30"/>
      <c r="F229" s="30"/>
      <c r="G229" s="30"/>
      <c r="H229" s="30"/>
      <c r="I229" s="36"/>
    </row>
    <row r="230" customFormat="false" ht="15.75" hidden="false" customHeight="false" outlineLevel="0" collapsed="false">
      <c r="E230" s="30"/>
      <c r="F230" s="30"/>
      <c r="G230" s="30"/>
      <c r="H230" s="30"/>
      <c r="I230" s="36"/>
    </row>
    <row r="231" customFormat="false" ht="15.75" hidden="false" customHeight="false" outlineLevel="0" collapsed="false">
      <c r="E231" s="30"/>
      <c r="F231" s="30"/>
      <c r="G231" s="30"/>
      <c r="H231" s="30"/>
      <c r="I231" s="36"/>
    </row>
    <row r="232" customFormat="false" ht="15.75" hidden="false" customHeight="false" outlineLevel="0" collapsed="false">
      <c r="E232" s="30"/>
      <c r="F232" s="30"/>
      <c r="G232" s="30"/>
      <c r="H232" s="30"/>
      <c r="I232" s="36"/>
    </row>
    <row r="233" customFormat="false" ht="15.75" hidden="false" customHeight="false" outlineLevel="0" collapsed="false">
      <c r="E233" s="30"/>
      <c r="F233" s="30"/>
      <c r="G233" s="30"/>
      <c r="H233" s="30"/>
      <c r="I233" s="36"/>
    </row>
    <row r="234" customFormat="false" ht="15.75" hidden="false" customHeight="false" outlineLevel="0" collapsed="false">
      <c r="E234" s="30"/>
      <c r="F234" s="30"/>
      <c r="G234" s="30"/>
      <c r="H234" s="30"/>
      <c r="I234" s="36"/>
    </row>
    <row r="235" customFormat="false" ht="15.75" hidden="false" customHeight="false" outlineLevel="0" collapsed="false">
      <c r="E235" s="30"/>
      <c r="F235" s="30"/>
      <c r="G235" s="30"/>
      <c r="H235" s="30"/>
      <c r="I235" s="36"/>
    </row>
    <row r="236" customFormat="false" ht="15.75" hidden="false" customHeight="false" outlineLevel="0" collapsed="false">
      <c r="E236" s="30"/>
      <c r="F236" s="30"/>
      <c r="G236" s="30"/>
      <c r="H236" s="30"/>
      <c r="I236" s="36"/>
    </row>
    <row r="237" customFormat="false" ht="15.75" hidden="false" customHeight="false" outlineLevel="0" collapsed="false">
      <c r="E237" s="30"/>
      <c r="F237" s="30"/>
      <c r="G237" s="30"/>
      <c r="H237" s="30"/>
      <c r="I237" s="36"/>
    </row>
    <row r="238" customFormat="false" ht="15.75" hidden="false" customHeight="false" outlineLevel="0" collapsed="false">
      <c r="E238" s="30"/>
      <c r="F238" s="30"/>
      <c r="G238" s="30"/>
      <c r="H238" s="30"/>
      <c r="I238" s="36"/>
    </row>
    <row r="239" customFormat="false" ht="15.75" hidden="false" customHeight="false" outlineLevel="0" collapsed="false">
      <c r="E239" s="30"/>
      <c r="F239" s="30"/>
      <c r="G239" s="30"/>
      <c r="H239" s="30"/>
      <c r="I239" s="36"/>
    </row>
    <row r="240" customFormat="false" ht="15.75" hidden="false" customHeight="false" outlineLevel="0" collapsed="false">
      <c r="E240" s="30"/>
      <c r="F240" s="30"/>
      <c r="G240" s="30"/>
      <c r="H240" s="30"/>
      <c r="I240" s="36"/>
    </row>
    <row r="241" customFormat="false" ht="15.75" hidden="false" customHeight="false" outlineLevel="0" collapsed="false">
      <c r="E241" s="30"/>
      <c r="F241" s="30"/>
      <c r="G241" s="30"/>
      <c r="H241" s="30"/>
      <c r="I241" s="36"/>
    </row>
    <row r="242" customFormat="false" ht="15.75" hidden="false" customHeight="false" outlineLevel="0" collapsed="false">
      <c r="E242" s="30"/>
      <c r="F242" s="30"/>
      <c r="G242" s="30"/>
      <c r="H242" s="30"/>
      <c r="I242" s="36"/>
    </row>
    <row r="243" customFormat="false" ht="15.75" hidden="false" customHeight="false" outlineLevel="0" collapsed="false">
      <c r="E243" s="30"/>
      <c r="F243" s="30"/>
      <c r="G243" s="30"/>
      <c r="H243" s="30"/>
      <c r="I243" s="36"/>
    </row>
    <row r="244" customFormat="false" ht="15.75" hidden="false" customHeight="false" outlineLevel="0" collapsed="false">
      <c r="E244" s="30"/>
      <c r="F244" s="30"/>
      <c r="G244" s="30"/>
      <c r="H244" s="30"/>
      <c r="I244" s="36"/>
    </row>
    <row r="245" customFormat="false" ht="15.75" hidden="false" customHeight="false" outlineLevel="0" collapsed="false">
      <c r="E245" s="30"/>
      <c r="F245" s="30"/>
      <c r="G245" s="30"/>
      <c r="H245" s="30"/>
      <c r="I245" s="36"/>
    </row>
    <row r="246" customFormat="false" ht="15.75" hidden="false" customHeight="false" outlineLevel="0" collapsed="false">
      <c r="E246" s="30"/>
      <c r="F246" s="30"/>
      <c r="G246" s="30"/>
      <c r="H246" s="30"/>
      <c r="I246" s="36"/>
    </row>
    <row r="247" customFormat="false" ht="15.75" hidden="false" customHeight="false" outlineLevel="0" collapsed="false">
      <c r="E247" s="30"/>
      <c r="F247" s="30"/>
      <c r="G247" s="30"/>
      <c r="H247" s="30"/>
      <c r="I247" s="36"/>
    </row>
    <row r="248" customFormat="false" ht="15.75" hidden="false" customHeight="false" outlineLevel="0" collapsed="false">
      <c r="E248" s="30"/>
      <c r="F248" s="30"/>
      <c r="G248" s="30"/>
      <c r="H248" s="30"/>
      <c r="I248" s="36"/>
    </row>
    <row r="249" customFormat="false" ht="15.75" hidden="false" customHeight="false" outlineLevel="0" collapsed="false">
      <c r="E249" s="30"/>
      <c r="F249" s="30"/>
      <c r="G249" s="30"/>
      <c r="H249" s="30"/>
      <c r="I249" s="36"/>
    </row>
    <row r="250" customFormat="false" ht="15.75" hidden="false" customHeight="false" outlineLevel="0" collapsed="false">
      <c r="E250" s="30"/>
      <c r="F250" s="30"/>
      <c r="G250" s="30"/>
      <c r="H250" s="30"/>
      <c r="I250" s="36"/>
    </row>
    <row r="251" customFormat="false" ht="15.75" hidden="false" customHeight="false" outlineLevel="0" collapsed="false">
      <c r="E251" s="30"/>
      <c r="F251" s="30"/>
      <c r="G251" s="30"/>
      <c r="H251" s="30"/>
      <c r="I251" s="36"/>
    </row>
    <row r="252" customFormat="false" ht="15.75" hidden="false" customHeight="false" outlineLevel="0" collapsed="false">
      <c r="E252" s="30"/>
      <c r="F252" s="30"/>
      <c r="G252" s="30"/>
      <c r="H252" s="30"/>
      <c r="I252" s="36"/>
    </row>
    <row r="253" customFormat="false" ht="15.75" hidden="false" customHeight="false" outlineLevel="0" collapsed="false">
      <c r="E253" s="30"/>
      <c r="F253" s="30"/>
      <c r="G253" s="30"/>
      <c r="H253" s="30"/>
      <c r="I253" s="36"/>
    </row>
    <row r="254" customFormat="false" ht="15.75" hidden="false" customHeight="false" outlineLevel="0" collapsed="false">
      <c r="E254" s="30"/>
      <c r="F254" s="30"/>
      <c r="G254" s="30"/>
      <c r="H254" s="30"/>
      <c r="I254" s="36"/>
    </row>
    <row r="255" customFormat="false" ht="15.75" hidden="false" customHeight="false" outlineLevel="0" collapsed="false">
      <c r="E255" s="30"/>
      <c r="F255" s="30"/>
      <c r="G255" s="30"/>
      <c r="H255" s="30"/>
      <c r="I255" s="36"/>
    </row>
    <row r="256" customFormat="false" ht="15.75" hidden="false" customHeight="false" outlineLevel="0" collapsed="false">
      <c r="E256" s="30"/>
      <c r="F256" s="30"/>
      <c r="G256" s="30"/>
      <c r="H256" s="30"/>
      <c r="I256" s="36"/>
    </row>
    <row r="257" customFormat="false" ht="15.75" hidden="false" customHeight="false" outlineLevel="0" collapsed="false">
      <c r="E257" s="30"/>
      <c r="F257" s="30"/>
      <c r="G257" s="30"/>
      <c r="H257" s="30"/>
      <c r="I257" s="36"/>
    </row>
    <row r="258" customFormat="false" ht="15.75" hidden="false" customHeight="false" outlineLevel="0" collapsed="false">
      <c r="E258" s="30"/>
      <c r="F258" s="30"/>
      <c r="G258" s="30"/>
      <c r="H258" s="30"/>
      <c r="I258" s="36"/>
    </row>
    <row r="259" customFormat="false" ht="15.75" hidden="false" customHeight="false" outlineLevel="0" collapsed="false">
      <c r="E259" s="30"/>
      <c r="F259" s="30"/>
      <c r="G259" s="30"/>
      <c r="H259" s="30"/>
      <c r="I259" s="36"/>
    </row>
    <row r="260" customFormat="false" ht="15.75" hidden="false" customHeight="false" outlineLevel="0" collapsed="false">
      <c r="E260" s="30"/>
      <c r="F260" s="30"/>
      <c r="G260" s="30"/>
      <c r="H260" s="30"/>
      <c r="I260" s="36"/>
    </row>
    <row r="261" customFormat="false" ht="15.75" hidden="false" customHeight="false" outlineLevel="0" collapsed="false">
      <c r="E261" s="30"/>
      <c r="F261" s="30"/>
      <c r="G261" s="30"/>
      <c r="H261" s="30"/>
      <c r="I261" s="36"/>
    </row>
    <row r="262" customFormat="false" ht="15.75" hidden="false" customHeight="false" outlineLevel="0" collapsed="false">
      <c r="E262" s="30"/>
      <c r="F262" s="30"/>
      <c r="G262" s="30"/>
      <c r="H262" s="30"/>
      <c r="I262" s="36"/>
    </row>
    <row r="263" customFormat="false" ht="15.75" hidden="false" customHeight="false" outlineLevel="0" collapsed="false">
      <c r="E263" s="30"/>
      <c r="F263" s="30"/>
      <c r="G263" s="30"/>
      <c r="H263" s="30"/>
      <c r="I263" s="36"/>
    </row>
    <row r="264" customFormat="false" ht="15.75" hidden="false" customHeight="false" outlineLevel="0" collapsed="false">
      <c r="E264" s="30"/>
      <c r="F264" s="30"/>
      <c r="G264" s="30"/>
      <c r="H264" s="30"/>
      <c r="I264" s="36"/>
    </row>
    <row r="265" customFormat="false" ht="15.75" hidden="false" customHeight="false" outlineLevel="0" collapsed="false">
      <c r="E265" s="30"/>
      <c r="F265" s="30"/>
      <c r="G265" s="30"/>
      <c r="H265" s="30"/>
      <c r="I265" s="36"/>
    </row>
    <row r="266" customFormat="false" ht="15.75" hidden="false" customHeight="false" outlineLevel="0" collapsed="false">
      <c r="E266" s="30"/>
      <c r="F266" s="30"/>
      <c r="G266" s="30"/>
      <c r="H266" s="30"/>
      <c r="I266" s="36"/>
    </row>
    <row r="267" customFormat="false" ht="15.75" hidden="false" customHeight="false" outlineLevel="0" collapsed="false">
      <c r="E267" s="30"/>
      <c r="F267" s="30"/>
      <c r="G267" s="30"/>
      <c r="H267" s="30"/>
      <c r="I267" s="36"/>
    </row>
    <row r="268" customFormat="false" ht="15.75" hidden="false" customHeight="false" outlineLevel="0" collapsed="false">
      <c r="E268" s="30"/>
      <c r="F268" s="30"/>
      <c r="G268" s="30"/>
      <c r="H268" s="30"/>
      <c r="I268" s="36"/>
    </row>
    <row r="269" customFormat="false" ht="15.75" hidden="false" customHeight="false" outlineLevel="0" collapsed="false">
      <c r="E269" s="30"/>
      <c r="F269" s="30"/>
      <c r="G269" s="30"/>
      <c r="H269" s="30"/>
      <c r="I269" s="36"/>
    </row>
    <row r="270" customFormat="false" ht="15.75" hidden="false" customHeight="false" outlineLevel="0" collapsed="false">
      <c r="E270" s="30"/>
      <c r="F270" s="30"/>
      <c r="G270" s="30"/>
      <c r="H270" s="30"/>
      <c r="I270" s="36"/>
    </row>
    <row r="271" customFormat="false" ht="15.75" hidden="false" customHeight="false" outlineLevel="0" collapsed="false">
      <c r="E271" s="30"/>
      <c r="F271" s="30"/>
      <c r="G271" s="30"/>
      <c r="H271" s="30"/>
      <c r="I271" s="36"/>
    </row>
    <row r="272" customFormat="false" ht="15.75" hidden="false" customHeight="false" outlineLevel="0" collapsed="false">
      <c r="E272" s="30"/>
      <c r="F272" s="30"/>
      <c r="G272" s="30"/>
      <c r="H272" s="30"/>
      <c r="I272" s="36"/>
    </row>
    <row r="273" customFormat="false" ht="15.75" hidden="false" customHeight="false" outlineLevel="0" collapsed="false">
      <c r="E273" s="30"/>
      <c r="F273" s="30"/>
      <c r="G273" s="30"/>
      <c r="H273" s="30"/>
      <c r="I273" s="36"/>
    </row>
    <row r="274" customFormat="false" ht="15.75" hidden="false" customHeight="false" outlineLevel="0" collapsed="false">
      <c r="E274" s="30"/>
      <c r="F274" s="30"/>
      <c r="G274" s="30"/>
      <c r="H274" s="30"/>
      <c r="I274" s="36"/>
    </row>
    <row r="275" customFormat="false" ht="15.75" hidden="false" customHeight="false" outlineLevel="0" collapsed="false">
      <c r="E275" s="30"/>
      <c r="F275" s="30"/>
      <c r="G275" s="30"/>
      <c r="H275" s="30"/>
      <c r="I275" s="36"/>
    </row>
    <row r="276" customFormat="false" ht="15.75" hidden="false" customHeight="false" outlineLevel="0" collapsed="false">
      <c r="E276" s="30"/>
      <c r="F276" s="30"/>
      <c r="G276" s="30"/>
      <c r="H276" s="30"/>
      <c r="I276" s="36"/>
    </row>
    <row r="277" customFormat="false" ht="15.75" hidden="false" customHeight="false" outlineLevel="0" collapsed="false">
      <c r="E277" s="30"/>
      <c r="F277" s="30"/>
      <c r="G277" s="30"/>
      <c r="H277" s="30"/>
      <c r="I277" s="36"/>
    </row>
    <row r="278" customFormat="false" ht="15.75" hidden="false" customHeight="false" outlineLevel="0" collapsed="false">
      <c r="E278" s="30"/>
      <c r="F278" s="30"/>
      <c r="G278" s="30"/>
      <c r="H278" s="30"/>
      <c r="I278" s="36"/>
    </row>
    <row r="279" customFormat="false" ht="15.75" hidden="false" customHeight="false" outlineLevel="0" collapsed="false">
      <c r="E279" s="30"/>
      <c r="F279" s="30"/>
      <c r="G279" s="30"/>
      <c r="H279" s="30"/>
      <c r="I279" s="36"/>
    </row>
    <row r="280" customFormat="false" ht="15.75" hidden="false" customHeight="false" outlineLevel="0" collapsed="false">
      <c r="E280" s="30"/>
      <c r="F280" s="30"/>
      <c r="G280" s="30"/>
      <c r="H280" s="30"/>
      <c r="I280" s="36"/>
    </row>
    <row r="281" customFormat="false" ht="15.75" hidden="false" customHeight="false" outlineLevel="0" collapsed="false">
      <c r="E281" s="30"/>
      <c r="F281" s="30"/>
      <c r="G281" s="30"/>
      <c r="H281" s="30"/>
      <c r="I281" s="36"/>
    </row>
    <row r="282" customFormat="false" ht="15.75" hidden="false" customHeight="false" outlineLevel="0" collapsed="false">
      <c r="E282" s="30"/>
      <c r="F282" s="30"/>
      <c r="G282" s="30"/>
      <c r="H282" s="30"/>
      <c r="I282" s="36"/>
    </row>
    <row r="283" customFormat="false" ht="15.75" hidden="false" customHeight="false" outlineLevel="0" collapsed="false">
      <c r="E283" s="30"/>
      <c r="F283" s="30"/>
      <c r="G283" s="30"/>
      <c r="H283" s="30"/>
      <c r="I283" s="36"/>
    </row>
    <row r="284" customFormat="false" ht="15.75" hidden="false" customHeight="false" outlineLevel="0" collapsed="false">
      <c r="E284" s="30"/>
      <c r="F284" s="30"/>
      <c r="G284" s="30"/>
      <c r="H284" s="30"/>
      <c r="I284" s="36"/>
    </row>
    <row r="285" customFormat="false" ht="15.75" hidden="false" customHeight="false" outlineLevel="0" collapsed="false">
      <c r="E285" s="30"/>
      <c r="F285" s="30"/>
      <c r="G285" s="30"/>
      <c r="H285" s="30"/>
      <c r="I285" s="36"/>
    </row>
    <row r="286" customFormat="false" ht="15.75" hidden="false" customHeight="false" outlineLevel="0" collapsed="false">
      <c r="E286" s="30"/>
      <c r="F286" s="30"/>
      <c r="G286" s="30"/>
      <c r="H286" s="30"/>
      <c r="I286" s="36"/>
    </row>
    <row r="287" customFormat="false" ht="15.75" hidden="false" customHeight="false" outlineLevel="0" collapsed="false">
      <c r="E287" s="30"/>
      <c r="F287" s="30"/>
      <c r="G287" s="30"/>
      <c r="H287" s="30"/>
      <c r="I287" s="36"/>
    </row>
    <row r="288" customFormat="false" ht="15.75" hidden="false" customHeight="false" outlineLevel="0" collapsed="false">
      <c r="E288" s="30"/>
      <c r="F288" s="30"/>
      <c r="G288" s="30"/>
      <c r="H288" s="30"/>
      <c r="I288" s="36"/>
    </row>
    <row r="289" customFormat="false" ht="15.75" hidden="false" customHeight="false" outlineLevel="0" collapsed="false">
      <c r="E289" s="30"/>
      <c r="F289" s="30"/>
      <c r="G289" s="30"/>
      <c r="H289" s="30"/>
      <c r="I289" s="36"/>
    </row>
    <row r="290" customFormat="false" ht="15.75" hidden="false" customHeight="false" outlineLevel="0" collapsed="false">
      <c r="E290" s="30"/>
      <c r="F290" s="30"/>
      <c r="G290" s="30"/>
      <c r="H290" s="30"/>
      <c r="I290" s="36"/>
    </row>
    <row r="291" customFormat="false" ht="15.75" hidden="false" customHeight="false" outlineLevel="0" collapsed="false">
      <c r="E291" s="30"/>
      <c r="F291" s="30"/>
      <c r="G291" s="30"/>
      <c r="H291" s="30"/>
      <c r="I291" s="36"/>
    </row>
    <row r="292" customFormat="false" ht="15.75" hidden="false" customHeight="false" outlineLevel="0" collapsed="false">
      <c r="E292" s="30"/>
      <c r="F292" s="30"/>
      <c r="G292" s="30"/>
      <c r="H292" s="30"/>
      <c r="I292" s="36"/>
    </row>
    <row r="293" customFormat="false" ht="15.75" hidden="false" customHeight="false" outlineLevel="0" collapsed="false">
      <c r="E293" s="30"/>
      <c r="F293" s="30"/>
      <c r="G293" s="30"/>
      <c r="H293" s="30"/>
      <c r="I293" s="36"/>
    </row>
    <row r="294" customFormat="false" ht="15.75" hidden="false" customHeight="false" outlineLevel="0" collapsed="false">
      <c r="E294" s="30"/>
      <c r="F294" s="30"/>
      <c r="G294" s="30"/>
      <c r="H294" s="30"/>
      <c r="I294" s="36"/>
    </row>
    <row r="295" customFormat="false" ht="15.75" hidden="false" customHeight="false" outlineLevel="0" collapsed="false">
      <c r="E295" s="30"/>
      <c r="F295" s="30"/>
      <c r="G295" s="30"/>
      <c r="H295" s="30"/>
      <c r="I295" s="36"/>
    </row>
    <row r="296" customFormat="false" ht="15.75" hidden="false" customHeight="false" outlineLevel="0" collapsed="false">
      <c r="E296" s="30"/>
      <c r="F296" s="30"/>
      <c r="G296" s="30"/>
      <c r="H296" s="30"/>
      <c r="I296" s="36"/>
    </row>
    <row r="297" customFormat="false" ht="15.75" hidden="false" customHeight="false" outlineLevel="0" collapsed="false">
      <c r="E297" s="30"/>
      <c r="F297" s="30"/>
      <c r="G297" s="30"/>
      <c r="H297" s="30"/>
      <c r="I297" s="36"/>
    </row>
    <row r="298" customFormat="false" ht="15.75" hidden="false" customHeight="false" outlineLevel="0" collapsed="false">
      <c r="E298" s="30"/>
      <c r="F298" s="30"/>
      <c r="G298" s="30"/>
      <c r="H298" s="30"/>
      <c r="I298" s="36"/>
    </row>
    <row r="299" customFormat="false" ht="15.75" hidden="false" customHeight="false" outlineLevel="0" collapsed="false">
      <c r="E299" s="30"/>
      <c r="F299" s="30"/>
      <c r="G299" s="30"/>
      <c r="H299" s="30"/>
      <c r="I299" s="36"/>
    </row>
    <row r="300" customFormat="false" ht="15.75" hidden="false" customHeight="false" outlineLevel="0" collapsed="false">
      <c r="E300" s="30"/>
      <c r="F300" s="30"/>
      <c r="G300" s="30"/>
      <c r="H300" s="30"/>
      <c r="I300" s="36"/>
    </row>
    <row r="301" customFormat="false" ht="15.75" hidden="false" customHeight="false" outlineLevel="0" collapsed="false">
      <c r="E301" s="30"/>
      <c r="F301" s="30"/>
      <c r="G301" s="30"/>
      <c r="H301" s="30"/>
      <c r="I301" s="36"/>
    </row>
    <row r="302" customFormat="false" ht="15.75" hidden="false" customHeight="false" outlineLevel="0" collapsed="false">
      <c r="E302" s="30"/>
      <c r="F302" s="30"/>
      <c r="G302" s="30"/>
      <c r="H302" s="30"/>
      <c r="I302" s="36"/>
    </row>
    <row r="303" customFormat="false" ht="15.75" hidden="false" customHeight="false" outlineLevel="0" collapsed="false">
      <c r="E303" s="30"/>
      <c r="F303" s="30"/>
      <c r="G303" s="30"/>
      <c r="H303" s="30"/>
      <c r="I303" s="36"/>
    </row>
    <row r="304" customFormat="false" ht="15.75" hidden="false" customHeight="false" outlineLevel="0" collapsed="false">
      <c r="E304" s="30"/>
      <c r="F304" s="30"/>
      <c r="G304" s="30"/>
      <c r="H304" s="30"/>
      <c r="I304" s="36"/>
    </row>
    <row r="305" customFormat="false" ht="15.75" hidden="false" customHeight="false" outlineLevel="0" collapsed="false">
      <c r="E305" s="30"/>
      <c r="F305" s="30"/>
      <c r="G305" s="30"/>
      <c r="H305" s="30"/>
      <c r="I305" s="36"/>
    </row>
    <row r="306" customFormat="false" ht="15.75" hidden="false" customHeight="false" outlineLevel="0" collapsed="false">
      <c r="E306" s="30"/>
      <c r="F306" s="30"/>
      <c r="G306" s="30"/>
      <c r="H306" s="30"/>
      <c r="I306" s="36"/>
    </row>
    <row r="307" customFormat="false" ht="15.75" hidden="false" customHeight="false" outlineLevel="0" collapsed="false">
      <c r="E307" s="30"/>
      <c r="F307" s="30"/>
      <c r="G307" s="30"/>
      <c r="H307" s="30"/>
      <c r="I307" s="36"/>
    </row>
    <row r="308" customFormat="false" ht="15.75" hidden="false" customHeight="false" outlineLevel="0" collapsed="false">
      <c r="E308" s="30"/>
      <c r="F308" s="30"/>
      <c r="G308" s="30"/>
      <c r="H308" s="30"/>
      <c r="I308" s="36"/>
    </row>
    <row r="309" customFormat="false" ht="15.75" hidden="false" customHeight="false" outlineLevel="0" collapsed="false">
      <c r="E309" s="30"/>
      <c r="F309" s="30"/>
      <c r="G309" s="30"/>
      <c r="H309" s="30"/>
      <c r="I309" s="36"/>
    </row>
    <row r="310" customFormat="false" ht="15.75" hidden="false" customHeight="false" outlineLevel="0" collapsed="false">
      <c r="E310" s="30"/>
      <c r="F310" s="30"/>
      <c r="G310" s="30"/>
      <c r="H310" s="30"/>
      <c r="I310" s="36"/>
    </row>
    <row r="311" customFormat="false" ht="15.75" hidden="false" customHeight="false" outlineLevel="0" collapsed="false">
      <c r="E311" s="30"/>
      <c r="F311" s="30"/>
      <c r="G311" s="30"/>
      <c r="H311" s="30"/>
      <c r="I311" s="36"/>
    </row>
    <row r="312" customFormat="false" ht="15.75" hidden="false" customHeight="false" outlineLevel="0" collapsed="false">
      <c r="E312" s="30"/>
      <c r="F312" s="30"/>
      <c r="G312" s="30"/>
      <c r="H312" s="30"/>
      <c r="I312" s="36"/>
    </row>
    <row r="313" customFormat="false" ht="15.75" hidden="false" customHeight="false" outlineLevel="0" collapsed="false">
      <c r="E313" s="30"/>
      <c r="F313" s="30"/>
      <c r="G313" s="30"/>
      <c r="H313" s="30"/>
      <c r="I313" s="36"/>
    </row>
    <row r="314" customFormat="false" ht="15.75" hidden="false" customHeight="false" outlineLevel="0" collapsed="false">
      <c r="E314" s="30"/>
      <c r="F314" s="30"/>
      <c r="G314" s="30"/>
      <c r="H314" s="30"/>
      <c r="I314" s="36"/>
    </row>
    <row r="315" customFormat="false" ht="15.75" hidden="false" customHeight="false" outlineLevel="0" collapsed="false">
      <c r="E315" s="30"/>
      <c r="F315" s="30"/>
      <c r="G315" s="30"/>
      <c r="H315" s="30"/>
      <c r="I315" s="36"/>
    </row>
    <row r="316" customFormat="false" ht="15.75" hidden="false" customHeight="false" outlineLevel="0" collapsed="false">
      <c r="E316" s="30"/>
      <c r="F316" s="30"/>
      <c r="G316" s="30"/>
      <c r="H316" s="30"/>
      <c r="I316" s="36"/>
    </row>
    <row r="317" customFormat="false" ht="15.75" hidden="false" customHeight="false" outlineLevel="0" collapsed="false">
      <c r="E317" s="30"/>
      <c r="F317" s="30"/>
      <c r="G317" s="30"/>
      <c r="H317" s="30"/>
      <c r="I317" s="36"/>
    </row>
    <row r="318" customFormat="false" ht="15.75" hidden="false" customHeight="false" outlineLevel="0" collapsed="false">
      <c r="E318" s="30"/>
      <c r="F318" s="30"/>
      <c r="G318" s="30"/>
      <c r="H318" s="30"/>
      <c r="I318" s="36"/>
    </row>
    <row r="319" customFormat="false" ht="15.75" hidden="false" customHeight="false" outlineLevel="0" collapsed="false">
      <c r="E319" s="30"/>
      <c r="F319" s="30"/>
      <c r="G319" s="30"/>
      <c r="H319" s="30"/>
      <c r="I319" s="36"/>
    </row>
    <row r="320" customFormat="false" ht="15.75" hidden="false" customHeight="false" outlineLevel="0" collapsed="false">
      <c r="E320" s="30"/>
      <c r="F320" s="30"/>
      <c r="G320" s="30"/>
      <c r="H320" s="30"/>
      <c r="I320" s="36"/>
    </row>
    <row r="321" customFormat="false" ht="15.75" hidden="false" customHeight="false" outlineLevel="0" collapsed="false">
      <c r="E321" s="30"/>
      <c r="F321" s="30"/>
      <c r="G321" s="30"/>
      <c r="H321" s="30"/>
      <c r="I321" s="36"/>
    </row>
    <row r="322" customFormat="false" ht="15.75" hidden="false" customHeight="false" outlineLevel="0" collapsed="false">
      <c r="E322" s="30"/>
      <c r="F322" s="30"/>
      <c r="G322" s="30"/>
      <c r="H322" s="30"/>
      <c r="I322" s="36"/>
    </row>
    <row r="323" customFormat="false" ht="15.75" hidden="false" customHeight="false" outlineLevel="0" collapsed="false">
      <c r="E323" s="30"/>
      <c r="F323" s="30"/>
      <c r="G323" s="30"/>
      <c r="H323" s="30"/>
      <c r="I323" s="36"/>
    </row>
    <row r="324" customFormat="false" ht="15.75" hidden="false" customHeight="false" outlineLevel="0" collapsed="false">
      <c r="E324" s="30"/>
      <c r="F324" s="30"/>
      <c r="G324" s="30"/>
      <c r="H324" s="30"/>
      <c r="I324" s="36"/>
    </row>
    <row r="325" customFormat="false" ht="15.75" hidden="false" customHeight="false" outlineLevel="0" collapsed="false">
      <c r="E325" s="30"/>
      <c r="F325" s="30"/>
      <c r="G325" s="30"/>
      <c r="H325" s="30"/>
      <c r="I325" s="36"/>
    </row>
    <row r="326" customFormat="false" ht="15.75" hidden="false" customHeight="false" outlineLevel="0" collapsed="false">
      <c r="E326" s="30"/>
      <c r="F326" s="30"/>
      <c r="G326" s="30"/>
      <c r="H326" s="30"/>
      <c r="I326" s="36"/>
    </row>
    <row r="327" customFormat="false" ht="15.75" hidden="false" customHeight="false" outlineLevel="0" collapsed="false">
      <c r="E327" s="30"/>
      <c r="F327" s="30"/>
      <c r="G327" s="30"/>
      <c r="H327" s="30"/>
      <c r="I327" s="36"/>
    </row>
    <row r="328" customFormat="false" ht="15.75" hidden="false" customHeight="false" outlineLevel="0" collapsed="false">
      <c r="E328" s="30"/>
      <c r="F328" s="30"/>
      <c r="G328" s="30"/>
      <c r="H328" s="30"/>
      <c r="I328" s="36"/>
    </row>
    <row r="329" customFormat="false" ht="15.75" hidden="false" customHeight="false" outlineLevel="0" collapsed="false">
      <c r="E329" s="30"/>
      <c r="F329" s="30"/>
      <c r="G329" s="30"/>
      <c r="H329" s="30"/>
      <c r="I329" s="36"/>
    </row>
    <row r="330" customFormat="false" ht="15.75" hidden="false" customHeight="false" outlineLevel="0" collapsed="false">
      <c r="E330" s="30"/>
      <c r="F330" s="30"/>
      <c r="G330" s="30"/>
      <c r="H330" s="30"/>
      <c r="I330" s="36"/>
    </row>
    <row r="331" customFormat="false" ht="15.75" hidden="false" customHeight="false" outlineLevel="0" collapsed="false">
      <c r="E331" s="30"/>
      <c r="F331" s="30"/>
      <c r="G331" s="30"/>
      <c r="H331" s="30"/>
      <c r="I331" s="36"/>
    </row>
    <row r="332" customFormat="false" ht="15.75" hidden="false" customHeight="false" outlineLevel="0" collapsed="false">
      <c r="E332" s="30"/>
      <c r="F332" s="30"/>
      <c r="G332" s="30"/>
      <c r="H332" s="30"/>
      <c r="I332" s="36"/>
    </row>
    <row r="333" customFormat="false" ht="15.75" hidden="false" customHeight="false" outlineLevel="0" collapsed="false">
      <c r="E333" s="30"/>
      <c r="F333" s="30"/>
      <c r="G333" s="30"/>
      <c r="H333" s="30"/>
      <c r="I333" s="36"/>
    </row>
    <row r="334" customFormat="false" ht="15.75" hidden="false" customHeight="false" outlineLevel="0" collapsed="false">
      <c r="E334" s="30"/>
      <c r="F334" s="30"/>
      <c r="G334" s="30"/>
      <c r="H334" s="30"/>
      <c r="I334" s="36"/>
    </row>
    <row r="335" customFormat="false" ht="15.75" hidden="false" customHeight="false" outlineLevel="0" collapsed="false">
      <c r="E335" s="30"/>
      <c r="F335" s="30"/>
      <c r="G335" s="30"/>
      <c r="H335" s="30"/>
      <c r="I335" s="36"/>
    </row>
    <row r="336" customFormat="false" ht="15.75" hidden="false" customHeight="false" outlineLevel="0" collapsed="false">
      <c r="E336" s="30"/>
      <c r="F336" s="30"/>
      <c r="G336" s="30"/>
      <c r="H336" s="30"/>
      <c r="I336" s="36"/>
    </row>
    <row r="337" customFormat="false" ht="15.75" hidden="false" customHeight="false" outlineLevel="0" collapsed="false">
      <c r="E337" s="30"/>
      <c r="F337" s="30"/>
      <c r="G337" s="30"/>
      <c r="H337" s="30"/>
      <c r="I337" s="36"/>
    </row>
    <row r="338" customFormat="false" ht="15.75" hidden="false" customHeight="false" outlineLevel="0" collapsed="false">
      <c r="E338" s="30"/>
      <c r="F338" s="30"/>
      <c r="G338" s="30"/>
      <c r="H338" s="30"/>
      <c r="I338" s="36"/>
    </row>
    <row r="339" customFormat="false" ht="15.75" hidden="false" customHeight="false" outlineLevel="0" collapsed="false">
      <c r="E339" s="30"/>
      <c r="F339" s="30"/>
      <c r="G339" s="30"/>
      <c r="H339" s="30"/>
      <c r="I339" s="36"/>
    </row>
    <row r="340" customFormat="false" ht="15.75" hidden="false" customHeight="false" outlineLevel="0" collapsed="false">
      <c r="E340" s="30"/>
      <c r="F340" s="30"/>
      <c r="G340" s="30"/>
      <c r="H340" s="30"/>
      <c r="I340" s="36"/>
    </row>
    <row r="341" customFormat="false" ht="15.75" hidden="false" customHeight="false" outlineLevel="0" collapsed="false">
      <c r="E341" s="30"/>
      <c r="F341" s="30"/>
      <c r="G341" s="30"/>
      <c r="H341" s="30"/>
      <c r="I341" s="36"/>
    </row>
    <row r="342" customFormat="false" ht="15.75" hidden="false" customHeight="false" outlineLevel="0" collapsed="false">
      <c r="E342" s="30"/>
      <c r="F342" s="30"/>
      <c r="G342" s="30"/>
      <c r="H342" s="30"/>
      <c r="I342" s="36"/>
    </row>
    <row r="343" customFormat="false" ht="15.75" hidden="false" customHeight="false" outlineLevel="0" collapsed="false">
      <c r="E343" s="30"/>
      <c r="F343" s="30"/>
      <c r="G343" s="30"/>
      <c r="H343" s="30"/>
      <c r="I343" s="36"/>
    </row>
    <row r="344" customFormat="false" ht="15.75" hidden="false" customHeight="false" outlineLevel="0" collapsed="false">
      <c r="E344" s="30"/>
      <c r="F344" s="30"/>
      <c r="G344" s="30"/>
      <c r="H344" s="30"/>
      <c r="I344" s="36"/>
    </row>
    <row r="345" customFormat="false" ht="15.75" hidden="false" customHeight="false" outlineLevel="0" collapsed="false">
      <c r="E345" s="30"/>
      <c r="F345" s="30"/>
      <c r="G345" s="30"/>
      <c r="H345" s="30"/>
      <c r="I345" s="36"/>
    </row>
    <row r="346" customFormat="false" ht="15.75" hidden="false" customHeight="false" outlineLevel="0" collapsed="false">
      <c r="E346" s="30"/>
      <c r="F346" s="30"/>
      <c r="G346" s="30"/>
      <c r="H346" s="30"/>
      <c r="I346" s="36"/>
    </row>
    <row r="347" customFormat="false" ht="15.75" hidden="false" customHeight="false" outlineLevel="0" collapsed="false">
      <c r="E347" s="30"/>
      <c r="F347" s="30"/>
      <c r="G347" s="30"/>
      <c r="H347" s="30"/>
      <c r="I347" s="36"/>
    </row>
    <row r="348" customFormat="false" ht="15.75" hidden="false" customHeight="false" outlineLevel="0" collapsed="false">
      <c r="E348" s="30"/>
      <c r="F348" s="30"/>
      <c r="G348" s="30"/>
      <c r="H348" s="30"/>
      <c r="I348" s="36"/>
    </row>
    <row r="349" customFormat="false" ht="15.75" hidden="false" customHeight="false" outlineLevel="0" collapsed="false">
      <c r="E349" s="30"/>
      <c r="F349" s="30"/>
      <c r="G349" s="30"/>
      <c r="H349" s="30"/>
      <c r="I349" s="36"/>
    </row>
    <row r="350" customFormat="false" ht="15.75" hidden="false" customHeight="false" outlineLevel="0" collapsed="false">
      <c r="E350" s="30"/>
      <c r="F350" s="30"/>
      <c r="G350" s="30"/>
      <c r="H350" s="30"/>
      <c r="I350" s="36"/>
    </row>
    <row r="351" customFormat="false" ht="15.75" hidden="false" customHeight="false" outlineLevel="0" collapsed="false">
      <c r="E351" s="30"/>
      <c r="F351" s="30"/>
      <c r="G351" s="30"/>
      <c r="H351" s="30"/>
      <c r="I351" s="36"/>
    </row>
    <row r="352" customFormat="false" ht="15.75" hidden="false" customHeight="false" outlineLevel="0" collapsed="false">
      <c r="E352" s="30"/>
      <c r="F352" s="30"/>
      <c r="G352" s="30"/>
      <c r="H352" s="30"/>
      <c r="I352" s="36"/>
    </row>
    <row r="353" customFormat="false" ht="15.75" hidden="false" customHeight="false" outlineLevel="0" collapsed="false">
      <c r="E353" s="30"/>
      <c r="F353" s="30"/>
      <c r="G353" s="30"/>
      <c r="H353" s="30"/>
      <c r="I353" s="36"/>
    </row>
    <row r="354" customFormat="false" ht="15.75" hidden="false" customHeight="false" outlineLevel="0" collapsed="false">
      <c r="E354" s="30"/>
      <c r="F354" s="30"/>
      <c r="G354" s="30"/>
      <c r="H354" s="30"/>
      <c r="I354" s="36"/>
    </row>
    <row r="355" customFormat="false" ht="15.75" hidden="false" customHeight="false" outlineLevel="0" collapsed="false">
      <c r="E355" s="30"/>
      <c r="F355" s="30"/>
      <c r="G355" s="30"/>
      <c r="H355" s="30"/>
      <c r="I355" s="36"/>
    </row>
    <row r="356" customFormat="false" ht="15.75" hidden="false" customHeight="false" outlineLevel="0" collapsed="false">
      <c r="E356" s="30"/>
      <c r="F356" s="30"/>
      <c r="G356" s="30"/>
      <c r="H356" s="30"/>
      <c r="I356" s="36"/>
    </row>
    <row r="357" customFormat="false" ht="15.75" hidden="false" customHeight="false" outlineLevel="0" collapsed="false">
      <c r="E357" s="30"/>
      <c r="F357" s="30"/>
      <c r="G357" s="30"/>
      <c r="H357" s="30"/>
      <c r="I357" s="36"/>
    </row>
    <row r="358" customFormat="false" ht="15.75" hidden="false" customHeight="false" outlineLevel="0" collapsed="false">
      <c r="E358" s="30"/>
      <c r="F358" s="30"/>
      <c r="G358" s="30"/>
      <c r="H358" s="30"/>
      <c r="I358" s="36"/>
    </row>
    <row r="359" customFormat="false" ht="15.75" hidden="false" customHeight="false" outlineLevel="0" collapsed="false">
      <c r="E359" s="30"/>
      <c r="F359" s="30"/>
      <c r="G359" s="30"/>
      <c r="H359" s="30"/>
      <c r="I359" s="36"/>
    </row>
    <row r="360" customFormat="false" ht="15.75" hidden="false" customHeight="false" outlineLevel="0" collapsed="false">
      <c r="E360" s="30"/>
      <c r="F360" s="30"/>
      <c r="G360" s="30"/>
      <c r="H360" s="30"/>
      <c r="I360" s="36"/>
    </row>
    <row r="361" customFormat="false" ht="15.75" hidden="false" customHeight="false" outlineLevel="0" collapsed="false">
      <c r="E361" s="30"/>
      <c r="F361" s="30"/>
      <c r="G361" s="30"/>
      <c r="H361" s="30"/>
      <c r="I361" s="36"/>
    </row>
    <row r="362" customFormat="false" ht="15.75" hidden="false" customHeight="false" outlineLevel="0" collapsed="false">
      <c r="E362" s="30"/>
      <c r="F362" s="30"/>
      <c r="G362" s="30"/>
      <c r="H362" s="30"/>
      <c r="I362" s="36"/>
    </row>
    <row r="363" customFormat="false" ht="15.75" hidden="false" customHeight="false" outlineLevel="0" collapsed="false">
      <c r="E363" s="30"/>
      <c r="F363" s="30"/>
      <c r="G363" s="30"/>
      <c r="H363" s="30"/>
      <c r="I363" s="36"/>
    </row>
    <row r="364" customFormat="false" ht="15.75" hidden="false" customHeight="false" outlineLevel="0" collapsed="false">
      <c r="E364" s="30"/>
      <c r="F364" s="30"/>
      <c r="G364" s="30"/>
      <c r="H364" s="30"/>
      <c r="I364" s="36"/>
    </row>
    <row r="365" customFormat="false" ht="15.75" hidden="false" customHeight="false" outlineLevel="0" collapsed="false">
      <c r="E365" s="30"/>
      <c r="F365" s="30"/>
      <c r="G365" s="30"/>
      <c r="H365" s="30"/>
      <c r="I365" s="36"/>
    </row>
    <row r="366" customFormat="false" ht="15.75" hidden="false" customHeight="false" outlineLevel="0" collapsed="false">
      <c r="E366" s="30"/>
      <c r="F366" s="30"/>
      <c r="G366" s="30"/>
      <c r="H366" s="30"/>
      <c r="I366" s="36"/>
    </row>
    <row r="367" customFormat="false" ht="15.75" hidden="false" customHeight="false" outlineLevel="0" collapsed="false">
      <c r="E367" s="30"/>
      <c r="F367" s="30"/>
      <c r="G367" s="30"/>
      <c r="H367" s="30"/>
      <c r="I367" s="36"/>
    </row>
    <row r="368" customFormat="false" ht="15.75" hidden="false" customHeight="false" outlineLevel="0" collapsed="false">
      <c r="E368" s="30"/>
      <c r="F368" s="30"/>
      <c r="G368" s="30"/>
      <c r="H368" s="30"/>
      <c r="I368" s="36"/>
    </row>
    <row r="369" customFormat="false" ht="15.75" hidden="false" customHeight="false" outlineLevel="0" collapsed="false">
      <c r="E369" s="30"/>
      <c r="F369" s="30"/>
      <c r="G369" s="30"/>
      <c r="H369" s="30"/>
      <c r="I369" s="36"/>
    </row>
    <row r="370" customFormat="false" ht="15.75" hidden="false" customHeight="false" outlineLevel="0" collapsed="false">
      <c r="E370" s="30"/>
      <c r="F370" s="30"/>
      <c r="G370" s="30"/>
      <c r="H370" s="30"/>
      <c r="I370" s="36"/>
    </row>
    <row r="371" customFormat="false" ht="15.75" hidden="false" customHeight="false" outlineLevel="0" collapsed="false">
      <c r="E371" s="30"/>
      <c r="F371" s="30"/>
      <c r="G371" s="30"/>
      <c r="H371" s="30"/>
      <c r="I371" s="36"/>
    </row>
    <row r="372" customFormat="false" ht="15.75" hidden="false" customHeight="false" outlineLevel="0" collapsed="false">
      <c r="E372" s="30"/>
      <c r="F372" s="30"/>
      <c r="G372" s="30"/>
      <c r="H372" s="30"/>
      <c r="I372" s="36"/>
    </row>
    <row r="373" customFormat="false" ht="15.75" hidden="false" customHeight="false" outlineLevel="0" collapsed="false">
      <c r="E373" s="30"/>
      <c r="F373" s="30"/>
      <c r="G373" s="30"/>
      <c r="H373" s="30"/>
      <c r="I373" s="36"/>
    </row>
    <row r="374" customFormat="false" ht="15.75" hidden="false" customHeight="false" outlineLevel="0" collapsed="false">
      <c r="E374" s="30"/>
      <c r="F374" s="30"/>
      <c r="G374" s="30"/>
      <c r="H374" s="30"/>
      <c r="I374" s="36"/>
    </row>
    <row r="375" customFormat="false" ht="15.75" hidden="false" customHeight="false" outlineLevel="0" collapsed="false">
      <c r="E375" s="30"/>
      <c r="F375" s="30"/>
      <c r="G375" s="30"/>
      <c r="H375" s="30"/>
      <c r="I375" s="36"/>
    </row>
    <row r="376" customFormat="false" ht="15.75" hidden="false" customHeight="false" outlineLevel="0" collapsed="false">
      <c r="E376" s="30"/>
      <c r="F376" s="30"/>
      <c r="G376" s="30"/>
      <c r="H376" s="30"/>
      <c r="I376" s="36"/>
    </row>
    <row r="377" customFormat="false" ht="15.75" hidden="false" customHeight="false" outlineLevel="0" collapsed="false">
      <c r="E377" s="30"/>
      <c r="F377" s="30"/>
      <c r="G377" s="30"/>
      <c r="H377" s="30"/>
      <c r="I377" s="36"/>
    </row>
    <row r="378" customFormat="false" ht="15.75" hidden="false" customHeight="false" outlineLevel="0" collapsed="false">
      <c r="E378" s="30"/>
      <c r="F378" s="30"/>
      <c r="G378" s="30"/>
      <c r="H378" s="30"/>
      <c r="I378" s="36"/>
    </row>
    <row r="379" customFormat="false" ht="15.75" hidden="false" customHeight="false" outlineLevel="0" collapsed="false">
      <c r="E379" s="30"/>
      <c r="F379" s="30"/>
      <c r="G379" s="30"/>
      <c r="H379" s="30"/>
      <c r="I379" s="36"/>
    </row>
    <row r="380" customFormat="false" ht="15.75" hidden="false" customHeight="false" outlineLevel="0" collapsed="false">
      <c r="E380" s="30"/>
      <c r="F380" s="30"/>
      <c r="G380" s="30"/>
      <c r="H380" s="30"/>
      <c r="I380" s="36"/>
    </row>
    <row r="381" customFormat="false" ht="15.75" hidden="false" customHeight="false" outlineLevel="0" collapsed="false">
      <c r="E381" s="30"/>
      <c r="F381" s="30"/>
      <c r="G381" s="30"/>
      <c r="H381" s="30"/>
      <c r="I381" s="36"/>
    </row>
    <row r="382" customFormat="false" ht="15.75" hidden="false" customHeight="false" outlineLevel="0" collapsed="false">
      <c r="E382" s="30"/>
      <c r="F382" s="30"/>
      <c r="G382" s="30"/>
      <c r="H382" s="30"/>
      <c r="I382" s="36"/>
    </row>
    <row r="383" customFormat="false" ht="15.75" hidden="false" customHeight="false" outlineLevel="0" collapsed="false">
      <c r="E383" s="30"/>
      <c r="F383" s="30"/>
      <c r="G383" s="30"/>
      <c r="H383" s="30"/>
      <c r="I383" s="36"/>
    </row>
    <row r="384" customFormat="false" ht="15.75" hidden="false" customHeight="false" outlineLevel="0" collapsed="false">
      <c r="E384" s="30"/>
      <c r="F384" s="30"/>
      <c r="G384" s="30"/>
      <c r="H384" s="30"/>
      <c r="I384" s="36"/>
    </row>
    <row r="385" customFormat="false" ht="15.75" hidden="false" customHeight="false" outlineLevel="0" collapsed="false">
      <c r="E385" s="30"/>
      <c r="F385" s="30"/>
      <c r="G385" s="30"/>
      <c r="H385" s="30"/>
      <c r="I385" s="36"/>
    </row>
    <row r="386" customFormat="false" ht="15.75" hidden="false" customHeight="false" outlineLevel="0" collapsed="false">
      <c r="E386" s="30"/>
      <c r="F386" s="30"/>
      <c r="G386" s="30"/>
      <c r="H386" s="30"/>
      <c r="I386" s="36"/>
    </row>
    <row r="387" customFormat="false" ht="15.75" hidden="false" customHeight="false" outlineLevel="0" collapsed="false">
      <c r="E387" s="30"/>
      <c r="F387" s="30"/>
      <c r="G387" s="30"/>
      <c r="H387" s="30"/>
      <c r="I387" s="36"/>
    </row>
    <row r="388" customFormat="false" ht="15.75" hidden="false" customHeight="false" outlineLevel="0" collapsed="false">
      <c r="E388" s="30"/>
      <c r="F388" s="30"/>
      <c r="G388" s="30"/>
      <c r="H388" s="30"/>
      <c r="I388" s="36"/>
    </row>
    <row r="389" customFormat="false" ht="15.75" hidden="false" customHeight="false" outlineLevel="0" collapsed="false">
      <c r="E389" s="30"/>
      <c r="F389" s="30"/>
      <c r="G389" s="30"/>
      <c r="H389" s="30"/>
      <c r="I389" s="36"/>
    </row>
    <row r="390" customFormat="false" ht="15.75" hidden="false" customHeight="false" outlineLevel="0" collapsed="false">
      <c r="E390" s="30"/>
      <c r="F390" s="30"/>
      <c r="G390" s="30"/>
      <c r="H390" s="30"/>
      <c r="I390" s="36"/>
    </row>
    <row r="391" customFormat="false" ht="15.75" hidden="false" customHeight="false" outlineLevel="0" collapsed="false">
      <c r="E391" s="30"/>
      <c r="F391" s="30"/>
      <c r="G391" s="30"/>
      <c r="H391" s="30"/>
      <c r="I391" s="36"/>
    </row>
    <row r="392" customFormat="false" ht="15.75" hidden="false" customHeight="false" outlineLevel="0" collapsed="false">
      <c r="E392" s="30"/>
      <c r="F392" s="30"/>
      <c r="G392" s="30"/>
      <c r="H392" s="30"/>
      <c r="I392" s="36"/>
    </row>
    <row r="393" customFormat="false" ht="15.75" hidden="false" customHeight="false" outlineLevel="0" collapsed="false">
      <c r="E393" s="30"/>
      <c r="F393" s="30"/>
      <c r="G393" s="30"/>
      <c r="H393" s="30"/>
      <c r="I393" s="36"/>
    </row>
    <row r="394" customFormat="false" ht="15.75" hidden="false" customHeight="false" outlineLevel="0" collapsed="false">
      <c r="E394" s="30"/>
      <c r="F394" s="30"/>
      <c r="G394" s="30"/>
      <c r="H394" s="30"/>
      <c r="I394" s="36"/>
    </row>
    <row r="395" customFormat="false" ht="15.75" hidden="false" customHeight="false" outlineLevel="0" collapsed="false">
      <c r="E395" s="30"/>
      <c r="F395" s="30"/>
      <c r="G395" s="30"/>
      <c r="H395" s="30"/>
      <c r="I395" s="36"/>
    </row>
    <row r="396" customFormat="false" ht="15.75" hidden="false" customHeight="false" outlineLevel="0" collapsed="false">
      <c r="E396" s="30"/>
      <c r="F396" s="30"/>
      <c r="G396" s="30"/>
      <c r="H396" s="30"/>
      <c r="I396" s="36"/>
    </row>
    <row r="397" customFormat="false" ht="15.75" hidden="false" customHeight="false" outlineLevel="0" collapsed="false">
      <c r="E397" s="30"/>
      <c r="F397" s="30"/>
      <c r="G397" s="30"/>
      <c r="H397" s="30"/>
      <c r="I397" s="36"/>
    </row>
    <row r="398" customFormat="false" ht="15.75" hidden="false" customHeight="false" outlineLevel="0" collapsed="false">
      <c r="E398" s="30"/>
      <c r="F398" s="30"/>
      <c r="G398" s="30"/>
      <c r="H398" s="30"/>
      <c r="I398" s="36"/>
    </row>
    <row r="399" customFormat="false" ht="15.75" hidden="false" customHeight="false" outlineLevel="0" collapsed="false">
      <c r="E399" s="30"/>
      <c r="F399" s="30"/>
      <c r="G399" s="30"/>
      <c r="H399" s="30"/>
      <c r="I399" s="36"/>
    </row>
    <row r="400" customFormat="false" ht="15.75" hidden="false" customHeight="false" outlineLevel="0" collapsed="false">
      <c r="E400" s="30"/>
      <c r="F400" s="30"/>
      <c r="G400" s="30"/>
      <c r="H400" s="30"/>
      <c r="I400" s="36"/>
    </row>
    <row r="401" customFormat="false" ht="15.75" hidden="false" customHeight="false" outlineLevel="0" collapsed="false">
      <c r="E401" s="30"/>
      <c r="F401" s="30"/>
      <c r="G401" s="30"/>
      <c r="H401" s="30"/>
      <c r="I401" s="36"/>
    </row>
    <row r="402" customFormat="false" ht="15.75" hidden="false" customHeight="false" outlineLevel="0" collapsed="false">
      <c r="E402" s="30"/>
      <c r="F402" s="30"/>
      <c r="G402" s="30"/>
      <c r="H402" s="30"/>
      <c r="I402" s="36"/>
    </row>
    <row r="403" customFormat="false" ht="15.75" hidden="false" customHeight="false" outlineLevel="0" collapsed="false">
      <c r="E403" s="30"/>
      <c r="F403" s="30"/>
      <c r="G403" s="30"/>
      <c r="H403" s="30"/>
      <c r="I403" s="36"/>
    </row>
    <row r="404" customFormat="false" ht="15.75" hidden="false" customHeight="false" outlineLevel="0" collapsed="false">
      <c r="E404" s="30"/>
      <c r="F404" s="30"/>
      <c r="G404" s="30"/>
      <c r="H404" s="30"/>
      <c r="I404" s="36"/>
    </row>
    <row r="405" customFormat="false" ht="15.75" hidden="false" customHeight="false" outlineLevel="0" collapsed="false">
      <c r="E405" s="30"/>
      <c r="F405" s="30"/>
      <c r="G405" s="30"/>
      <c r="H405" s="30"/>
      <c r="I405" s="36"/>
    </row>
    <row r="406" customFormat="false" ht="15.75" hidden="false" customHeight="false" outlineLevel="0" collapsed="false">
      <c r="E406" s="30"/>
      <c r="F406" s="30"/>
      <c r="G406" s="30"/>
      <c r="H406" s="30"/>
      <c r="I406" s="36"/>
    </row>
    <row r="407" customFormat="false" ht="15.75" hidden="false" customHeight="false" outlineLevel="0" collapsed="false">
      <c r="E407" s="30"/>
      <c r="F407" s="30"/>
      <c r="G407" s="30"/>
      <c r="H407" s="30"/>
      <c r="I407" s="36"/>
    </row>
    <row r="408" customFormat="false" ht="15.75" hidden="false" customHeight="false" outlineLevel="0" collapsed="false">
      <c r="E408" s="30"/>
      <c r="F408" s="30"/>
      <c r="G408" s="30"/>
      <c r="H408" s="30"/>
      <c r="I408" s="36"/>
    </row>
    <row r="409" customFormat="false" ht="15.75" hidden="false" customHeight="false" outlineLevel="0" collapsed="false">
      <c r="E409" s="30"/>
      <c r="F409" s="30"/>
      <c r="G409" s="30"/>
      <c r="H409" s="30"/>
      <c r="I409" s="36"/>
    </row>
    <row r="410" customFormat="false" ht="15.75" hidden="false" customHeight="false" outlineLevel="0" collapsed="false">
      <c r="E410" s="30"/>
      <c r="F410" s="30"/>
      <c r="G410" s="30"/>
      <c r="H410" s="30"/>
      <c r="I410" s="36"/>
    </row>
    <row r="411" customFormat="false" ht="15.75" hidden="false" customHeight="false" outlineLevel="0" collapsed="false">
      <c r="E411" s="30"/>
      <c r="F411" s="30"/>
      <c r="G411" s="30"/>
      <c r="H411" s="30"/>
      <c r="I411" s="36"/>
    </row>
    <row r="412" customFormat="false" ht="15.75" hidden="false" customHeight="false" outlineLevel="0" collapsed="false">
      <c r="E412" s="30"/>
      <c r="F412" s="30"/>
      <c r="G412" s="30"/>
      <c r="H412" s="30"/>
      <c r="I412" s="36"/>
    </row>
    <row r="413" customFormat="false" ht="15.75" hidden="false" customHeight="false" outlineLevel="0" collapsed="false">
      <c r="E413" s="30"/>
      <c r="F413" s="30"/>
      <c r="G413" s="30"/>
      <c r="H413" s="30"/>
      <c r="I413" s="36"/>
    </row>
    <row r="414" customFormat="false" ht="15.75" hidden="false" customHeight="false" outlineLevel="0" collapsed="false">
      <c r="E414" s="30"/>
      <c r="F414" s="30"/>
      <c r="G414" s="30"/>
      <c r="H414" s="30"/>
      <c r="I414" s="36"/>
    </row>
    <row r="415" customFormat="false" ht="15.75" hidden="false" customHeight="false" outlineLevel="0" collapsed="false">
      <c r="E415" s="30"/>
      <c r="F415" s="30"/>
      <c r="G415" s="30"/>
      <c r="H415" s="30"/>
      <c r="I415" s="36"/>
    </row>
    <row r="416" customFormat="false" ht="15.75" hidden="false" customHeight="false" outlineLevel="0" collapsed="false">
      <c r="E416" s="30"/>
      <c r="F416" s="30"/>
      <c r="G416" s="30"/>
      <c r="H416" s="30"/>
      <c r="I416" s="36"/>
    </row>
    <row r="417" customFormat="false" ht="15.75" hidden="false" customHeight="false" outlineLevel="0" collapsed="false">
      <c r="E417" s="30"/>
      <c r="F417" s="30"/>
      <c r="G417" s="30"/>
      <c r="H417" s="30"/>
      <c r="I417" s="36"/>
    </row>
    <row r="418" customFormat="false" ht="15.75" hidden="false" customHeight="false" outlineLevel="0" collapsed="false">
      <c r="E418" s="30"/>
      <c r="F418" s="30"/>
      <c r="G418" s="30"/>
      <c r="H418" s="30"/>
      <c r="I418" s="36"/>
    </row>
    <row r="419" customFormat="false" ht="15.75" hidden="false" customHeight="false" outlineLevel="0" collapsed="false">
      <c r="E419" s="30"/>
      <c r="F419" s="30"/>
      <c r="G419" s="30"/>
      <c r="H419" s="30"/>
      <c r="I419" s="36"/>
    </row>
    <row r="420" customFormat="false" ht="15.75" hidden="false" customHeight="false" outlineLevel="0" collapsed="false">
      <c r="E420" s="30"/>
      <c r="F420" s="30"/>
      <c r="G420" s="30"/>
      <c r="H420" s="30"/>
      <c r="I420" s="36"/>
    </row>
    <row r="421" customFormat="false" ht="15.75" hidden="false" customHeight="false" outlineLevel="0" collapsed="false">
      <c r="E421" s="30"/>
      <c r="F421" s="30"/>
      <c r="G421" s="30"/>
      <c r="H421" s="30"/>
      <c r="I421" s="36"/>
    </row>
    <row r="422" customFormat="false" ht="15.75" hidden="false" customHeight="false" outlineLevel="0" collapsed="false">
      <c r="E422" s="30"/>
      <c r="F422" s="30"/>
      <c r="G422" s="30"/>
      <c r="H422" s="30"/>
      <c r="I422" s="36"/>
    </row>
    <row r="423" customFormat="false" ht="15.75" hidden="false" customHeight="false" outlineLevel="0" collapsed="false">
      <c r="E423" s="30"/>
      <c r="F423" s="30"/>
      <c r="G423" s="30"/>
      <c r="H423" s="30"/>
      <c r="I423" s="36"/>
    </row>
    <row r="424" customFormat="false" ht="15.75" hidden="false" customHeight="false" outlineLevel="0" collapsed="false">
      <c r="E424" s="30"/>
      <c r="F424" s="30"/>
      <c r="G424" s="30"/>
      <c r="H424" s="30"/>
      <c r="I424" s="36"/>
    </row>
    <row r="425" customFormat="false" ht="15.75" hidden="false" customHeight="false" outlineLevel="0" collapsed="false">
      <c r="E425" s="30"/>
      <c r="F425" s="30"/>
      <c r="G425" s="30"/>
      <c r="H425" s="30"/>
      <c r="I425" s="36"/>
    </row>
    <row r="426" customFormat="false" ht="15.75" hidden="false" customHeight="false" outlineLevel="0" collapsed="false">
      <c r="E426" s="30"/>
      <c r="F426" s="30"/>
      <c r="G426" s="30"/>
      <c r="H426" s="30"/>
      <c r="I426" s="36"/>
    </row>
    <row r="427" customFormat="false" ht="15.75" hidden="false" customHeight="false" outlineLevel="0" collapsed="false">
      <c r="E427" s="30"/>
      <c r="F427" s="30"/>
      <c r="G427" s="30"/>
      <c r="H427" s="30"/>
      <c r="I427" s="36"/>
    </row>
    <row r="428" customFormat="false" ht="15.75" hidden="false" customHeight="false" outlineLevel="0" collapsed="false">
      <c r="E428" s="30"/>
      <c r="F428" s="30"/>
      <c r="G428" s="30"/>
      <c r="H428" s="30"/>
      <c r="I428" s="36"/>
    </row>
    <row r="429" customFormat="false" ht="15.75" hidden="false" customHeight="false" outlineLevel="0" collapsed="false">
      <c r="E429" s="30"/>
      <c r="F429" s="30"/>
      <c r="G429" s="30"/>
      <c r="H429" s="30"/>
      <c r="I429" s="36"/>
    </row>
    <row r="430" customFormat="false" ht="15.75" hidden="false" customHeight="false" outlineLevel="0" collapsed="false">
      <c r="E430" s="30"/>
      <c r="F430" s="30"/>
      <c r="G430" s="30"/>
      <c r="H430" s="30"/>
      <c r="I430" s="36"/>
    </row>
    <row r="431" customFormat="false" ht="15.75" hidden="false" customHeight="false" outlineLevel="0" collapsed="false">
      <c r="E431" s="30"/>
      <c r="F431" s="30"/>
      <c r="G431" s="30"/>
      <c r="H431" s="30"/>
      <c r="I431" s="36"/>
    </row>
    <row r="432" customFormat="false" ht="15.75" hidden="false" customHeight="false" outlineLevel="0" collapsed="false">
      <c r="E432" s="30"/>
      <c r="F432" s="30"/>
      <c r="G432" s="30"/>
      <c r="H432" s="30"/>
      <c r="I432" s="36"/>
    </row>
    <row r="433" customFormat="false" ht="15.75" hidden="false" customHeight="false" outlineLevel="0" collapsed="false">
      <c r="E433" s="30"/>
      <c r="F433" s="30"/>
      <c r="G433" s="30"/>
      <c r="H433" s="30"/>
      <c r="I433" s="36"/>
    </row>
    <row r="434" customFormat="false" ht="15.75" hidden="false" customHeight="false" outlineLevel="0" collapsed="false">
      <c r="E434" s="30"/>
      <c r="F434" s="30"/>
      <c r="G434" s="30"/>
      <c r="H434" s="30"/>
      <c r="I434" s="36"/>
    </row>
    <row r="435" customFormat="false" ht="15.75" hidden="false" customHeight="false" outlineLevel="0" collapsed="false">
      <c r="E435" s="30"/>
      <c r="F435" s="30"/>
      <c r="G435" s="30"/>
      <c r="H435" s="30"/>
      <c r="I435" s="36"/>
    </row>
    <row r="436" customFormat="false" ht="15.75" hidden="false" customHeight="false" outlineLevel="0" collapsed="false">
      <c r="E436" s="30"/>
      <c r="F436" s="30"/>
      <c r="G436" s="30"/>
      <c r="H436" s="30"/>
      <c r="I436" s="36"/>
    </row>
    <row r="437" customFormat="false" ht="15.75" hidden="false" customHeight="false" outlineLevel="0" collapsed="false">
      <c r="E437" s="30"/>
      <c r="F437" s="30"/>
      <c r="G437" s="30"/>
      <c r="H437" s="30"/>
      <c r="I437" s="36"/>
    </row>
    <row r="438" customFormat="false" ht="15.75" hidden="false" customHeight="false" outlineLevel="0" collapsed="false">
      <c r="E438" s="30"/>
      <c r="F438" s="30"/>
      <c r="G438" s="30"/>
      <c r="H438" s="30"/>
      <c r="I438" s="36"/>
    </row>
    <row r="439" customFormat="false" ht="15.75" hidden="false" customHeight="false" outlineLevel="0" collapsed="false">
      <c r="E439" s="30"/>
      <c r="F439" s="30"/>
      <c r="G439" s="30"/>
      <c r="H439" s="30"/>
      <c r="I439" s="36"/>
    </row>
    <row r="440" customFormat="false" ht="15.75" hidden="false" customHeight="false" outlineLevel="0" collapsed="false">
      <c r="E440" s="30"/>
      <c r="F440" s="30"/>
      <c r="G440" s="30"/>
      <c r="H440" s="30"/>
      <c r="I440" s="36"/>
    </row>
    <row r="441" customFormat="false" ht="15.75" hidden="false" customHeight="false" outlineLevel="0" collapsed="false">
      <c r="E441" s="30"/>
      <c r="F441" s="30"/>
      <c r="G441" s="30"/>
      <c r="H441" s="30"/>
      <c r="I441" s="36"/>
    </row>
    <row r="442" customFormat="false" ht="15.75" hidden="false" customHeight="false" outlineLevel="0" collapsed="false">
      <c r="E442" s="30"/>
      <c r="F442" s="30"/>
      <c r="G442" s="30"/>
      <c r="H442" s="30"/>
      <c r="I442" s="36"/>
    </row>
    <row r="443" customFormat="false" ht="15.75" hidden="false" customHeight="false" outlineLevel="0" collapsed="false">
      <c r="E443" s="30"/>
      <c r="F443" s="30"/>
      <c r="G443" s="30"/>
      <c r="H443" s="30"/>
      <c r="I443" s="36"/>
    </row>
    <row r="444" customFormat="false" ht="15.75" hidden="false" customHeight="false" outlineLevel="0" collapsed="false">
      <c r="E444" s="30"/>
      <c r="F444" s="30"/>
      <c r="G444" s="30"/>
      <c r="H444" s="30"/>
      <c r="I444" s="36"/>
    </row>
    <row r="445" customFormat="false" ht="15.75" hidden="false" customHeight="false" outlineLevel="0" collapsed="false">
      <c r="E445" s="30"/>
      <c r="F445" s="30"/>
      <c r="G445" s="30"/>
      <c r="H445" s="30"/>
      <c r="I445" s="36"/>
    </row>
    <row r="446" customFormat="false" ht="15.75" hidden="false" customHeight="false" outlineLevel="0" collapsed="false">
      <c r="E446" s="30"/>
      <c r="F446" s="30"/>
      <c r="G446" s="30"/>
      <c r="H446" s="30"/>
      <c r="I446" s="36"/>
    </row>
    <row r="447" customFormat="false" ht="15.75" hidden="false" customHeight="false" outlineLevel="0" collapsed="false">
      <c r="E447" s="30"/>
      <c r="F447" s="30"/>
      <c r="G447" s="30"/>
      <c r="H447" s="30"/>
      <c r="I447" s="36"/>
    </row>
    <row r="448" customFormat="false" ht="15.75" hidden="false" customHeight="false" outlineLevel="0" collapsed="false">
      <c r="E448" s="30"/>
      <c r="F448" s="30"/>
      <c r="G448" s="30"/>
      <c r="H448" s="30"/>
      <c r="I448" s="36"/>
    </row>
    <row r="449" customFormat="false" ht="15.75" hidden="false" customHeight="false" outlineLevel="0" collapsed="false">
      <c r="E449" s="30"/>
      <c r="F449" s="30"/>
      <c r="G449" s="30"/>
      <c r="H449" s="30"/>
      <c r="I449" s="36"/>
    </row>
    <row r="450" customFormat="false" ht="15.75" hidden="false" customHeight="false" outlineLevel="0" collapsed="false">
      <c r="E450" s="30"/>
      <c r="F450" s="30"/>
      <c r="G450" s="30"/>
      <c r="H450" s="30"/>
      <c r="I450" s="36"/>
    </row>
    <row r="451" customFormat="false" ht="15.75" hidden="false" customHeight="false" outlineLevel="0" collapsed="false">
      <c r="E451" s="30"/>
      <c r="F451" s="30"/>
      <c r="G451" s="30"/>
      <c r="H451" s="30"/>
      <c r="I451" s="36"/>
    </row>
    <row r="452" customFormat="false" ht="15.75" hidden="false" customHeight="false" outlineLevel="0" collapsed="false">
      <c r="E452" s="30"/>
      <c r="F452" s="30"/>
      <c r="G452" s="30"/>
      <c r="H452" s="30"/>
      <c r="I452" s="36"/>
    </row>
    <row r="453" customFormat="false" ht="15.75" hidden="false" customHeight="false" outlineLevel="0" collapsed="false">
      <c r="E453" s="30"/>
      <c r="F453" s="30"/>
      <c r="G453" s="30"/>
      <c r="H453" s="30"/>
      <c r="I453" s="36"/>
    </row>
    <row r="454" customFormat="false" ht="15.75" hidden="false" customHeight="false" outlineLevel="0" collapsed="false">
      <c r="E454" s="30"/>
      <c r="F454" s="30"/>
      <c r="G454" s="30"/>
      <c r="H454" s="30"/>
      <c r="I454" s="36"/>
    </row>
    <row r="455" customFormat="false" ht="15.75" hidden="false" customHeight="false" outlineLevel="0" collapsed="false">
      <c r="E455" s="30"/>
      <c r="F455" s="30"/>
      <c r="G455" s="30"/>
      <c r="H455" s="30"/>
      <c r="I455" s="36"/>
    </row>
    <row r="456" customFormat="false" ht="15.75" hidden="false" customHeight="false" outlineLevel="0" collapsed="false">
      <c r="E456" s="30"/>
      <c r="F456" s="30"/>
      <c r="G456" s="30"/>
      <c r="H456" s="30"/>
      <c r="I456" s="36"/>
    </row>
    <row r="457" customFormat="false" ht="15.75" hidden="false" customHeight="false" outlineLevel="0" collapsed="false">
      <c r="E457" s="30"/>
      <c r="F457" s="30"/>
      <c r="G457" s="30"/>
      <c r="H457" s="30"/>
      <c r="I457" s="36"/>
    </row>
    <row r="458" customFormat="false" ht="15.75" hidden="false" customHeight="false" outlineLevel="0" collapsed="false">
      <c r="E458" s="30"/>
      <c r="F458" s="30"/>
      <c r="G458" s="30"/>
      <c r="H458" s="30"/>
      <c r="I458" s="36"/>
    </row>
    <row r="459" customFormat="false" ht="15.75" hidden="false" customHeight="false" outlineLevel="0" collapsed="false">
      <c r="E459" s="30"/>
      <c r="F459" s="30"/>
      <c r="G459" s="30"/>
      <c r="H459" s="30"/>
      <c r="I459" s="36"/>
    </row>
    <row r="460" customFormat="false" ht="15.75" hidden="false" customHeight="false" outlineLevel="0" collapsed="false">
      <c r="E460" s="30"/>
      <c r="F460" s="30"/>
      <c r="G460" s="30"/>
      <c r="H460" s="30"/>
      <c r="I460" s="36"/>
    </row>
    <row r="461" customFormat="false" ht="15.75" hidden="false" customHeight="false" outlineLevel="0" collapsed="false">
      <c r="E461" s="30"/>
      <c r="F461" s="30"/>
      <c r="G461" s="30"/>
      <c r="H461" s="30"/>
      <c r="I461" s="36"/>
    </row>
    <row r="462" customFormat="false" ht="15.75" hidden="false" customHeight="false" outlineLevel="0" collapsed="false">
      <c r="E462" s="30"/>
      <c r="F462" s="30"/>
      <c r="G462" s="30"/>
      <c r="H462" s="30"/>
      <c r="I462" s="36"/>
    </row>
    <row r="463" customFormat="false" ht="15.75" hidden="false" customHeight="false" outlineLevel="0" collapsed="false">
      <c r="E463" s="30"/>
      <c r="F463" s="30"/>
      <c r="G463" s="30"/>
      <c r="H463" s="30"/>
      <c r="I463" s="36"/>
    </row>
    <row r="464" customFormat="false" ht="15.75" hidden="false" customHeight="false" outlineLevel="0" collapsed="false">
      <c r="E464" s="30"/>
      <c r="F464" s="30"/>
      <c r="G464" s="30"/>
      <c r="H464" s="30"/>
      <c r="I464" s="36"/>
    </row>
    <row r="465" customFormat="false" ht="15.75" hidden="false" customHeight="false" outlineLevel="0" collapsed="false">
      <c r="E465" s="30"/>
      <c r="F465" s="30"/>
      <c r="G465" s="30"/>
      <c r="H465" s="30"/>
      <c r="I465" s="36"/>
    </row>
    <row r="466" customFormat="false" ht="15.75" hidden="false" customHeight="false" outlineLevel="0" collapsed="false">
      <c r="E466" s="30"/>
      <c r="F466" s="30"/>
      <c r="G466" s="30"/>
      <c r="H466" s="30"/>
      <c r="I466" s="36"/>
    </row>
    <row r="467" customFormat="false" ht="15.75" hidden="false" customHeight="false" outlineLevel="0" collapsed="false">
      <c r="E467" s="30"/>
      <c r="F467" s="30"/>
      <c r="G467" s="30"/>
      <c r="H467" s="30"/>
      <c r="I467" s="36"/>
    </row>
    <row r="468" customFormat="false" ht="15.75" hidden="false" customHeight="false" outlineLevel="0" collapsed="false">
      <c r="E468" s="30"/>
      <c r="F468" s="30"/>
      <c r="G468" s="30"/>
      <c r="H468" s="30"/>
      <c r="I468" s="36"/>
    </row>
    <row r="469" customFormat="false" ht="15.75" hidden="false" customHeight="false" outlineLevel="0" collapsed="false">
      <c r="E469" s="30"/>
      <c r="F469" s="30"/>
      <c r="G469" s="30"/>
      <c r="H469" s="30"/>
      <c r="I469" s="36"/>
    </row>
    <row r="470" customFormat="false" ht="15.75" hidden="false" customHeight="false" outlineLevel="0" collapsed="false">
      <c r="E470" s="30"/>
      <c r="F470" s="30"/>
      <c r="G470" s="30"/>
      <c r="H470" s="30"/>
      <c r="I470" s="36"/>
    </row>
    <row r="471" customFormat="false" ht="15.75" hidden="false" customHeight="false" outlineLevel="0" collapsed="false">
      <c r="E471" s="30"/>
      <c r="F471" s="30"/>
      <c r="G471" s="30"/>
      <c r="H471" s="30"/>
      <c r="I471" s="36"/>
    </row>
    <row r="472" customFormat="false" ht="15.75" hidden="false" customHeight="false" outlineLevel="0" collapsed="false">
      <c r="E472" s="30"/>
      <c r="F472" s="30"/>
      <c r="G472" s="30"/>
      <c r="H472" s="30"/>
      <c r="I472" s="36"/>
    </row>
    <row r="473" customFormat="false" ht="15.75" hidden="false" customHeight="false" outlineLevel="0" collapsed="false">
      <c r="E473" s="30"/>
      <c r="F473" s="30"/>
      <c r="G473" s="30"/>
      <c r="H473" s="30"/>
      <c r="I473" s="36"/>
    </row>
    <row r="474" customFormat="false" ht="15.75" hidden="false" customHeight="false" outlineLevel="0" collapsed="false">
      <c r="E474" s="30"/>
      <c r="F474" s="30"/>
      <c r="G474" s="30"/>
      <c r="H474" s="30"/>
      <c r="I474" s="36"/>
    </row>
    <row r="475" customFormat="false" ht="15.75" hidden="false" customHeight="false" outlineLevel="0" collapsed="false">
      <c r="E475" s="30"/>
      <c r="F475" s="30"/>
      <c r="G475" s="30"/>
      <c r="H475" s="30"/>
      <c r="I475" s="36"/>
    </row>
    <row r="476" customFormat="false" ht="15.75" hidden="false" customHeight="false" outlineLevel="0" collapsed="false">
      <c r="E476" s="30"/>
      <c r="F476" s="30"/>
      <c r="G476" s="30"/>
      <c r="H476" s="30"/>
      <c r="I476" s="36"/>
    </row>
    <row r="477" customFormat="false" ht="15.75" hidden="false" customHeight="false" outlineLevel="0" collapsed="false">
      <c r="E477" s="30"/>
      <c r="F477" s="30"/>
      <c r="G477" s="30"/>
      <c r="H477" s="30"/>
      <c r="I477" s="36"/>
    </row>
    <row r="478" customFormat="false" ht="15.75" hidden="false" customHeight="false" outlineLevel="0" collapsed="false">
      <c r="E478" s="30"/>
      <c r="F478" s="30"/>
      <c r="G478" s="30"/>
      <c r="H478" s="30"/>
      <c r="I478" s="36"/>
    </row>
    <row r="479" customFormat="false" ht="15.75" hidden="false" customHeight="false" outlineLevel="0" collapsed="false">
      <c r="E479" s="30"/>
      <c r="F479" s="30"/>
      <c r="G479" s="30"/>
      <c r="H479" s="30"/>
      <c r="I479" s="36"/>
    </row>
    <row r="480" customFormat="false" ht="15.75" hidden="false" customHeight="false" outlineLevel="0" collapsed="false">
      <c r="E480" s="30"/>
      <c r="F480" s="30"/>
      <c r="G480" s="30"/>
      <c r="H480" s="30"/>
      <c r="I480" s="36"/>
    </row>
    <row r="481" customFormat="false" ht="15.75" hidden="false" customHeight="false" outlineLevel="0" collapsed="false">
      <c r="E481" s="30"/>
      <c r="F481" s="30"/>
      <c r="G481" s="30"/>
      <c r="H481" s="30"/>
      <c r="I481" s="36"/>
    </row>
    <row r="482" customFormat="false" ht="15.75" hidden="false" customHeight="false" outlineLevel="0" collapsed="false">
      <c r="E482" s="30"/>
      <c r="F482" s="30"/>
      <c r="G482" s="30"/>
      <c r="H482" s="30"/>
      <c r="I482" s="36"/>
    </row>
    <row r="483" customFormat="false" ht="15.75" hidden="false" customHeight="false" outlineLevel="0" collapsed="false">
      <c r="E483" s="30"/>
      <c r="F483" s="30"/>
      <c r="G483" s="30"/>
      <c r="H483" s="30"/>
      <c r="I483" s="36"/>
    </row>
    <row r="484" customFormat="false" ht="15.75" hidden="false" customHeight="false" outlineLevel="0" collapsed="false">
      <c r="E484" s="30"/>
      <c r="F484" s="30"/>
      <c r="G484" s="30"/>
      <c r="H484" s="30"/>
      <c r="I484" s="36"/>
    </row>
    <row r="485" customFormat="false" ht="15.75" hidden="false" customHeight="false" outlineLevel="0" collapsed="false">
      <c r="E485" s="30"/>
      <c r="F485" s="30"/>
      <c r="G485" s="30"/>
      <c r="H485" s="30"/>
      <c r="I485" s="36"/>
    </row>
    <row r="486" customFormat="false" ht="15.75" hidden="false" customHeight="false" outlineLevel="0" collapsed="false">
      <c r="E486" s="30"/>
      <c r="F486" s="30"/>
      <c r="G486" s="30"/>
      <c r="H486" s="30"/>
      <c r="I486" s="36"/>
    </row>
    <row r="487" customFormat="false" ht="15.75" hidden="false" customHeight="false" outlineLevel="0" collapsed="false">
      <c r="E487" s="30"/>
      <c r="F487" s="30"/>
      <c r="G487" s="30"/>
      <c r="H487" s="30"/>
      <c r="I487" s="36"/>
    </row>
    <row r="488" customFormat="false" ht="15.75" hidden="false" customHeight="false" outlineLevel="0" collapsed="false">
      <c r="E488" s="30"/>
      <c r="F488" s="30"/>
      <c r="G488" s="30"/>
      <c r="H488" s="30"/>
      <c r="I488" s="36"/>
    </row>
    <row r="489" customFormat="false" ht="15.75" hidden="false" customHeight="false" outlineLevel="0" collapsed="false">
      <c r="E489" s="30"/>
      <c r="F489" s="30"/>
      <c r="G489" s="30"/>
      <c r="H489" s="30"/>
      <c r="I489" s="36"/>
    </row>
    <row r="490" customFormat="false" ht="15.75" hidden="false" customHeight="false" outlineLevel="0" collapsed="false">
      <c r="E490" s="30"/>
      <c r="F490" s="30"/>
      <c r="G490" s="30"/>
      <c r="H490" s="30"/>
      <c r="I490" s="36"/>
    </row>
    <row r="491" customFormat="false" ht="15.75" hidden="false" customHeight="false" outlineLevel="0" collapsed="false">
      <c r="E491" s="30"/>
      <c r="F491" s="30"/>
      <c r="G491" s="30"/>
      <c r="H491" s="30"/>
      <c r="I491" s="36"/>
    </row>
    <row r="492" customFormat="false" ht="15.75" hidden="false" customHeight="false" outlineLevel="0" collapsed="false">
      <c r="E492" s="30"/>
      <c r="F492" s="30"/>
      <c r="G492" s="30"/>
      <c r="H492" s="30"/>
      <c r="I492" s="36"/>
    </row>
    <row r="493" customFormat="false" ht="15.75" hidden="false" customHeight="false" outlineLevel="0" collapsed="false">
      <c r="E493" s="30"/>
      <c r="F493" s="30"/>
      <c r="G493" s="30"/>
      <c r="H493" s="30"/>
      <c r="I493" s="36"/>
    </row>
    <row r="494" customFormat="false" ht="15.75" hidden="false" customHeight="false" outlineLevel="0" collapsed="false">
      <c r="E494" s="30"/>
      <c r="F494" s="30"/>
      <c r="G494" s="30"/>
      <c r="H494" s="30"/>
      <c r="I494" s="36"/>
    </row>
    <row r="495" customFormat="false" ht="15.75" hidden="false" customHeight="false" outlineLevel="0" collapsed="false">
      <c r="E495" s="30"/>
      <c r="F495" s="30"/>
      <c r="G495" s="30"/>
      <c r="H495" s="30"/>
      <c r="I495" s="36"/>
    </row>
    <row r="496" customFormat="false" ht="15.75" hidden="false" customHeight="false" outlineLevel="0" collapsed="false">
      <c r="E496" s="30"/>
      <c r="F496" s="30"/>
      <c r="G496" s="30"/>
      <c r="H496" s="30"/>
      <c r="I496" s="36"/>
    </row>
    <row r="497" customFormat="false" ht="15.75" hidden="false" customHeight="false" outlineLevel="0" collapsed="false">
      <c r="E497" s="30"/>
      <c r="F497" s="30"/>
      <c r="G497" s="30"/>
      <c r="H497" s="30"/>
      <c r="I497" s="36"/>
    </row>
    <row r="498" customFormat="false" ht="15.75" hidden="false" customHeight="false" outlineLevel="0" collapsed="false">
      <c r="E498" s="30"/>
      <c r="F498" s="30"/>
      <c r="G498" s="30"/>
      <c r="H498" s="30"/>
      <c r="I498" s="36"/>
    </row>
    <row r="499" customFormat="false" ht="15.75" hidden="false" customHeight="false" outlineLevel="0" collapsed="false">
      <c r="E499" s="30"/>
      <c r="F499" s="30"/>
      <c r="G499" s="30"/>
      <c r="H499" s="30"/>
      <c r="I499" s="36"/>
    </row>
    <row r="500" customFormat="false" ht="15.75" hidden="false" customHeight="false" outlineLevel="0" collapsed="false">
      <c r="E500" s="30"/>
      <c r="F500" s="30"/>
      <c r="G500" s="30"/>
      <c r="H500" s="30"/>
      <c r="I500" s="36"/>
    </row>
    <row r="501" customFormat="false" ht="15.75" hidden="false" customHeight="false" outlineLevel="0" collapsed="false">
      <c r="E501" s="30"/>
      <c r="F501" s="30"/>
      <c r="G501" s="30"/>
      <c r="H501" s="30"/>
      <c r="I501" s="36"/>
    </row>
    <row r="502" customFormat="false" ht="15.75" hidden="false" customHeight="false" outlineLevel="0" collapsed="false">
      <c r="E502" s="30"/>
      <c r="F502" s="30"/>
      <c r="G502" s="30"/>
      <c r="H502" s="30"/>
      <c r="I502" s="36"/>
    </row>
    <row r="503" customFormat="false" ht="15.75" hidden="false" customHeight="false" outlineLevel="0" collapsed="false">
      <c r="E503" s="30"/>
      <c r="F503" s="30"/>
      <c r="G503" s="30"/>
      <c r="H503" s="30"/>
      <c r="I503" s="36"/>
    </row>
    <row r="504" customFormat="false" ht="15.75" hidden="false" customHeight="false" outlineLevel="0" collapsed="false">
      <c r="E504" s="30"/>
      <c r="F504" s="30"/>
      <c r="G504" s="30"/>
      <c r="H504" s="30"/>
      <c r="I504" s="36"/>
    </row>
    <row r="505" customFormat="false" ht="15.75" hidden="false" customHeight="false" outlineLevel="0" collapsed="false">
      <c r="E505" s="30"/>
      <c r="F505" s="30"/>
      <c r="G505" s="30"/>
      <c r="H505" s="30"/>
      <c r="I505" s="36"/>
    </row>
    <row r="506" customFormat="false" ht="15.75" hidden="false" customHeight="false" outlineLevel="0" collapsed="false">
      <c r="E506" s="30"/>
      <c r="F506" s="30"/>
      <c r="G506" s="30"/>
      <c r="H506" s="30"/>
      <c r="I506" s="36"/>
    </row>
    <row r="507" customFormat="false" ht="15.75" hidden="false" customHeight="false" outlineLevel="0" collapsed="false">
      <c r="E507" s="30"/>
      <c r="F507" s="30"/>
      <c r="G507" s="30"/>
      <c r="H507" s="30"/>
      <c r="I507" s="36"/>
    </row>
    <row r="508" customFormat="false" ht="15.75" hidden="false" customHeight="false" outlineLevel="0" collapsed="false">
      <c r="E508" s="30"/>
      <c r="F508" s="30"/>
      <c r="G508" s="30"/>
      <c r="H508" s="30"/>
      <c r="I508" s="36"/>
    </row>
    <row r="509" customFormat="false" ht="15.75" hidden="false" customHeight="false" outlineLevel="0" collapsed="false">
      <c r="E509" s="30"/>
      <c r="F509" s="30"/>
      <c r="G509" s="30"/>
      <c r="H509" s="30"/>
      <c r="I509" s="36"/>
    </row>
    <row r="510" customFormat="false" ht="15.75" hidden="false" customHeight="false" outlineLevel="0" collapsed="false">
      <c r="E510" s="30"/>
      <c r="F510" s="30"/>
      <c r="G510" s="30"/>
      <c r="H510" s="30"/>
      <c r="I510" s="36"/>
    </row>
    <row r="511" customFormat="false" ht="15.75" hidden="false" customHeight="false" outlineLevel="0" collapsed="false">
      <c r="E511" s="30"/>
      <c r="F511" s="30"/>
      <c r="G511" s="30"/>
      <c r="H511" s="30"/>
      <c r="I511" s="36"/>
    </row>
    <row r="512" customFormat="false" ht="15.75" hidden="false" customHeight="false" outlineLevel="0" collapsed="false">
      <c r="E512" s="30"/>
      <c r="F512" s="30"/>
      <c r="G512" s="30"/>
      <c r="H512" s="30"/>
      <c r="I512" s="36"/>
    </row>
    <row r="513" customFormat="false" ht="15.75" hidden="false" customHeight="false" outlineLevel="0" collapsed="false">
      <c r="E513" s="30"/>
      <c r="F513" s="30"/>
      <c r="G513" s="30"/>
      <c r="H513" s="30"/>
      <c r="I513" s="36"/>
    </row>
    <row r="514" customFormat="false" ht="15.75" hidden="false" customHeight="false" outlineLevel="0" collapsed="false">
      <c r="E514" s="30"/>
      <c r="F514" s="30"/>
      <c r="G514" s="30"/>
      <c r="H514" s="30"/>
      <c r="I514" s="36"/>
    </row>
    <row r="515" customFormat="false" ht="15.75" hidden="false" customHeight="false" outlineLevel="0" collapsed="false">
      <c r="E515" s="30"/>
      <c r="F515" s="30"/>
      <c r="G515" s="30"/>
      <c r="H515" s="30"/>
      <c r="I515" s="36"/>
    </row>
    <row r="516" customFormat="false" ht="15.75" hidden="false" customHeight="false" outlineLevel="0" collapsed="false">
      <c r="E516" s="30"/>
      <c r="F516" s="30"/>
      <c r="G516" s="30"/>
      <c r="H516" s="30"/>
      <c r="I516" s="36"/>
    </row>
    <row r="517" customFormat="false" ht="15.75" hidden="false" customHeight="false" outlineLevel="0" collapsed="false">
      <c r="E517" s="30"/>
      <c r="F517" s="30"/>
      <c r="G517" s="30"/>
      <c r="H517" s="30"/>
      <c r="I517" s="36"/>
    </row>
    <row r="518" customFormat="false" ht="15.75" hidden="false" customHeight="false" outlineLevel="0" collapsed="false">
      <c r="E518" s="30"/>
      <c r="F518" s="30"/>
      <c r="G518" s="30"/>
      <c r="H518" s="30"/>
      <c r="I518" s="36"/>
    </row>
    <row r="519" customFormat="false" ht="15.75" hidden="false" customHeight="false" outlineLevel="0" collapsed="false">
      <c r="E519" s="30"/>
      <c r="F519" s="30"/>
      <c r="G519" s="30"/>
      <c r="H519" s="30"/>
      <c r="I519" s="36"/>
    </row>
    <row r="520" customFormat="false" ht="15.75" hidden="false" customHeight="false" outlineLevel="0" collapsed="false">
      <c r="E520" s="30"/>
      <c r="F520" s="30"/>
      <c r="G520" s="30"/>
      <c r="H520" s="30"/>
      <c r="I520" s="36"/>
    </row>
    <row r="521" customFormat="false" ht="15.75" hidden="false" customHeight="false" outlineLevel="0" collapsed="false">
      <c r="E521" s="30"/>
      <c r="F521" s="30"/>
      <c r="G521" s="30"/>
      <c r="H521" s="30"/>
      <c r="I521" s="36"/>
    </row>
    <row r="522" customFormat="false" ht="15.75" hidden="false" customHeight="false" outlineLevel="0" collapsed="false">
      <c r="E522" s="30"/>
      <c r="F522" s="30"/>
      <c r="G522" s="30"/>
      <c r="H522" s="30"/>
      <c r="I522" s="36"/>
    </row>
    <row r="523" customFormat="false" ht="15.75" hidden="false" customHeight="false" outlineLevel="0" collapsed="false">
      <c r="E523" s="30"/>
      <c r="F523" s="30"/>
      <c r="G523" s="30"/>
      <c r="H523" s="30"/>
      <c r="I523" s="36"/>
    </row>
    <row r="524" customFormat="false" ht="15.75" hidden="false" customHeight="false" outlineLevel="0" collapsed="false">
      <c r="E524" s="30"/>
      <c r="F524" s="30"/>
      <c r="G524" s="30"/>
      <c r="H524" s="30"/>
      <c r="I524" s="36"/>
    </row>
    <row r="525" customFormat="false" ht="15.75" hidden="false" customHeight="false" outlineLevel="0" collapsed="false">
      <c r="E525" s="30"/>
      <c r="F525" s="30"/>
      <c r="G525" s="30"/>
      <c r="H525" s="30"/>
      <c r="I525" s="36"/>
    </row>
    <row r="526" customFormat="false" ht="15.75" hidden="false" customHeight="false" outlineLevel="0" collapsed="false">
      <c r="E526" s="30"/>
      <c r="F526" s="30"/>
      <c r="G526" s="30"/>
      <c r="H526" s="30"/>
      <c r="I526" s="36"/>
    </row>
    <row r="527" customFormat="false" ht="15.75" hidden="false" customHeight="false" outlineLevel="0" collapsed="false">
      <c r="E527" s="30"/>
      <c r="F527" s="30"/>
      <c r="G527" s="30"/>
      <c r="H527" s="30"/>
      <c r="I527" s="36"/>
    </row>
    <row r="528" customFormat="false" ht="15.75" hidden="false" customHeight="false" outlineLevel="0" collapsed="false">
      <c r="E528" s="30"/>
      <c r="F528" s="30"/>
      <c r="G528" s="30"/>
      <c r="H528" s="30"/>
      <c r="I528" s="36"/>
    </row>
    <row r="529" customFormat="false" ht="15.75" hidden="false" customHeight="false" outlineLevel="0" collapsed="false">
      <c r="E529" s="30"/>
      <c r="F529" s="30"/>
      <c r="G529" s="30"/>
      <c r="H529" s="30"/>
      <c r="I529" s="36"/>
    </row>
    <row r="530" customFormat="false" ht="15.75" hidden="false" customHeight="false" outlineLevel="0" collapsed="false">
      <c r="E530" s="30"/>
      <c r="F530" s="30"/>
      <c r="G530" s="30"/>
      <c r="H530" s="30"/>
      <c r="I530" s="36"/>
    </row>
    <row r="531" customFormat="false" ht="15.75" hidden="false" customHeight="false" outlineLevel="0" collapsed="false">
      <c r="E531" s="30"/>
      <c r="F531" s="30"/>
      <c r="G531" s="30"/>
      <c r="H531" s="30"/>
      <c r="I531" s="36"/>
    </row>
    <row r="532" customFormat="false" ht="15.75" hidden="false" customHeight="false" outlineLevel="0" collapsed="false">
      <c r="E532" s="30"/>
      <c r="F532" s="30"/>
      <c r="G532" s="30"/>
      <c r="H532" s="30"/>
      <c r="I532" s="36"/>
    </row>
    <row r="533" customFormat="false" ht="15.75" hidden="false" customHeight="false" outlineLevel="0" collapsed="false">
      <c r="E533" s="30"/>
      <c r="F533" s="30"/>
      <c r="G533" s="30"/>
      <c r="H533" s="30"/>
      <c r="I533" s="36"/>
    </row>
    <row r="534" customFormat="false" ht="15.75" hidden="false" customHeight="false" outlineLevel="0" collapsed="false">
      <c r="E534" s="30"/>
      <c r="F534" s="30"/>
      <c r="G534" s="30"/>
      <c r="H534" s="30"/>
      <c r="I534" s="36"/>
    </row>
    <row r="535" customFormat="false" ht="15.75" hidden="false" customHeight="false" outlineLevel="0" collapsed="false">
      <c r="E535" s="30"/>
      <c r="F535" s="30"/>
      <c r="G535" s="30"/>
      <c r="H535" s="30"/>
      <c r="I535" s="36"/>
    </row>
    <row r="536" customFormat="false" ht="15.75" hidden="false" customHeight="false" outlineLevel="0" collapsed="false">
      <c r="E536" s="30"/>
      <c r="F536" s="30"/>
      <c r="G536" s="30"/>
      <c r="H536" s="30"/>
      <c r="I536" s="36"/>
    </row>
    <row r="537" customFormat="false" ht="15.75" hidden="false" customHeight="false" outlineLevel="0" collapsed="false">
      <c r="E537" s="30"/>
      <c r="F537" s="30"/>
      <c r="G537" s="30"/>
      <c r="H537" s="30"/>
      <c r="I537" s="36"/>
    </row>
    <row r="538" customFormat="false" ht="15.75" hidden="false" customHeight="false" outlineLevel="0" collapsed="false">
      <c r="E538" s="30"/>
      <c r="F538" s="30"/>
      <c r="G538" s="30"/>
      <c r="H538" s="30"/>
      <c r="I538" s="36"/>
    </row>
    <row r="539" customFormat="false" ht="15.75" hidden="false" customHeight="false" outlineLevel="0" collapsed="false">
      <c r="E539" s="30"/>
      <c r="F539" s="30"/>
      <c r="G539" s="30"/>
      <c r="H539" s="30"/>
      <c r="I539" s="36"/>
    </row>
    <row r="540" customFormat="false" ht="15.75" hidden="false" customHeight="false" outlineLevel="0" collapsed="false">
      <c r="E540" s="30"/>
      <c r="F540" s="30"/>
      <c r="G540" s="30"/>
      <c r="H540" s="30"/>
      <c r="I540" s="36"/>
    </row>
    <row r="541" customFormat="false" ht="15.75" hidden="false" customHeight="false" outlineLevel="0" collapsed="false">
      <c r="E541" s="30"/>
      <c r="F541" s="30"/>
      <c r="G541" s="30"/>
      <c r="H541" s="30"/>
      <c r="I541" s="36"/>
    </row>
    <row r="542" customFormat="false" ht="15.75" hidden="false" customHeight="false" outlineLevel="0" collapsed="false">
      <c r="E542" s="30"/>
      <c r="F542" s="30"/>
      <c r="G542" s="30"/>
      <c r="H542" s="30"/>
      <c r="I542" s="36"/>
    </row>
    <row r="543" customFormat="false" ht="15.75" hidden="false" customHeight="false" outlineLevel="0" collapsed="false">
      <c r="E543" s="30"/>
      <c r="F543" s="30"/>
      <c r="G543" s="30"/>
      <c r="H543" s="30"/>
      <c r="I543" s="36"/>
    </row>
    <row r="544" customFormat="false" ht="15.75" hidden="false" customHeight="false" outlineLevel="0" collapsed="false">
      <c r="E544" s="30"/>
      <c r="F544" s="30"/>
      <c r="G544" s="30"/>
      <c r="H544" s="30"/>
      <c r="I544" s="36"/>
    </row>
    <row r="545" customFormat="false" ht="15.75" hidden="false" customHeight="false" outlineLevel="0" collapsed="false">
      <c r="E545" s="30"/>
      <c r="F545" s="30"/>
      <c r="G545" s="30"/>
      <c r="H545" s="30"/>
      <c r="I545" s="36"/>
    </row>
    <row r="546" customFormat="false" ht="15.75" hidden="false" customHeight="false" outlineLevel="0" collapsed="false">
      <c r="E546" s="30"/>
      <c r="F546" s="30"/>
      <c r="G546" s="30"/>
      <c r="H546" s="30"/>
      <c r="I546" s="36"/>
    </row>
    <row r="547" customFormat="false" ht="15.75" hidden="false" customHeight="false" outlineLevel="0" collapsed="false">
      <c r="E547" s="30"/>
      <c r="F547" s="30"/>
      <c r="G547" s="30"/>
      <c r="H547" s="30"/>
      <c r="I547" s="36"/>
    </row>
    <row r="548" customFormat="false" ht="15.75" hidden="false" customHeight="false" outlineLevel="0" collapsed="false">
      <c r="E548" s="30"/>
      <c r="F548" s="30"/>
      <c r="G548" s="30"/>
      <c r="H548" s="30"/>
      <c r="I548" s="36"/>
    </row>
    <row r="549" customFormat="false" ht="15.75" hidden="false" customHeight="false" outlineLevel="0" collapsed="false">
      <c r="E549" s="30"/>
      <c r="F549" s="30"/>
      <c r="G549" s="30"/>
      <c r="H549" s="30"/>
      <c r="I549" s="36"/>
    </row>
    <row r="550" customFormat="false" ht="15.75" hidden="false" customHeight="false" outlineLevel="0" collapsed="false">
      <c r="E550" s="30"/>
      <c r="F550" s="30"/>
      <c r="G550" s="30"/>
      <c r="H550" s="30"/>
      <c r="I550" s="36"/>
    </row>
    <row r="551" customFormat="false" ht="15.75" hidden="false" customHeight="false" outlineLevel="0" collapsed="false">
      <c r="E551" s="30"/>
      <c r="F551" s="30"/>
      <c r="G551" s="30"/>
      <c r="H551" s="30"/>
      <c r="I551" s="36"/>
    </row>
    <row r="552" customFormat="false" ht="15.75" hidden="false" customHeight="false" outlineLevel="0" collapsed="false">
      <c r="E552" s="30"/>
      <c r="F552" s="30"/>
      <c r="G552" s="30"/>
      <c r="H552" s="30"/>
      <c r="I552" s="36"/>
    </row>
    <row r="553" customFormat="false" ht="15.75" hidden="false" customHeight="false" outlineLevel="0" collapsed="false">
      <c r="E553" s="30"/>
      <c r="F553" s="30"/>
      <c r="G553" s="30"/>
      <c r="H553" s="30"/>
      <c r="I553" s="36"/>
    </row>
    <row r="554" customFormat="false" ht="15.75" hidden="false" customHeight="false" outlineLevel="0" collapsed="false">
      <c r="E554" s="30"/>
      <c r="F554" s="30"/>
      <c r="G554" s="30"/>
      <c r="H554" s="30"/>
      <c r="I554" s="36"/>
    </row>
    <row r="555" customFormat="false" ht="15.75" hidden="false" customHeight="false" outlineLevel="0" collapsed="false">
      <c r="E555" s="30"/>
      <c r="F555" s="30"/>
      <c r="G555" s="30"/>
      <c r="H555" s="30"/>
      <c r="I555" s="36"/>
    </row>
    <row r="556" customFormat="false" ht="15.75" hidden="false" customHeight="false" outlineLevel="0" collapsed="false">
      <c r="E556" s="30"/>
      <c r="F556" s="30"/>
      <c r="G556" s="30"/>
      <c r="H556" s="30"/>
      <c r="I556" s="36"/>
    </row>
    <row r="557" customFormat="false" ht="15.75" hidden="false" customHeight="false" outlineLevel="0" collapsed="false">
      <c r="E557" s="30"/>
      <c r="F557" s="30"/>
      <c r="G557" s="30"/>
      <c r="H557" s="30"/>
      <c r="I557" s="36"/>
    </row>
    <row r="558" customFormat="false" ht="15.75" hidden="false" customHeight="false" outlineLevel="0" collapsed="false">
      <c r="E558" s="30"/>
      <c r="F558" s="30"/>
      <c r="G558" s="30"/>
      <c r="H558" s="30"/>
      <c r="I558" s="36"/>
    </row>
    <row r="559" customFormat="false" ht="15.75" hidden="false" customHeight="false" outlineLevel="0" collapsed="false">
      <c r="E559" s="30"/>
      <c r="F559" s="30"/>
      <c r="G559" s="30"/>
      <c r="H559" s="30"/>
      <c r="I559" s="36"/>
    </row>
    <row r="560" customFormat="false" ht="15.75" hidden="false" customHeight="false" outlineLevel="0" collapsed="false">
      <c r="E560" s="30"/>
      <c r="F560" s="30"/>
      <c r="G560" s="30"/>
      <c r="H560" s="30"/>
      <c r="I560" s="36"/>
    </row>
    <row r="561" customFormat="false" ht="15.75" hidden="false" customHeight="false" outlineLevel="0" collapsed="false">
      <c r="E561" s="30"/>
      <c r="F561" s="30"/>
      <c r="G561" s="30"/>
      <c r="H561" s="30"/>
      <c r="I561" s="36"/>
    </row>
    <row r="562" customFormat="false" ht="15.75" hidden="false" customHeight="false" outlineLevel="0" collapsed="false">
      <c r="E562" s="30"/>
      <c r="F562" s="30"/>
      <c r="G562" s="30"/>
      <c r="H562" s="30"/>
      <c r="I562" s="36"/>
    </row>
    <row r="563" customFormat="false" ht="15.75" hidden="false" customHeight="false" outlineLevel="0" collapsed="false">
      <c r="E563" s="30"/>
      <c r="F563" s="30"/>
      <c r="G563" s="30"/>
      <c r="H563" s="30"/>
      <c r="I563" s="36"/>
    </row>
    <row r="564" customFormat="false" ht="15.75" hidden="false" customHeight="false" outlineLevel="0" collapsed="false">
      <c r="E564" s="30"/>
      <c r="F564" s="30"/>
      <c r="G564" s="30"/>
      <c r="H564" s="30"/>
      <c r="I564" s="36"/>
    </row>
    <row r="565" customFormat="false" ht="15.75" hidden="false" customHeight="false" outlineLevel="0" collapsed="false">
      <c r="E565" s="30"/>
      <c r="F565" s="30"/>
      <c r="G565" s="30"/>
      <c r="H565" s="30"/>
      <c r="I565" s="36"/>
    </row>
    <row r="566" customFormat="false" ht="15.75" hidden="false" customHeight="false" outlineLevel="0" collapsed="false">
      <c r="E566" s="30"/>
      <c r="F566" s="30"/>
      <c r="G566" s="30"/>
      <c r="H566" s="30"/>
      <c r="I566" s="36"/>
    </row>
    <row r="567" customFormat="false" ht="15.75" hidden="false" customHeight="false" outlineLevel="0" collapsed="false">
      <c r="E567" s="30"/>
      <c r="F567" s="30"/>
      <c r="G567" s="30"/>
      <c r="H567" s="30"/>
      <c r="I567" s="36"/>
    </row>
    <row r="568" customFormat="false" ht="15.75" hidden="false" customHeight="false" outlineLevel="0" collapsed="false">
      <c r="E568" s="30"/>
      <c r="F568" s="30"/>
      <c r="G568" s="30"/>
      <c r="H568" s="30"/>
      <c r="I568" s="36"/>
    </row>
    <row r="569" customFormat="false" ht="15.75" hidden="false" customHeight="false" outlineLevel="0" collapsed="false">
      <c r="E569" s="30"/>
      <c r="F569" s="30"/>
      <c r="G569" s="30"/>
      <c r="H569" s="30"/>
      <c r="I569" s="36"/>
    </row>
    <row r="570" customFormat="false" ht="15.75" hidden="false" customHeight="false" outlineLevel="0" collapsed="false">
      <c r="E570" s="30"/>
      <c r="F570" s="30"/>
      <c r="G570" s="30"/>
      <c r="H570" s="30"/>
      <c r="I570" s="36"/>
    </row>
    <row r="571" customFormat="false" ht="15.75" hidden="false" customHeight="false" outlineLevel="0" collapsed="false">
      <c r="E571" s="30"/>
      <c r="F571" s="30"/>
      <c r="G571" s="30"/>
      <c r="H571" s="30"/>
      <c r="I571" s="36"/>
    </row>
    <row r="572" customFormat="false" ht="15.75" hidden="false" customHeight="false" outlineLevel="0" collapsed="false">
      <c r="E572" s="30"/>
      <c r="F572" s="30"/>
      <c r="G572" s="30"/>
      <c r="H572" s="30"/>
      <c r="I572" s="36"/>
    </row>
    <row r="573" customFormat="false" ht="15.75" hidden="false" customHeight="false" outlineLevel="0" collapsed="false">
      <c r="E573" s="30"/>
      <c r="F573" s="30"/>
      <c r="G573" s="30"/>
      <c r="H573" s="30"/>
      <c r="I573" s="36"/>
    </row>
    <row r="574" customFormat="false" ht="15.75" hidden="false" customHeight="false" outlineLevel="0" collapsed="false">
      <c r="E574" s="30"/>
      <c r="F574" s="30"/>
      <c r="G574" s="30"/>
      <c r="H574" s="30"/>
      <c r="I574" s="36"/>
    </row>
    <row r="575" customFormat="false" ht="15.75" hidden="false" customHeight="false" outlineLevel="0" collapsed="false">
      <c r="E575" s="30"/>
      <c r="F575" s="30"/>
      <c r="G575" s="30"/>
      <c r="H575" s="30"/>
      <c r="I575" s="36"/>
    </row>
    <row r="576" customFormat="false" ht="15.75" hidden="false" customHeight="false" outlineLevel="0" collapsed="false">
      <c r="E576" s="30"/>
      <c r="F576" s="30"/>
      <c r="G576" s="30"/>
      <c r="H576" s="30"/>
      <c r="I576" s="36"/>
    </row>
    <row r="577" customFormat="false" ht="15.75" hidden="false" customHeight="false" outlineLevel="0" collapsed="false">
      <c r="E577" s="30"/>
      <c r="F577" s="30"/>
      <c r="G577" s="30"/>
      <c r="H577" s="30"/>
      <c r="I577" s="36"/>
    </row>
    <row r="578" customFormat="false" ht="15.75" hidden="false" customHeight="false" outlineLevel="0" collapsed="false">
      <c r="E578" s="30"/>
      <c r="F578" s="30"/>
      <c r="G578" s="30"/>
      <c r="H578" s="30"/>
      <c r="I578" s="36"/>
    </row>
    <row r="579" customFormat="false" ht="15.75" hidden="false" customHeight="false" outlineLevel="0" collapsed="false">
      <c r="E579" s="30"/>
      <c r="F579" s="30"/>
      <c r="G579" s="30"/>
      <c r="H579" s="30"/>
      <c r="I579" s="36"/>
    </row>
    <row r="580" customFormat="false" ht="15.75" hidden="false" customHeight="false" outlineLevel="0" collapsed="false">
      <c r="E580" s="30"/>
      <c r="F580" s="30"/>
      <c r="G580" s="30"/>
      <c r="H580" s="30"/>
      <c r="I580" s="36"/>
    </row>
    <row r="581" customFormat="false" ht="15.75" hidden="false" customHeight="false" outlineLevel="0" collapsed="false">
      <c r="E581" s="30"/>
      <c r="F581" s="30"/>
      <c r="G581" s="30"/>
      <c r="H581" s="30"/>
      <c r="I581" s="36"/>
    </row>
    <row r="582" customFormat="false" ht="15.75" hidden="false" customHeight="false" outlineLevel="0" collapsed="false">
      <c r="E582" s="30"/>
      <c r="F582" s="30"/>
      <c r="G582" s="30"/>
      <c r="H582" s="30"/>
      <c r="I582" s="36"/>
    </row>
    <row r="583" customFormat="false" ht="15.75" hidden="false" customHeight="false" outlineLevel="0" collapsed="false">
      <c r="E583" s="30"/>
      <c r="F583" s="30"/>
      <c r="G583" s="30"/>
      <c r="H583" s="30"/>
      <c r="I583" s="36"/>
    </row>
    <row r="584" customFormat="false" ht="15.75" hidden="false" customHeight="false" outlineLevel="0" collapsed="false">
      <c r="E584" s="30"/>
      <c r="F584" s="30"/>
      <c r="G584" s="30"/>
      <c r="H584" s="30"/>
      <c r="I584" s="36"/>
    </row>
    <row r="585" customFormat="false" ht="15.75" hidden="false" customHeight="false" outlineLevel="0" collapsed="false">
      <c r="E585" s="30"/>
      <c r="F585" s="30"/>
      <c r="G585" s="30"/>
      <c r="H585" s="30"/>
      <c r="I585" s="36"/>
    </row>
    <row r="586" customFormat="false" ht="15.75" hidden="false" customHeight="false" outlineLevel="0" collapsed="false">
      <c r="E586" s="30"/>
      <c r="F586" s="30"/>
      <c r="G586" s="30"/>
      <c r="H586" s="30"/>
      <c r="I586" s="36"/>
    </row>
    <row r="587" customFormat="false" ht="15.75" hidden="false" customHeight="false" outlineLevel="0" collapsed="false">
      <c r="E587" s="30"/>
      <c r="F587" s="30"/>
      <c r="G587" s="30"/>
      <c r="H587" s="30"/>
      <c r="I587" s="36"/>
    </row>
    <row r="588" customFormat="false" ht="15.75" hidden="false" customHeight="false" outlineLevel="0" collapsed="false">
      <c r="E588" s="30"/>
      <c r="F588" s="30"/>
      <c r="G588" s="30"/>
      <c r="H588" s="30"/>
      <c r="I588" s="36"/>
    </row>
    <row r="589" customFormat="false" ht="15.75" hidden="false" customHeight="false" outlineLevel="0" collapsed="false">
      <c r="E589" s="30"/>
      <c r="F589" s="30"/>
      <c r="G589" s="30"/>
      <c r="H589" s="30"/>
      <c r="I589" s="36"/>
    </row>
    <row r="590" customFormat="false" ht="15.75" hidden="false" customHeight="false" outlineLevel="0" collapsed="false">
      <c r="E590" s="30"/>
      <c r="F590" s="30"/>
      <c r="G590" s="30"/>
      <c r="H590" s="30"/>
      <c r="I590" s="36"/>
    </row>
    <row r="591" customFormat="false" ht="15.75" hidden="false" customHeight="false" outlineLevel="0" collapsed="false">
      <c r="E591" s="30"/>
      <c r="F591" s="30"/>
      <c r="G591" s="30"/>
      <c r="H591" s="30"/>
      <c r="I591" s="36"/>
    </row>
    <row r="592" customFormat="false" ht="15.75" hidden="false" customHeight="false" outlineLevel="0" collapsed="false">
      <c r="E592" s="30"/>
      <c r="F592" s="30"/>
      <c r="G592" s="30"/>
      <c r="H592" s="30"/>
      <c r="I592" s="36"/>
    </row>
    <row r="593" customFormat="false" ht="15.75" hidden="false" customHeight="false" outlineLevel="0" collapsed="false">
      <c r="E593" s="30"/>
      <c r="F593" s="30"/>
      <c r="G593" s="30"/>
      <c r="H593" s="30"/>
      <c r="I593" s="36"/>
    </row>
    <row r="594" customFormat="false" ht="15.75" hidden="false" customHeight="false" outlineLevel="0" collapsed="false">
      <c r="E594" s="30"/>
      <c r="F594" s="30"/>
      <c r="G594" s="30"/>
      <c r="H594" s="30"/>
      <c r="I594" s="36"/>
    </row>
    <row r="595" customFormat="false" ht="15.75" hidden="false" customHeight="false" outlineLevel="0" collapsed="false">
      <c r="E595" s="30"/>
      <c r="F595" s="30"/>
      <c r="G595" s="30"/>
      <c r="H595" s="30"/>
      <c r="I595" s="36"/>
    </row>
    <row r="596" customFormat="false" ht="15.75" hidden="false" customHeight="false" outlineLevel="0" collapsed="false">
      <c r="E596" s="30"/>
      <c r="F596" s="30"/>
      <c r="G596" s="30"/>
      <c r="H596" s="30"/>
      <c r="I596" s="36"/>
    </row>
    <row r="597" customFormat="false" ht="15.75" hidden="false" customHeight="false" outlineLevel="0" collapsed="false">
      <c r="E597" s="30"/>
      <c r="F597" s="30"/>
      <c r="G597" s="30"/>
      <c r="H597" s="30"/>
      <c r="I597" s="36"/>
    </row>
    <row r="598" customFormat="false" ht="15.75" hidden="false" customHeight="false" outlineLevel="0" collapsed="false">
      <c r="E598" s="30"/>
      <c r="F598" s="30"/>
      <c r="G598" s="30"/>
      <c r="H598" s="30"/>
      <c r="I598" s="36"/>
    </row>
    <row r="599" customFormat="false" ht="15.75" hidden="false" customHeight="false" outlineLevel="0" collapsed="false">
      <c r="E599" s="30"/>
      <c r="F599" s="30"/>
      <c r="G599" s="30"/>
      <c r="H599" s="30"/>
      <c r="I599" s="36"/>
    </row>
    <row r="600" customFormat="false" ht="15.75" hidden="false" customHeight="false" outlineLevel="0" collapsed="false">
      <c r="E600" s="30"/>
      <c r="F600" s="30"/>
      <c r="G600" s="30"/>
      <c r="H600" s="30"/>
      <c r="I600" s="36"/>
    </row>
    <row r="601" customFormat="false" ht="15.75" hidden="false" customHeight="false" outlineLevel="0" collapsed="false">
      <c r="E601" s="30"/>
      <c r="F601" s="30"/>
      <c r="G601" s="30"/>
      <c r="H601" s="30"/>
      <c r="I601" s="36"/>
    </row>
    <row r="602" customFormat="false" ht="15.75" hidden="false" customHeight="false" outlineLevel="0" collapsed="false">
      <c r="E602" s="30"/>
      <c r="F602" s="30"/>
      <c r="G602" s="30"/>
      <c r="H602" s="30"/>
      <c r="I602" s="36"/>
    </row>
    <row r="603" customFormat="false" ht="15.75" hidden="false" customHeight="false" outlineLevel="0" collapsed="false">
      <c r="E603" s="30"/>
      <c r="F603" s="30"/>
      <c r="G603" s="30"/>
      <c r="H603" s="30"/>
      <c r="I603" s="36"/>
    </row>
    <row r="604" customFormat="false" ht="15.75" hidden="false" customHeight="false" outlineLevel="0" collapsed="false">
      <c r="E604" s="30"/>
      <c r="F604" s="30"/>
      <c r="G604" s="30"/>
      <c r="H604" s="30"/>
      <c r="I604" s="36"/>
    </row>
    <row r="605" customFormat="false" ht="15.75" hidden="false" customHeight="false" outlineLevel="0" collapsed="false">
      <c r="E605" s="30"/>
      <c r="F605" s="30"/>
      <c r="G605" s="30"/>
      <c r="H605" s="30"/>
      <c r="I605" s="36"/>
    </row>
    <row r="606" customFormat="false" ht="15.75" hidden="false" customHeight="false" outlineLevel="0" collapsed="false">
      <c r="E606" s="30"/>
      <c r="F606" s="30"/>
      <c r="G606" s="30"/>
      <c r="H606" s="30"/>
      <c r="I606" s="36"/>
    </row>
    <row r="607" customFormat="false" ht="15.75" hidden="false" customHeight="false" outlineLevel="0" collapsed="false">
      <c r="E607" s="30"/>
      <c r="F607" s="30"/>
      <c r="G607" s="30"/>
      <c r="H607" s="30"/>
      <c r="I607" s="36"/>
    </row>
    <row r="608" customFormat="false" ht="15.75" hidden="false" customHeight="false" outlineLevel="0" collapsed="false">
      <c r="E608" s="30"/>
      <c r="F608" s="30"/>
      <c r="G608" s="30"/>
      <c r="H608" s="30"/>
      <c r="I608" s="36"/>
    </row>
    <row r="609" customFormat="false" ht="15.75" hidden="false" customHeight="false" outlineLevel="0" collapsed="false">
      <c r="E609" s="30"/>
      <c r="F609" s="30"/>
      <c r="G609" s="30"/>
      <c r="H609" s="30"/>
      <c r="I609" s="36"/>
    </row>
    <row r="610" customFormat="false" ht="15.75" hidden="false" customHeight="false" outlineLevel="0" collapsed="false">
      <c r="E610" s="30"/>
      <c r="F610" s="30"/>
      <c r="G610" s="30"/>
      <c r="H610" s="30"/>
      <c r="I610" s="36"/>
    </row>
    <row r="611" customFormat="false" ht="15.75" hidden="false" customHeight="false" outlineLevel="0" collapsed="false">
      <c r="E611" s="30"/>
      <c r="F611" s="30"/>
      <c r="G611" s="30"/>
      <c r="H611" s="30"/>
      <c r="I611" s="36"/>
    </row>
    <row r="612" customFormat="false" ht="15.75" hidden="false" customHeight="false" outlineLevel="0" collapsed="false">
      <c r="E612" s="30"/>
      <c r="F612" s="30"/>
      <c r="G612" s="30"/>
      <c r="H612" s="30"/>
      <c r="I612" s="36"/>
    </row>
    <row r="613" customFormat="false" ht="15.75" hidden="false" customHeight="false" outlineLevel="0" collapsed="false">
      <c r="E613" s="30"/>
      <c r="F613" s="30"/>
      <c r="G613" s="30"/>
      <c r="H613" s="30"/>
      <c r="I613" s="36"/>
    </row>
    <row r="614" customFormat="false" ht="15.75" hidden="false" customHeight="false" outlineLevel="0" collapsed="false">
      <c r="E614" s="30"/>
      <c r="F614" s="30"/>
      <c r="G614" s="30"/>
      <c r="H614" s="30"/>
      <c r="I614" s="36"/>
    </row>
    <row r="615" customFormat="false" ht="15.75" hidden="false" customHeight="false" outlineLevel="0" collapsed="false">
      <c r="E615" s="30"/>
      <c r="F615" s="30"/>
      <c r="G615" s="30"/>
      <c r="H615" s="30"/>
      <c r="I615" s="36"/>
    </row>
    <row r="616" customFormat="false" ht="15.75" hidden="false" customHeight="false" outlineLevel="0" collapsed="false">
      <c r="E616" s="30"/>
      <c r="F616" s="30"/>
      <c r="G616" s="30"/>
      <c r="H616" s="30"/>
      <c r="I616" s="36"/>
    </row>
    <row r="617" customFormat="false" ht="15.75" hidden="false" customHeight="false" outlineLevel="0" collapsed="false">
      <c r="E617" s="30"/>
      <c r="F617" s="30"/>
      <c r="G617" s="30"/>
      <c r="H617" s="30"/>
      <c r="I617" s="36"/>
    </row>
    <row r="618" customFormat="false" ht="15.75" hidden="false" customHeight="false" outlineLevel="0" collapsed="false">
      <c r="E618" s="30"/>
      <c r="F618" s="30"/>
      <c r="G618" s="30"/>
      <c r="H618" s="30"/>
      <c r="I618" s="36"/>
    </row>
    <row r="619" customFormat="false" ht="15.75" hidden="false" customHeight="false" outlineLevel="0" collapsed="false">
      <c r="E619" s="30"/>
      <c r="F619" s="30"/>
      <c r="G619" s="30"/>
      <c r="H619" s="30"/>
      <c r="I619" s="36"/>
    </row>
    <row r="620" customFormat="false" ht="15.75" hidden="false" customHeight="false" outlineLevel="0" collapsed="false">
      <c r="E620" s="30"/>
      <c r="F620" s="30"/>
      <c r="G620" s="30"/>
      <c r="H620" s="30"/>
      <c r="I620" s="36"/>
    </row>
    <row r="621" customFormat="false" ht="15.75" hidden="false" customHeight="false" outlineLevel="0" collapsed="false">
      <c r="E621" s="30"/>
      <c r="F621" s="30"/>
      <c r="G621" s="30"/>
      <c r="H621" s="30"/>
      <c r="I621" s="36"/>
    </row>
    <row r="622" customFormat="false" ht="15.75" hidden="false" customHeight="false" outlineLevel="0" collapsed="false">
      <c r="E622" s="30"/>
      <c r="F622" s="30"/>
      <c r="G622" s="30"/>
      <c r="H622" s="30"/>
      <c r="I622" s="36"/>
    </row>
    <row r="623" customFormat="false" ht="15.75" hidden="false" customHeight="false" outlineLevel="0" collapsed="false">
      <c r="E623" s="30"/>
      <c r="F623" s="30"/>
      <c r="G623" s="30"/>
      <c r="H623" s="30"/>
      <c r="I623" s="36"/>
    </row>
    <row r="624" customFormat="false" ht="15.75" hidden="false" customHeight="false" outlineLevel="0" collapsed="false">
      <c r="E624" s="30"/>
      <c r="F624" s="30"/>
      <c r="G624" s="30"/>
      <c r="H624" s="30"/>
      <c r="I624" s="36"/>
    </row>
    <row r="625" customFormat="false" ht="15.75" hidden="false" customHeight="false" outlineLevel="0" collapsed="false">
      <c r="E625" s="30"/>
      <c r="F625" s="30"/>
      <c r="G625" s="30"/>
      <c r="H625" s="30"/>
      <c r="I625" s="36"/>
    </row>
    <row r="626" customFormat="false" ht="15.75" hidden="false" customHeight="false" outlineLevel="0" collapsed="false">
      <c r="E626" s="30"/>
      <c r="F626" s="30"/>
      <c r="G626" s="30"/>
      <c r="H626" s="30"/>
      <c r="I626" s="36"/>
    </row>
    <row r="627" customFormat="false" ht="15.75" hidden="false" customHeight="false" outlineLevel="0" collapsed="false">
      <c r="E627" s="30"/>
      <c r="F627" s="30"/>
      <c r="G627" s="30"/>
      <c r="H627" s="30"/>
      <c r="I627" s="36"/>
    </row>
    <row r="628" customFormat="false" ht="15.75" hidden="false" customHeight="false" outlineLevel="0" collapsed="false">
      <c r="E628" s="30"/>
      <c r="F628" s="30"/>
      <c r="G628" s="30"/>
      <c r="H628" s="30"/>
      <c r="I628" s="36"/>
    </row>
    <row r="629" customFormat="false" ht="15.75" hidden="false" customHeight="false" outlineLevel="0" collapsed="false">
      <c r="E629" s="30"/>
      <c r="F629" s="30"/>
      <c r="G629" s="30"/>
      <c r="H629" s="30"/>
      <c r="I629" s="36"/>
    </row>
    <row r="630" customFormat="false" ht="15.75" hidden="false" customHeight="false" outlineLevel="0" collapsed="false">
      <c r="E630" s="30"/>
      <c r="F630" s="30"/>
      <c r="G630" s="30"/>
      <c r="H630" s="30"/>
      <c r="I630" s="36"/>
    </row>
    <row r="631" customFormat="false" ht="15.75" hidden="false" customHeight="false" outlineLevel="0" collapsed="false">
      <c r="E631" s="30"/>
      <c r="F631" s="30"/>
      <c r="G631" s="30"/>
      <c r="H631" s="30"/>
      <c r="I631" s="36"/>
    </row>
    <row r="632" customFormat="false" ht="15.75" hidden="false" customHeight="false" outlineLevel="0" collapsed="false">
      <c r="E632" s="30"/>
      <c r="F632" s="30"/>
      <c r="G632" s="30"/>
      <c r="H632" s="30"/>
      <c r="I632" s="36"/>
    </row>
    <row r="633" customFormat="false" ht="15.75" hidden="false" customHeight="false" outlineLevel="0" collapsed="false">
      <c r="E633" s="30"/>
      <c r="F633" s="30"/>
      <c r="G633" s="30"/>
      <c r="H633" s="30"/>
      <c r="I633" s="36"/>
    </row>
    <row r="634" customFormat="false" ht="15.75" hidden="false" customHeight="false" outlineLevel="0" collapsed="false">
      <c r="E634" s="30"/>
      <c r="F634" s="30"/>
      <c r="G634" s="30"/>
      <c r="H634" s="30"/>
      <c r="I634" s="36"/>
    </row>
    <row r="635" customFormat="false" ht="15.75" hidden="false" customHeight="false" outlineLevel="0" collapsed="false">
      <c r="E635" s="30"/>
      <c r="F635" s="30"/>
      <c r="G635" s="30"/>
      <c r="H635" s="30"/>
      <c r="I635" s="36"/>
    </row>
    <row r="636" customFormat="false" ht="15.75" hidden="false" customHeight="false" outlineLevel="0" collapsed="false">
      <c r="E636" s="30"/>
      <c r="F636" s="30"/>
      <c r="G636" s="30"/>
      <c r="H636" s="30"/>
      <c r="I636" s="36"/>
    </row>
    <row r="637" customFormat="false" ht="15.75" hidden="false" customHeight="false" outlineLevel="0" collapsed="false">
      <c r="E637" s="30"/>
      <c r="F637" s="30"/>
      <c r="G637" s="30"/>
      <c r="H637" s="30"/>
      <c r="I637" s="36"/>
    </row>
    <row r="638" customFormat="false" ht="15.75" hidden="false" customHeight="false" outlineLevel="0" collapsed="false">
      <c r="E638" s="30"/>
      <c r="F638" s="30"/>
      <c r="G638" s="30"/>
      <c r="H638" s="30"/>
      <c r="I638" s="36"/>
    </row>
    <row r="639" customFormat="false" ht="15.75" hidden="false" customHeight="false" outlineLevel="0" collapsed="false">
      <c r="E639" s="30"/>
      <c r="F639" s="30"/>
      <c r="G639" s="30"/>
      <c r="H639" s="30"/>
      <c r="I639" s="36"/>
    </row>
    <row r="640" customFormat="false" ht="15.75" hidden="false" customHeight="false" outlineLevel="0" collapsed="false">
      <c r="E640" s="30"/>
      <c r="F640" s="30"/>
      <c r="G640" s="30"/>
      <c r="H640" s="30"/>
      <c r="I640" s="36"/>
    </row>
    <row r="641" customFormat="false" ht="15.75" hidden="false" customHeight="false" outlineLevel="0" collapsed="false">
      <c r="E641" s="30"/>
      <c r="F641" s="30"/>
      <c r="G641" s="30"/>
      <c r="H641" s="30"/>
      <c r="I641" s="36"/>
    </row>
    <row r="642" customFormat="false" ht="15.75" hidden="false" customHeight="false" outlineLevel="0" collapsed="false">
      <c r="E642" s="30"/>
      <c r="F642" s="30"/>
      <c r="G642" s="30"/>
      <c r="H642" s="30"/>
      <c r="I642" s="36"/>
    </row>
    <row r="643" customFormat="false" ht="15.75" hidden="false" customHeight="false" outlineLevel="0" collapsed="false">
      <c r="E643" s="30"/>
      <c r="F643" s="30"/>
      <c r="G643" s="30"/>
      <c r="H643" s="30"/>
      <c r="I643" s="36"/>
    </row>
    <row r="644" customFormat="false" ht="15.75" hidden="false" customHeight="false" outlineLevel="0" collapsed="false">
      <c r="E644" s="30"/>
      <c r="F644" s="30"/>
      <c r="G644" s="30"/>
      <c r="H644" s="30"/>
      <c r="I644" s="36"/>
    </row>
    <row r="645" customFormat="false" ht="15.75" hidden="false" customHeight="false" outlineLevel="0" collapsed="false">
      <c r="E645" s="30"/>
      <c r="F645" s="30"/>
      <c r="G645" s="30"/>
      <c r="H645" s="30"/>
      <c r="I645" s="36"/>
    </row>
    <row r="646" customFormat="false" ht="15.75" hidden="false" customHeight="false" outlineLevel="0" collapsed="false">
      <c r="E646" s="30"/>
      <c r="F646" s="30"/>
      <c r="G646" s="30"/>
      <c r="H646" s="30"/>
      <c r="I646" s="36"/>
    </row>
    <row r="647" customFormat="false" ht="15.75" hidden="false" customHeight="false" outlineLevel="0" collapsed="false">
      <c r="E647" s="30"/>
      <c r="F647" s="30"/>
      <c r="G647" s="30"/>
      <c r="H647" s="30"/>
      <c r="I647" s="36"/>
    </row>
    <row r="648" customFormat="false" ht="15.75" hidden="false" customHeight="false" outlineLevel="0" collapsed="false">
      <c r="E648" s="30"/>
      <c r="F648" s="30"/>
      <c r="G648" s="30"/>
      <c r="H648" s="30"/>
      <c r="I648" s="36"/>
    </row>
    <row r="649" customFormat="false" ht="15.75" hidden="false" customHeight="false" outlineLevel="0" collapsed="false">
      <c r="E649" s="30"/>
      <c r="F649" s="30"/>
      <c r="G649" s="30"/>
      <c r="H649" s="30"/>
      <c r="I649" s="36"/>
    </row>
    <row r="650" customFormat="false" ht="15.75" hidden="false" customHeight="false" outlineLevel="0" collapsed="false">
      <c r="E650" s="30"/>
      <c r="F650" s="30"/>
      <c r="G650" s="30"/>
      <c r="H650" s="30"/>
      <c r="I650" s="36"/>
    </row>
    <row r="651" customFormat="false" ht="15.75" hidden="false" customHeight="false" outlineLevel="0" collapsed="false">
      <c r="E651" s="30"/>
      <c r="F651" s="30"/>
      <c r="G651" s="30"/>
      <c r="H651" s="30"/>
      <c r="I651" s="36"/>
    </row>
    <row r="652" customFormat="false" ht="15.75" hidden="false" customHeight="false" outlineLevel="0" collapsed="false">
      <c r="E652" s="30"/>
      <c r="F652" s="30"/>
      <c r="G652" s="30"/>
      <c r="H652" s="30"/>
      <c r="I652" s="36"/>
    </row>
    <row r="653" customFormat="false" ht="15.75" hidden="false" customHeight="false" outlineLevel="0" collapsed="false">
      <c r="E653" s="30"/>
      <c r="F653" s="30"/>
      <c r="G653" s="30"/>
      <c r="H653" s="30"/>
      <c r="I653" s="36"/>
    </row>
    <row r="654" customFormat="false" ht="15.75" hidden="false" customHeight="false" outlineLevel="0" collapsed="false">
      <c r="E654" s="30"/>
      <c r="F654" s="30"/>
      <c r="G654" s="30"/>
      <c r="H654" s="30"/>
      <c r="I654" s="36"/>
    </row>
    <row r="655" customFormat="false" ht="15.75" hidden="false" customHeight="false" outlineLevel="0" collapsed="false">
      <c r="E655" s="30"/>
      <c r="F655" s="30"/>
      <c r="G655" s="30"/>
      <c r="H655" s="30"/>
      <c r="I655" s="36"/>
    </row>
    <row r="656" customFormat="false" ht="15.75" hidden="false" customHeight="false" outlineLevel="0" collapsed="false">
      <c r="E656" s="30"/>
      <c r="F656" s="30"/>
      <c r="G656" s="30"/>
      <c r="H656" s="30"/>
      <c r="I656" s="36"/>
    </row>
    <row r="657" customFormat="false" ht="15.75" hidden="false" customHeight="false" outlineLevel="0" collapsed="false">
      <c r="E657" s="30"/>
      <c r="F657" s="30"/>
      <c r="G657" s="30"/>
      <c r="H657" s="30"/>
      <c r="I657" s="36"/>
    </row>
    <row r="658" customFormat="false" ht="15.75" hidden="false" customHeight="false" outlineLevel="0" collapsed="false">
      <c r="E658" s="30"/>
      <c r="F658" s="30"/>
      <c r="G658" s="30"/>
      <c r="H658" s="30"/>
      <c r="I658" s="36"/>
    </row>
    <row r="659" customFormat="false" ht="15.75" hidden="false" customHeight="false" outlineLevel="0" collapsed="false">
      <c r="E659" s="30"/>
      <c r="F659" s="30"/>
      <c r="G659" s="30"/>
      <c r="H659" s="30"/>
      <c r="I659" s="36"/>
    </row>
    <row r="660" customFormat="false" ht="15.75" hidden="false" customHeight="false" outlineLevel="0" collapsed="false">
      <c r="E660" s="30"/>
      <c r="F660" s="30"/>
      <c r="G660" s="30"/>
      <c r="H660" s="30"/>
      <c r="I660" s="36"/>
    </row>
    <row r="661" customFormat="false" ht="15.75" hidden="false" customHeight="false" outlineLevel="0" collapsed="false">
      <c r="E661" s="30"/>
      <c r="F661" s="30"/>
      <c r="G661" s="30"/>
      <c r="H661" s="30"/>
      <c r="I661" s="36"/>
    </row>
    <row r="662" customFormat="false" ht="15.75" hidden="false" customHeight="false" outlineLevel="0" collapsed="false">
      <c r="E662" s="30"/>
      <c r="F662" s="30"/>
      <c r="G662" s="30"/>
      <c r="H662" s="30"/>
      <c r="I662" s="36"/>
    </row>
    <row r="663" customFormat="false" ht="15.75" hidden="false" customHeight="false" outlineLevel="0" collapsed="false">
      <c r="E663" s="30"/>
      <c r="F663" s="30"/>
      <c r="G663" s="30"/>
      <c r="H663" s="30"/>
      <c r="I663" s="36"/>
    </row>
    <row r="664" customFormat="false" ht="15.75" hidden="false" customHeight="false" outlineLevel="0" collapsed="false">
      <c r="E664" s="30"/>
      <c r="F664" s="30"/>
      <c r="G664" s="30"/>
      <c r="H664" s="30"/>
      <c r="I664" s="36"/>
    </row>
    <row r="665" customFormat="false" ht="15.75" hidden="false" customHeight="false" outlineLevel="0" collapsed="false">
      <c r="E665" s="30"/>
      <c r="F665" s="30"/>
      <c r="G665" s="30"/>
      <c r="H665" s="30"/>
      <c r="I665" s="36"/>
    </row>
    <row r="666" customFormat="false" ht="15.75" hidden="false" customHeight="false" outlineLevel="0" collapsed="false">
      <c r="E666" s="30"/>
      <c r="F666" s="30"/>
      <c r="G666" s="30"/>
      <c r="H666" s="30"/>
      <c r="I666" s="36"/>
    </row>
    <row r="667" customFormat="false" ht="15.75" hidden="false" customHeight="false" outlineLevel="0" collapsed="false">
      <c r="E667" s="30"/>
      <c r="F667" s="30"/>
      <c r="G667" s="30"/>
      <c r="H667" s="30"/>
      <c r="I667" s="36"/>
    </row>
    <row r="668" customFormat="false" ht="15.75" hidden="false" customHeight="false" outlineLevel="0" collapsed="false">
      <c r="E668" s="30"/>
      <c r="F668" s="30"/>
      <c r="G668" s="30"/>
      <c r="H668" s="30"/>
      <c r="I668" s="36"/>
    </row>
    <row r="669" customFormat="false" ht="15.75" hidden="false" customHeight="false" outlineLevel="0" collapsed="false">
      <c r="E669" s="30"/>
      <c r="F669" s="30"/>
      <c r="G669" s="30"/>
      <c r="H669" s="30"/>
      <c r="I669" s="36"/>
    </row>
    <row r="670" customFormat="false" ht="15.75" hidden="false" customHeight="false" outlineLevel="0" collapsed="false">
      <c r="E670" s="30"/>
      <c r="F670" s="30"/>
      <c r="G670" s="30"/>
      <c r="H670" s="30"/>
      <c r="I670" s="36"/>
    </row>
    <row r="671" customFormat="false" ht="15.75" hidden="false" customHeight="false" outlineLevel="0" collapsed="false">
      <c r="E671" s="30"/>
      <c r="F671" s="30"/>
      <c r="G671" s="30"/>
      <c r="H671" s="30"/>
      <c r="I671" s="36"/>
    </row>
    <row r="672" customFormat="false" ht="15.75" hidden="false" customHeight="false" outlineLevel="0" collapsed="false">
      <c r="E672" s="30"/>
      <c r="F672" s="30"/>
      <c r="G672" s="30"/>
      <c r="H672" s="30"/>
      <c r="I672" s="36"/>
    </row>
    <row r="673" customFormat="false" ht="15.75" hidden="false" customHeight="false" outlineLevel="0" collapsed="false">
      <c r="E673" s="30"/>
      <c r="F673" s="30"/>
      <c r="G673" s="30"/>
      <c r="H673" s="30"/>
      <c r="I673" s="36"/>
    </row>
    <row r="674" customFormat="false" ht="15.75" hidden="false" customHeight="false" outlineLevel="0" collapsed="false">
      <c r="E674" s="30"/>
      <c r="F674" s="30"/>
      <c r="G674" s="30"/>
      <c r="H674" s="30"/>
      <c r="I674" s="36"/>
    </row>
    <row r="675" customFormat="false" ht="15.75" hidden="false" customHeight="false" outlineLevel="0" collapsed="false">
      <c r="E675" s="30"/>
      <c r="F675" s="30"/>
      <c r="G675" s="30"/>
      <c r="H675" s="30"/>
      <c r="I675" s="36"/>
    </row>
    <row r="676" customFormat="false" ht="15.75" hidden="false" customHeight="false" outlineLevel="0" collapsed="false">
      <c r="E676" s="30"/>
      <c r="F676" s="30"/>
      <c r="G676" s="30"/>
      <c r="H676" s="30"/>
      <c r="I676" s="36"/>
    </row>
    <row r="677" customFormat="false" ht="15.75" hidden="false" customHeight="false" outlineLevel="0" collapsed="false">
      <c r="E677" s="30"/>
      <c r="F677" s="30"/>
      <c r="G677" s="30"/>
      <c r="H677" s="30"/>
      <c r="I677" s="36"/>
    </row>
    <row r="678" customFormat="false" ht="15.75" hidden="false" customHeight="false" outlineLevel="0" collapsed="false">
      <c r="E678" s="30"/>
      <c r="F678" s="30"/>
      <c r="G678" s="30"/>
      <c r="H678" s="30"/>
      <c r="I678" s="36"/>
    </row>
    <row r="679" customFormat="false" ht="15.75" hidden="false" customHeight="false" outlineLevel="0" collapsed="false">
      <c r="E679" s="30"/>
      <c r="F679" s="30"/>
      <c r="G679" s="30"/>
      <c r="H679" s="30"/>
      <c r="I679" s="36"/>
    </row>
    <row r="680" customFormat="false" ht="15.75" hidden="false" customHeight="false" outlineLevel="0" collapsed="false">
      <c r="E680" s="30"/>
      <c r="F680" s="30"/>
      <c r="G680" s="30"/>
      <c r="H680" s="30"/>
      <c r="I680" s="36"/>
    </row>
    <row r="681" customFormat="false" ht="15.75" hidden="false" customHeight="false" outlineLevel="0" collapsed="false">
      <c r="E681" s="30"/>
      <c r="F681" s="30"/>
      <c r="G681" s="30"/>
      <c r="H681" s="30"/>
      <c r="I681" s="36"/>
    </row>
    <row r="682" customFormat="false" ht="15.75" hidden="false" customHeight="false" outlineLevel="0" collapsed="false">
      <c r="E682" s="30"/>
      <c r="F682" s="30"/>
      <c r="G682" s="30"/>
      <c r="H682" s="30"/>
      <c r="I682" s="36"/>
    </row>
    <row r="683" customFormat="false" ht="15.75" hidden="false" customHeight="false" outlineLevel="0" collapsed="false">
      <c r="E683" s="30"/>
      <c r="F683" s="30"/>
      <c r="G683" s="30"/>
      <c r="H683" s="30"/>
      <c r="I683" s="36"/>
    </row>
    <row r="684" customFormat="false" ht="15.75" hidden="false" customHeight="false" outlineLevel="0" collapsed="false">
      <c r="E684" s="30"/>
      <c r="F684" s="30"/>
      <c r="G684" s="30"/>
      <c r="H684" s="30"/>
      <c r="I684" s="36"/>
    </row>
    <row r="685" customFormat="false" ht="15.75" hidden="false" customHeight="false" outlineLevel="0" collapsed="false">
      <c r="E685" s="30"/>
      <c r="F685" s="30"/>
      <c r="G685" s="30"/>
      <c r="H685" s="30"/>
      <c r="I685" s="36"/>
    </row>
    <row r="686" customFormat="false" ht="15.75" hidden="false" customHeight="false" outlineLevel="0" collapsed="false">
      <c r="E686" s="30"/>
      <c r="F686" s="30"/>
      <c r="G686" s="30"/>
      <c r="H686" s="30"/>
      <c r="I686" s="36"/>
    </row>
    <row r="687" customFormat="false" ht="15.75" hidden="false" customHeight="false" outlineLevel="0" collapsed="false">
      <c r="E687" s="30"/>
      <c r="F687" s="30"/>
      <c r="G687" s="30"/>
      <c r="H687" s="30"/>
      <c r="I687" s="36"/>
    </row>
    <row r="688" customFormat="false" ht="15.75" hidden="false" customHeight="false" outlineLevel="0" collapsed="false">
      <c r="E688" s="30"/>
      <c r="F688" s="30"/>
      <c r="G688" s="30"/>
      <c r="H688" s="30"/>
      <c r="I688" s="36"/>
    </row>
    <row r="689" customFormat="false" ht="15.75" hidden="false" customHeight="false" outlineLevel="0" collapsed="false">
      <c r="E689" s="30"/>
      <c r="F689" s="30"/>
      <c r="G689" s="30"/>
      <c r="H689" s="30"/>
      <c r="I689" s="36"/>
    </row>
    <row r="690" customFormat="false" ht="15.75" hidden="false" customHeight="false" outlineLevel="0" collapsed="false">
      <c r="E690" s="30"/>
      <c r="F690" s="30"/>
      <c r="G690" s="30"/>
      <c r="H690" s="30"/>
      <c r="I690" s="36"/>
    </row>
    <row r="691" customFormat="false" ht="15.75" hidden="false" customHeight="false" outlineLevel="0" collapsed="false">
      <c r="E691" s="30"/>
      <c r="F691" s="30"/>
      <c r="G691" s="30"/>
      <c r="H691" s="30"/>
      <c r="I691" s="36"/>
    </row>
    <row r="692" customFormat="false" ht="15.75" hidden="false" customHeight="false" outlineLevel="0" collapsed="false">
      <c r="E692" s="30"/>
      <c r="F692" s="30"/>
      <c r="G692" s="30"/>
      <c r="H692" s="30"/>
      <c r="I692" s="36"/>
    </row>
    <row r="693" customFormat="false" ht="15.75" hidden="false" customHeight="false" outlineLevel="0" collapsed="false">
      <c r="E693" s="30"/>
      <c r="F693" s="30"/>
      <c r="G693" s="30"/>
      <c r="H693" s="30"/>
      <c r="I693" s="36"/>
    </row>
    <row r="694" customFormat="false" ht="15.75" hidden="false" customHeight="false" outlineLevel="0" collapsed="false">
      <c r="E694" s="30"/>
      <c r="F694" s="30"/>
      <c r="G694" s="30"/>
      <c r="H694" s="30"/>
      <c r="I694" s="36"/>
    </row>
    <row r="695" customFormat="false" ht="15.75" hidden="false" customHeight="false" outlineLevel="0" collapsed="false">
      <c r="E695" s="30"/>
      <c r="F695" s="30"/>
      <c r="G695" s="30"/>
      <c r="H695" s="30"/>
      <c r="I695" s="36"/>
    </row>
    <row r="696" customFormat="false" ht="15.75" hidden="false" customHeight="false" outlineLevel="0" collapsed="false">
      <c r="E696" s="30"/>
      <c r="F696" s="30"/>
      <c r="G696" s="30"/>
      <c r="H696" s="30"/>
      <c r="I696" s="36"/>
    </row>
    <row r="697" customFormat="false" ht="15.75" hidden="false" customHeight="false" outlineLevel="0" collapsed="false">
      <c r="E697" s="30"/>
      <c r="F697" s="30"/>
      <c r="G697" s="30"/>
      <c r="H697" s="30"/>
      <c r="I697" s="36"/>
    </row>
    <row r="698" customFormat="false" ht="15.75" hidden="false" customHeight="false" outlineLevel="0" collapsed="false">
      <c r="E698" s="30"/>
      <c r="F698" s="30"/>
      <c r="G698" s="30"/>
      <c r="H698" s="30"/>
      <c r="I698" s="36"/>
    </row>
    <row r="699" customFormat="false" ht="15.75" hidden="false" customHeight="false" outlineLevel="0" collapsed="false">
      <c r="E699" s="30"/>
      <c r="F699" s="30"/>
      <c r="G699" s="30"/>
      <c r="H699" s="30"/>
      <c r="I699" s="36"/>
    </row>
    <row r="700" customFormat="false" ht="15.75" hidden="false" customHeight="false" outlineLevel="0" collapsed="false">
      <c r="E700" s="30"/>
      <c r="F700" s="30"/>
      <c r="G700" s="30"/>
      <c r="H700" s="30"/>
      <c r="I700" s="36"/>
    </row>
    <row r="701" customFormat="false" ht="15.75" hidden="false" customHeight="false" outlineLevel="0" collapsed="false">
      <c r="E701" s="30"/>
      <c r="F701" s="30"/>
      <c r="G701" s="30"/>
      <c r="H701" s="30"/>
      <c r="I701" s="36"/>
    </row>
    <row r="702" customFormat="false" ht="15.75" hidden="false" customHeight="false" outlineLevel="0" collapsed="false">
      <c r="E702" s="30"/>
      <c r="F702" s="30"/>
      <c r="G702" s="30"/>
      <c r="H702" s="30"/>
      <c r="I702" s="36"/>
    </row>
    <row r="703" customFormat="false" ht="15.75" hidden="false" customHeight="false" outlineLevel="0" collapsed="false">
      <c r="E703" s="30"/>
      <c r="F703" s="30"/>
      <c r="G703" s="30"/>
      <c r="H703" s="30"/>
      <c r="I703" s="36"/>
    </row>
    <row r="704" customFormat="false" ht="15.75" hidden="false" customHeight="false" outlineLevel="0" collapsed="false">
      <c r="E704" s="30"/>
      <c r="F704" s="30"/>
      <c r="G704" s="30"/>
      <c r="H704" s="30"/>
      <c r="I704" s="36"/>
    </row>
    <row r="705" customFormat="false" ht="15.75" hidden="false" customHeight="false" outlineLevel="0" collapsed="false">
      <c r="E705" s="30"/>
      <c r="F705" s="30"/>
      <c r="G705" s="30"/>
      <c r="H705" s="30"/>
      <c r="I705" s="36"/>
    </row>
    <row r="706" customFormat="false" ht="15.75" hidden="false" customHeight="false" outlineLevel="0" collapsed="false">
      <c r="E706" s="30"/>
      <c r="F706" s="30"/>
      <c r="G706" s="30"/>
      <c r="H706" s="30"/>
      <c r="I706" s="36"/>
    </row>
    <row r="707" customFormat="false" ht="15.75" hidden="false" customHeight="false" outlineLevel="0" collapsed="false">
      <c r="E707" s="30"/>
      <c r="F707" s="30"/>
      <c r="G707" s="30"/>
      <c r="H707" s="30"/>
      <c r="I707" s="36"/>
    </row>
    <row r="708" customFormat="false" ht="15.75" hidden="false" customHeight="false" outlineLevel="0" collapsed="false">
      <c r="E708" s="30"/>
      <c r="F708" s="30"/>
      <c r="G708" s="30"/>
      <c r="H708" s="30"/>
      <c r="I708" s="36"/>
    </row>
    <row r="709" customFormat="false" ht="15.75" hidden="false" customHeight="false" outlineLevel="0" collapsed="false">
      <c r="E709" s="30"/>
      <c r="F709" s="30"/>
      <c r="G709" s="30"/>
      <c r="H709" s="30"/>
      <c r="I709" s="36"/>
    </row>
    <row r="710" customFormat="false" ht="15.75" hidden="false" customHeight="false" outlineLevel="0" collapsed="false">
      <c r="E710" s="30"/>
      <c r="F710" s="30"/>
      <c r="G710" s="30"/>
      <c r="H710" s="30"/>
      <c r="I710" s="36"/>
    </row>
    <row r="711" customFormat="false" ht="15.75" hidden="false" customHeight="false" outlineLevel="0" collapsed="false">
      <c r="E711" s="30"/>
      <c r="F711" s="30"/>
      <c r="G711" s="30"/>
      <c r="H711" s="30"/>
      <c r="I711" s="36"/>
    </row>
    <row r="712" customFormat="false" ht="15.75" hidden="false" customHeight="false" outlineLevel="0" collapsed="false">
      <c r="E712" s="30"/>
      <c r="F712" s="30"/>
      <c r="G712" s="30"/>
      <c r="H712" s="30"/>
      <c r="I712" s="36"/>
    </row>
    <row r="713" customFormat="false" ht="15.75" hidden="false" customHeight="false" outlineLevel="0" collapsed="false">
      <c r="E713" s="30"/>
      <c r="F713" s="30"/>
      <c r="G713" s="30"/>
      <c r="H713" s="30"/>
      <c r="I713" s="36"/>
    </row>
    <row r="714" customFormat="false" ht="15.75" hidden="false" customHeight="false" outlineLevel="0" collapsed="false">
      <c r="E714" s="30"/>
      <c r="F714" s="30"/>
      <c r="G714" s="30"/>
      <c r="H714" s="30"/>
      <c r="I714" s="36"/>
    </row>
    <row r="715" customFormat="false" ht="15.75" hidden="false" customHeight="false" outlineLevel="0" collapsed="false">
      <c r="E715" s="30"/>
      <c r="F715" s="30"/>
      <c r="G715" s="30"/>
      <c r="H715" s="30"/>
      <c r="I715" s="36"/>
    </row>
    <row r="716" customFormat="false" ht="15.75" hidden="false" customHeight="false" outlineLevel="0" collapsed="false">
      <c r="E716" s="30"/>
      <c r="F716" s="30"/>
      <c r="G716" s="30"/>
      <c r="H716" s="30"/>
      <c r="I716" s="36"/>
    </row>
    <row r="717" customFormat="false" ht="15.75" hidden="false" customHeight="false" outlineLevel="0" collapsed="false">
      <c r="E717" s="30"/>
      <c r="F717" s="30"/>
      <c r="G717" s="30"/>
      <c r="H717" s="30"/>
      <c r="I717" s="36"/>
    </row>
    <row r="718" customFormat="false" ht="15.75" hidden="false" customHeight="false" outlineLevel="0" collapsed="false">
      <c r="E718" s="30"/>
      <c r="F718" s="30"/>
      <c r="G718" s="30"/>
      <c r="H718" s="30"/>
      <c r="I718" s="36"/>
    </row>
    <row r="719" customFormat="false" ht="15.75" hidden="false" customHeight="false" outlineLevel="0" collapsed="false">
      <c r="E719" s="30"/>
      <c r="F719" s="30"/>
      <c r="G719" s="30"/>
      <c r="H719" s="30"/>
      <c r="I719" s="36"/>
    </row>
    <row r="720" customFormat="false" ht="15.75" hidden="false" customHeight="false" outlineLevel="0" collapsed="false">
      <c r="E720" s="30"/>
      <c r="F720" s="30"/>
      <c r="G720" s="30"/>
      <c r="H720" s="30"/>
      <c r="I720" s="36"/>
    </row>
    <row r="721" customFormat="false" ht="15.75" hidden="false" customHeight="false" outlineLevel="0" collapsed="false">
      <c r="E721" s="30"/>
      <c r="F721" s="30"/>
      <c r="G721" s="30"/>
      <c r="H721" s="30"/>
      <c r="I721" s="36"/>
    </row>
    <row r="722" customFormat="false" ht="15.75" hidden="false" customHeight="false" outlineLevel="0" collapsed="false">
      <c r="E722" s="30"/>
      <c r="F722" s="30"/>
      <c r="G722" s="30"/>
      <c r="H722" s="30"/>
      <c r="I722" s="36"/>
    </row>
    <row r="723" customFormat="false" ht="15.75" hidden="false" customHeight="false" outlineLevel="0" collapsed="false">
      <c r="E723" s="30"/>
      <c r="F723" s="30"/>
      <c r="G723" s="30"/>
      <c r="H723" s="30"/>
      <c r="I723" s="36"/>
    </row>
    <row r="724" customFormat="false" ht="15.75" hidden="false" customHeight="false" outlineLevel="0" collapsed="false">
      <c r="E724" s="30"/>
      <c r="F724" s="30"/>
      <c r="G724" s="30"/>
      <c r="H724" s="30"/>
      <c r="I724" s="36"/>
    </row>
    <row r="725" customFormat="false" ht="15.75" hidden="false" customHeight="false" outlineLevel="0" collapsed="false">
      <c r="E725" s="30"/>
      <c r="F725" s="30"/>
      <c r="G725" s="30"/>
      <c r="H725" s="30"/>
      <c r="I725" s="36"/>
    </row>
    <row r="726" customFormat="false" ht="15.75" hidden="false" customHeight="false" outlineLevel="0" collapsed="false">
      <c r="E726" s="30"/>
      <c r="F726" s="30"/>
      <c r="G726" s="30"/>
      <c r="H726" s="30"/>
      <c r="I726" s="36"/>
    </row>
    <row r="727" customFormat="false" ht="15.75" hidden="false" customHeight="false" outlineLevel="0" collapsed="false">
      <c r="E727" s="30"/>
      <c r="F727" s="30"/>
      <c r="G727" s="30"/>
      <c r="H727" s="30"/>
      <c r="I727" s="36"/>
    </row>
    <row r="728" customFormat="false" ht="15.75" hidden="false" customHeight="false" outlineLevel="0" collapsed="false">
      <c r="E728" s="30"/>
      <c r="F728" s="30"/>
      <c r="G728" s="30"/>
      <c r="H728" s="30"/>
      <c r="I728" s="36"/>
    </row>
    <row r="729" customFormat="false" ht="15.75" hidden="false" customHeight="false" outlineLevel="0" collapsed="false">
      <c r="E729" s="30"/>
      <c r="F729" s="30"/>
      <c r="G729" s="30"/>
      <c r="H729" s="30"/>
      <c r="I729" s="36"/>
    </row>
    <row r="730" customFormat="false" ht="15.75" hidden="false" customHeight="false" outlineLevel="0" collapsed="false">
      <c r="E730" s="30"/>
      <c r="F730" s="30"/>
      <c r="G730" s="30"/>
      <c r="H730" s="30"/>
      <c r="I730" s="36"/>
    </row>
    <row r="731" customFormat="false" ht="15.75" hidden="false" customHeight="false" outlineLevel="0" collapsed="false">
      <c r="E731" s="30"/>
      <c r="F731" s="30"/>
      <c r="G731" s="30"/>
      <c r="H731" s="30"/>
      <c r="I731" s="36"/>
    </row>
    <row r="732" customFormat="false" ht="15.75" hidden="false" customHeight="false" outlineLevel="0" collapsed="false">
      <c r="E732" s="30"/>
      <c r="F732" s="30"/>
      <c r="G732" s="30"/>
      <c r="H732" s="30"/>
      <c r="I732" s="36"/>
    </row>
    <row r="733" customFormat="false" ht="15.75" hidden="false" customHeight="false" outlineLevel="0" collapsed="false">
      <c r="E733" s="30"/>
      <c r="F733" s="30"/>
      <c r="G733" s="30"/>
      <c r="H733" s="30"/>
      <c r="I733" s="36"/>
    </row>
    <row r="734" customFormat="false" ht="15.75" hidden="false" customHeight="false" outlineLevel="0" collapsed="false">
      <c r="E734" s="30"/>
      <c r="F734" s="30"/>
      <c r="G734" s="30"/>
      <c r="H734" s="30"/>
      <c r="I734" s="36"/>
    </row>
    <row r="735" customFormat="false" ht="15.75" hidden="false" customHeight="false" outlineLevel="0" collapsed="false">
      <c r="E735" s="30"/>
      <c r="F735" s="30"/>
      <c r="G735" s="30"/>
      <c r="H735" s="30"/>
      <c r="I735" s="36"/>
    </row>
    <row r="736" customFormat="false" ht="15.75" hidden="false" customHeight="false" outlineLevel="0" collapsed="false">
      <c r="E736" s="30"/>
      <c r="F736" s="30"/>
      <c r="G736" s="30"/>
      <c r="H736" s="30"/>
      <c r="I736" s="36"/>
    </row>
    <row r="737" customFormat="false" ht="15.75" hidden="false" customHeight="false" outlineLevel="0" collapsed="false">
      <c r="E737" s="30"/>
      <c r="F737" s="30"/>
      <c r="G737" s="30"/>
      <c r="H737" s="30"/>
      <c r="I737" s="36"/>
    </row>
    <row r="738" customFormat="false" ht="15.75" hidden="false" customHeight="false" outlineLevel="0" collapsed="false">
      <c r="E738" s="30"/>
      <c r="F738" s="30"/>
      <c r="G738" s="30"/>
      <c r="H738" s="30"/>
      <c r="I738" s="36"/>
    </row>
    <row r="739" customFormat="false" ht="15.75" hidden="false" customHeight="false" outlineLevel="0" collapsed="false">
      <c r="E739" s="30"/>
      <c r="F739" s="30"/>
      <c r="G739" s="30"/>
      <c r="H739" s="30"/>
      <c r="I739" s="36"/>
    </row>
    <row r="740" customFormat="false" ht="15.75" hidden="false" customHeight="false" outlineLevel="0" collapsed="false">
      <c r="E740" s="30"/>
      <c r="F740" s="30"/>
      <c r="G740" s="30"/>
      <c r="H740" s="30"/>
      <c r="I740" s="36"/>
    </row>
    <row r="741" customFormat="false" ht="15.75" hidden="false" customHeight="false" outlineLevel="0" collapsed="false">
      <c r="E741" s="30"/>
      <c r="F741" s="30"/>
      <c r="G741" s="30"/>
      <c r="H741" s="30"/>
      <c r="I741" s="36"/>
    </row>
    <row r="742" customFormat="false" ht="15.75" hidden="false" customHeight="false" outlineLevel="0" collapsed="false">
      <c r="E742" s="30"/>
      <c r="F742" s="30"/>
      <c r="G742" s="30"/>
      <c r="H742" s="30"/>
      <c r="I742" s="36"/>
    </row>
    <row r="743" customFormat="false" ht="15.75" hidden="false" customHeight="false" outlineLevel="0" collapsed="false">
      <c r="E743" s="30"/>
      <c r="F743" s="30"/>
      <c r="G743" s="30"/>
      <c r="H743" s="30"/>
      <c r="I743" s="36"/>
    </row>
    <row r="744" customFormat="false" ht="15.75" hidden="false" customHeight="false" outlineLevel="0" collapsed="false">
      <c r="E744" s="30"/>
      <c r="F744" s="30"/>
      <c r="G744" s="30"/>
      <c r="H744" s="30"/>
      <c r="I744" s="36"/>
    </row>
    <row r="745" customFormat="false" ht="15.75" hidden="false" customHeight="false" outlineLevel="0" collapsed="false">
      <c r="E745" s="30"/>
      <c r="F745" s="30"/>
      <c r="G745" s="30"/>
      <c r="H745" s="30"/>
      <c r="I745" s="36"/>
    </row>
    <row r="746" customFormat="false" ht="15.75" hidden="false" customHeight="false" outlineLevel="0" collapsed="false">
      <c r="E746" s="30"/>
      <c r="F746" s="30"/>
      <c r="G746" s="30"/>
      <c r="H746" s="30"/>
      <c r="I746" s="36"/>
    </row>
    <row r="747" customFormat="false" ht="15.75" hidden="false" customHeight="false" outlineLevel="0" collapsed="false">
      <c r="E747" s="30"/>
      <c r="F747" s="30"/>
      <c r="G747" s="30"/>
      <c r="H747" s="30"/>
      <c r="I747" s="36"/>
    </row>
    <row r="748" customFormat="false" ht="15.75" hidden="false" customHeight="false" outlineLevel="0" collapsed="false">
      <c r="E748" s="30"/>
      <c r="F748" s="30"/>
      <c r="G748" s="30"/>
      <c r="H748" s="30"/>
      <c r="I748" s="36"/>
    </row>
    <row r="749" customFormat="false" ht="15.75" hidden="false" customHeight="false" outlineLevel="0" collapsed="false">
      <c r="E749" s="30"/>
      <c r="F749" s="30"/>
      <c r="G749" s="30"/>
      <c r="H749" s="30"/>
      <c r="I749" s="36"/>
    </row>
    <row r="750" customFormat="false" ht="15.75" hidden="false" customHeight="false" outlineLevel="0" collapsed="false">
      <c r="E750" s="30"/>
      <c r="F750" s="30"/>
      <c r="G750" s="30"/>
      <c r="H750" s="30"/>
      <c r="I750" s="36"/>
    </row>
    <row r="751" customFormat="false" ht="15.75" hidden="false" customHeight="false" outlineLevel="0" collapsed="false">
      <c r="E751" s="30"/>
      <c r="F751" s="30"/>
      <c r="G751" s="30"/>
      <c r="H751" s="30"/>
      <c r="I751" s="36"/>
    </row>
    <row r="752" customFormat="false" ht="15.75" hidden="false" customHeight="false" outlineLevel="0" collapsed="false">
      <c r="E752" s="30"/>
      <c r="F752" s="30"/>
      <c r="G752" s="30"/>
      <c r="H752" s="30"/>
      <c r="I752" s="36"/>
    </row>
    <row r="753" customFormat="false" ht="15.75" hidden="false" customHeight="false" outlineLevel="0" collapsed="false">
      <c r="E753" s="30"/>
      <c r="F753" s="30"/>
      <c r="G753" s="30"/>
      <c r="H753" s="30"/>
      <c r="I753" s="36"/>
    </row>
    <row r="754" customFormat="false" ht="15.75" hidden="false" customHeight="false" outlineLevel="0" collapsed="false">
      <c r="E754" s="30"/>
      <c r="F754" s="30"/>
      <c r="G754" s="30"/>
      <c r="H754" s="30"/>
      <c r="I754" s="36"/>
    </row>
    <row r="755" customFormat="false" ht="15.75" hidden="false" customHeight="false" outlineLevel="0" collapsed="false">
      <c r="E755" s="30"/>
      <c r="F755" s="30"/>
      <c r="G755" s="30"/>
      <c r="H755" s="30"/>
      <c r="I755" s="36"/>
    </row>
    <row r="756" customFormat="false" ht="15.75" hidden="false" customHeight="false" outlineLevel="0" collapsed="false">
      <c r="E756" s="30"/>
      <c r="F756" s="30"/>
      <c r="G756" s="30"/>
      <c r="H756" s="30"/>
      <c r="I756" s="36"/>
    </row>
    <row r="757" customFormat="false" ht="15.75" hidden="false" customHeight="false" outlineLevel="0" collapsed="false">
      <c r="E757" s="30"/>
      <c r="F757" s="30"/>
      <c r="G757" s="30"/>
      <c r="H757" s="30"/>
      <c r="I757" s="36"/>
    </row>
    <row r="758" customFormat="false" ht="15.75" hidden="false" customHeight="false" outlineLevel="0" collapsed="false">
      <c r="E758" s="30"/>
      <c r="F758" s="30"/>
      <c r="G758" s="30"/>
      <c r="H758" s="30"/>
      <c r="I758" s="36"/>
    </row>
    <row r="759" customFormat="false" ht="15.75" hidden="false" customHeight="false" outlineLevel="0" collapsed="false">
      <c r="E759" s="30"/>
      <c r="F759" s="30"/>
      <c r="G759" s="30"/>
      <c r="H759" s="30"/>
      <c r="I759" s="36"/>
    </row>
    <row r="760" customFormat="false" ht="15.75" hidden="false" customHeight="false" outlineLevel="0" collapsed="false">
      <c r="E760" s="30"/>
      <c r="F760" s="30"/>
      <c r="G760" s="30"/>
      <c r="H760" s="30"/>
      <c r="I760" s="36"/>
    </row>
    <row r="761" customFormat="false" ht="15.75" hidden="false" customHeight="false" outlineLevel="0" collapsed="false">
      <c r="E761" s="30"/>
      <c r="F761" s="30"/>
      <c r="G761" s="30"/>
      <c r="H761" s="30"/>
      <c r="I761" s="36"/>
    </row>
    <row r="762" customFormat="false" ht="15.75" hidden="false" customHeight="false" outlineLevel="0" collapsed="false">
      <c r="E762" s="30"/>
      <c r="F762" s="30"/>
      <c r="G762" s="30"/>
      <c r="H762" s="30"/>
      <c r="I762" s="36"/>
    </row>
    <row r="763" customFormat="false" ht="15.75" hidden="false" customHeight="false" outlineLevel="0" collapsed="false">
      <c r="E763" s="30"/>
      <c r="F763" s="30"/>
      <c r="G763" s="30"/>
      <c r="H763" s="30"/>
      <c r="I763" s="36"/>
    </row>
    <row r="764" customFormat="false" ht="15.75" hidden="false" customHeight="false" outlineLevel="0" collapsed="false">
      <c r="E764" s="30"/>
      <c r="F764" s="30"/>
      <c r="G764" s="30"/>
      <c r="H764" s="30"/>
      <c r="I764" s="36"/>
    </row>
    <row r="765" customFormat="false" ht="15.75" hidden="false" customHeight="false" outlineLevel="0" collapsed="false">
      <c r="E765" s="30"/>
      <c r="F765" s="30"/>
      <c r="G765" s="30"/>
      <c r="H765" s="30"/>
      <c r="I765" s="36"/>
    </row>
    <row r="766" customFormat="false" ht="15.75" hidden="false" customHeight="false" outlineLevel="0" collapsed="false">
      <c r="E766" s="30"/>
      <c r="F766" s="30"/>
      <c r="G766" s="30"/>
      <c r="H766" s="30"/>
      <c r="I766" s="36"/>
    </row>
    <row r="767" customFormat="false" ht="15.75" hidden="false" customHeight="false" outlineLevel="0" collapsed="false">
      <c r="E767" s="30"/>
      <c r="F767" s="30"/>
      <c r="G767" s="30"/>
      <c r="H767" s="30"/>
      <c r="I767" s="36"/>
    </row>
    <row r="768" customFormat="false" ht="15.75" hidden="false" customHeight="false" outlineLevel="0" collapsed="false">
      <c r="E768" s="30"/>
      <c r="F768" s="30"/>
      <c r="G768" s="30"/>
      <c r="H768" s="30"/>
      <c r="I768" s="36"/>
    </row>
    <row r="769" customFormat="false" ht="15.75" hidden="false" customHeight="false" outlineLevel="0" collapsed="false">
      <c r="E769" s="30"/>
      <c r="F769" s="30"/>
      <c r="G769" s="30"/>
      <c r="H769" s="30"/>
      <c r="I769" s="36"/>
    </row>
    <row r="770" customFormat="false" ht="15.75" hidden="false" customHeight="false" outlineLevel="0" collapsed="false">
      <c r="E770" s="30"/>
      <c r="F770" s="30"/>
      <c r="G770" s="30"/>
      <c r="H770" s="30"/>
      <c r="I770" s="36"/>
    </row>
    <row r="771" customFormat="false" ht="15.75" hidden="false" customHeight="false" outlineLevel="0" collapsed="false">
      <c r="E771" s="30"/>
      <c r="F771" s="30"/>
      <c r="G771" s="30"/>
      <c r="H771" s="30"/>
      <c r="I771" s="36"/>
    </row>
    <row r="772" customFormat="false" ht="15.75" hidden="false" customHeight="false" outlineLevel="0" collapsed="false">
      <c r="E772" s="30"/>
      <c r="F772" s="30"/>
      <c r="G772" s="30"/>
      <c r="H772" s="30"/>
      <c r="I772" s="36"/>
    </row>
    <row r="773" customFormat="false" ht="15.75" hidden="false" customHeight="false" outlineLevel="0" collapsed="false">
      <c r="E773" s="30"/>
      <c r="F773" s="30"/>
      <c r="G773" s="30"/>
      <c r="H773" s="30"/>
      <c r="I773" s="36"/>
    </row>
    <row r="774" customFormat="false" ht="15.75" hidden="false" customHeight="false" outlineLevel="0" collapsed="false">
      <c r="E774" s="30"/>
      <c r="F774" s="30"/>
      <c r="G774" s="30"/>
      <c r="H774" s="30"/>
      <c r="I774" s="36"/>
    </row>
    <row r="775" customFormat="false" ht="15.75" hidden="false" customHeight="false" outlineLevel="0" collapsed="false">
      <c r="E775" s="30"/>
      <c r="F775" s="30"/>
      <c r="G775" s="30"/>
      <c r="H775" s="30"/>
      <c r="I775" s="36"/>
    </row>
    <row r="776" customFormat="false" ht="15.75" hidden="false" customHeight="false" outlineLevel="0" collapsed="false">
      <c r="E776" s="30"/>
      <c r="F776" s="30"/>
      <c r="G776" s="30"/>
      <c r="H776" s="30"/>
      <c r="I776" s="36"/>
    </row>
    <row r="777" customFormat="false" ht="15.75" hidden="false" customHeight="false" outlineLevel="0" collapsed="false">
      <c r="E777" s="30"/>
      <c r="F777" s="30"/>
      <c r="G777" s="30"/>
      <c r="H777" s="30"/>
      <c r="I777" s="36"/>
    </row>
    <row r="778" customFormat="false" ht="15.75" hidden="false" customHeight="false" outlineLevel="0" collapsed="false">
      <c r="E778" s="30"/>
      <c r="F778" s="30"/>
      <c r="G778" s="30"/>
      <c r="H778" s="30"/>
      <c r="I778" s="36"/>
    </row>
    <row r="779" customFormat="false" ht="15.75" hidden="false" customHeight="false" outlineLevel="0" collapsed="false">
      <c r="E779" s="30"/>
      <c r="F779" s="30"/>
      <c r="G779" s="30"/>
      <c r="H779" s="30"/>
      <c r="I779" s="36"/>
    </row>
    <row r="780" customFormat="false" ht="15.75" hidden="false" customHeight="false" outlineLevel="0" collapsed="false">
      <c r="E780" s="30"/>
      <c r="F780" s="30"/>
      <c r="G780" s="30"/>
      <c r="H780" s="30"/>
      <c r="I780" s="36"/>
    </row>
    <row r="781" customFormat="false" ht="15.75" hidden="false" customHeight="false" outlineLevel="0" collapsed="false">
      <c r="E781" s="30"/>
      <c r="F781" s="30"/>
      <c r="G781" s="30"/>
      <c r="H781" s="30"/>
      <c r="I781" s="36"/>
    </row>
    <row r="782" customFormat="false" ht="15.75" hidden="false" customHeight="false" outlineLevel="0" collapsed="false">
      <c r="E782" s="30"/>
      <c r="F782" s="30"/>
      <c r="G782" s="30"/>
      <c r="H782" s="30"/>
      <c r="I782" s="36"/>
    </row>
    <row r="783" customFormat="false" ht="15.75" hidden="false" customHeight="false" outlineLevel="0" collapsed="false">
      <c r="E783" s="30"/>
      <c r="F783" s="30"/>
      <c r="G783" s="30"/>
      <c r="H783" s="30"/>
      <c r="I783" s="36"/>
    </row>
    <row r="784" customFormat="false" ht="15.75" hidden="false" customHeight="false" outlineLevel="0" collapsed="false">
      <c r="E784" s="30"/>
      <c r="F784" s="30"/>
      <c r="G784" s="30"/>
      <c r="H784" s="30"/>
      <c r="I784" s="36"/>
    </row>
    <row r="785" customFormat="false" ht="15.75" hidden="false" customHeight="false" outlineLevel="0" collapsed="false">
      <c r="E785" s="30"/>
      <c r="F785" s="30"/>
      <c r="G785" s="30"/>
      <c r="H785" s="30"/>
      <c r="I785" s="36"/>
    </row>
    <row r="786" customFormat="false" ht="15.75" hidden="false" customHeight="false" outlineLevel="0" collapsed="false">
      <c r="E786" s="30"/>
      <c r="F786" s="30"/>
      <c r="G786" s="30"/>
      <c r="H786" s="30"/>
      <c r="I786" s="36"/>
    </row>
    <row r="787" customFormat="false" ht="15.75" hidden="false" customHeight="false" outlineLevel="0" collapsed="false">
      <c r="E787" s="30"/>
      <c r="F787" s="30"/>
      <c r="G787" s="30"/>
      <c r="H787" s="30"/>
      <c r="I787" s="36"/>
    </row>
    <row r="788" customFormat="false" ht="15.75" hidden="false" customHeight="false" outlineLevel="0" collapsed="false">
      <c r="E788" s="30"/>
      <c r="F788" s="30"/>
      <c r="G788" s="30"/>
      <c r="H788" s="30"/>
      <c r="I788" s="36"/>
    </row>
    <row r="789" customFormat="false" ht="15.75" hidden="false" customHeight="false" outlineLevel="0" collapsed="false">
      <c r="E789" s="30"/>
      <c r="F789" s="30"/>
      <c r="G789" s="30"/>
      <c r="H789" s="30"/>
      <c r="I789" s="36"/>
    </row>
    <row r="790" customFormat="false" ht="15.75" hidden="false" customHeight="false" outlineLevel="0" collapsed="false">
      <c r="E790" s="30"/>
      <c r="F790" s="30"/>
      <c r="G790" s="30"/>
      <c r="H790" s="30"/>
      <c r="I790" s="36"/>
    </row>
    <row r="791" customFormat="false" ht="15.75" hidden="false" customHeight="false" outlineLevel="0" collapsed="false">
      <c r="E791" s="30"/>
      <c r="F791" s="30"/>
      <c r="G791" s="30"/>
      <c r="H791" s="30"/>
      <c r="I791" s="36"/>
    </row>
    <row r="792" customFormat="false" ht="15.75" hidden="false" customHeight="false" outlineLevel="0" collapsed="false">
      <c r="E792" s="30"/>
      <c r="F792" s="30"/>
      <c r="G792" s="30"/>
      <c r="H792" s="30"/>
      <c r="I792" s="36"/>
    </row>
    <row r="793" customFormat="false" ht="15.75" hidden="false" customHeight="false" outlineLevel="0" collapsed="false">
      <c r="E793" s="30"/>
      <c r="F793" s="30"/>
      <c r="G793" s="30"/>
      <c r="H793" s="30"/>
      <c r="I793" s="36"/>
    </row>
    <row r="794" customFormat="false" ht="15.75" hidden="false" customHeight="false" outlineLevel="0" collapsed="false">
      <c r="E794" s="30"/>
      <c r="F794" s="30"/>
      <c r="G794" s="30"/>
      <c r="H794" s="30"/>
      <c r="I794" s="36"/>
    </row>
    <row r="795" customFormat="false" ht="15.75" hidden="false" customHeight="false" outlineLevel="0" collapsed="false">
      <c r="E795" s="30"/>
      <c r="F795" s="30"/>
      <c r="G795" s="30"/>
      <c r="H795" s="30"/>
      <c r="I795" s="36"/>
    </row>
    <row r="796" customFormat="false" ht="15.75" hidden="false" customHeight="false" outlineLevel="0" collapsed="false">
      <c r="E796" s="30"/>
      <c r="F796" s="30"/>
      <c r="G796" s="30"/>
      <c r="H796" s="30"/>
      <c r="I796" s="36"/>
    </row>
    <row r="797" customFormat="false" ht="15.75" hidden="false" customHeight="false" outlineLevel="0" collapsed="false">
      <c r="E797" s="30"/>
      <c r="F797" s="30"/>
      <c r="G797" s="30"/>
      <c r="H797" s="30"/>
      <c r="I797" s="36"/>
    </row>
    <row r="798" customFormat="false" ht="15.75" hidden="false" customHeight="false" outlineLevel="0" collapsed="false">
      <c r="E798" s="30"/>
      <c r="F798" s="30"/>
      <c r="G798" s="30"/>
      <c r="H798" s="30"/>
      <c r="I798" s="36"/>
    </row>
    <row r="799" customFormat="false" ht="15.75" hidden="false" customHeight="false" outlineLevel="0" collapsed="false">
      <c r="E799" s="30"/>
      <c r="F799" s="30"/>
      <c r="G799" s="30"/>
      <c r="H799" s="30"/>
      <c r="I799" s="36"/>
    </row>
    <row r="800" customFormat="false" ht="15.75" hidden="false" customHeight="false" outlineLevel="0" collapsed="false">
      <c r="E800" s="30"/>
      <c r="F800" s="30"/>
      <c r="G800" s="30"/>
      <c r="H800" s="30"/>
      <c r="I800" s="36"/>
    </row>
    <row r="801" customFormat="false" ht="15.75" hidden="false" customHeight="false" outlineLevel="0" collapsed="false">
      <c r="E801" s="30"/>
      <c r="F801" s="30"/>
      <c r="G801" s="30"/>
      <c r="H801" s="30"/>
      <c r="I801" s="36"/>
    </row>
    <row r="802" customFormat="false" ht="15.75" hidden="false" customHeight="false" outlineLevel="0" collapsed="false">
      <c r="E802" s="30"/>
      <c r="F802" s="30"/>
      <c r="G802" s="30"/>
      <c r="H802" s="30"/>
      <c r="I802" s="36"/>
    </row>
    <row r="803" customFormat="false" ht="15.75" hidden="false" customHeight="false" outlineLevel="0" collapsed="false">
      <c r="E803" s="30"/>
      <c r="F803" s="30"/>
      <c r="G803" s="30"/>
      <c r="H803" s="30"/>
      <c r="I803" s="36"/>
    </row>
    <row r="804" customFormat="false" ht="15.75" hidden="false" customHeight="false" outlineLevel="0" collapsed="false">
      <c r="E804" s="30"/>
      <c r="F804" s="30"/>
      <c r="G804" s="30"/>
      <c r="H804" s="30"/>
      <c r="I804" s="36"/>
    </row>
    <row r="805" customFormat="false" ht="15.75" hidden="false" customHeight="false" outlineLevel="0" collapsed="false">
      <c r="E805" s="30"/>
      <c r="F805" s="30"/>
      <c r="G805" s="30"/>
      <c r="H805" s="30"/>
      <c r="I805" s="36"/>
    </row>
    <row r="806" customFormat="false" ht="15.75" hidden="false" customHeight="false" outlineLevel="0" collapsed="false">
      <c r="E806" s="30"/>
      <c r="F806" s="30"/>
      <c r="G806" s="30"/>
      <c r="H806" s="30"/>
      <c r="I806" s="36"/>
    </row>
    <row r="807" customFormat="false" ht="15.75" hidden="false" customHeight="false" outlineLevel="0" collapsed="false">
      <c r="E807" s="30"/>
      <c r="F807" s="30"/>
      <c r="G807" s="30"/>
      <c r="H807" s="30"/>
      <c r="I807" s="36"/>
    </row>
    <row r="808" customFormat="false" ht="15.75" hidden="false" customHeight="false" outlineLevel="0" collapsed="false">
      <c r="E808" s="30"/>
      <c r="F808" s="30"/>
      <c r="G808" s="30"/>
      <c r="H808" s="30"/>
      <c r="I808" s="36"/>
    </row>
    <row r="809" customFormat="false" ht="15.75" hidden="false" customHeight="false" outlineLevel="0" collapsed="false">
      <c r="E809" s="30"/>
      <c r="F809" s="30"/>
      <c r="G809" s="30"/>
      <c r="H809" s="30"/>
      <c r="I809" s="36"/>
    </row>
    <row r="810" customFormat="false" ht="15.75" hidden="false" customHeight="false" outlineLevel="0" collapsed="false">
      <c r="E810" s="30"/>
      <c r="F810" s="30"/>
      <c r="G810" s="30"/>
      <c r="H810" s="30"/>
      <c r="I810" s="36"/>
    </row>
    <row r="811" customFormat="false" ht="15.75" hidden="false" customHeight="false" outlineLevel="0" collapsed="false">
      <c r="E811" s="30"/>
      <c r="F811" s="30"/>
      <c r="G811" s="30"/>
      <c r="H811" s="30"/>
      <c r="I811" s="36"/>
    </row>
    <row r="812" customFormat="false" ht="15.75" hidden="false" customHeight="false" outlineLevel="0" collapsed="false">
      <c r="E812" s="30"/>
      <c r="F812" s="30"/>
      <c r="G812" s="30"/>
      <c r="H812" s="30"/>
      <c r="I812" s="36"/>
    </row>
    <row r="813" customFormat="false" ht="15.75" hidden="false" customHeight="false" outlineLevel="0" collapsed="false">
      <c r="E813" s="30"/>
      <c r="F813" s="30"/>
      <c r="G813" s="30"/>
      <c r="H813" s="30"/>
      <c r="I813" s="36"/>
    </row>
    <row r="814" customFormat="false" ht="15.75" hidden="false" customHeight="false" outlineLevel="0" collapsed="false">
      <c r="E814" s="30"/>
      <c r="F814" s="30"/>
      <c r="G814" s="30"/>
      <c r="H814" s="30"/>
      <c r="I814" s="36"/>
    </row>
    <row r="815" customFormat="false" ht="15.75" hidden="false" customHeight="false" outlineLevel="0" collapsed="false">
      <c r="E815" s="30"/>
      <c r="F815" s="30"/>
      <c r="G815" s="30"/>
      <c r="H815" s="30"/>
      <c r="I815" s="36"/>
    </row>
    <row r="816" customFormat="false" ht="15.75" hidden="false" customHeight="false" outlineLevel="0" collapsed="false">
      <c r="E816" s="30"/>
      <c r="F816" s="30"/>
      <c r="G816" s="30"/>
      <c r="H816" s="30"/>
      <c r="I816" s="36"/>
    </row>
    <row r="817" customFormat="false" ht="15.75" hidden="false" customHeight="false" outlineLevel="0" collapsed="false">
      <c r="E817" s="30"/>
      <c r="F817" s="30"/>
      <c r="G817" s="30"/>
      <c r="H817" s="30"/>
      <c r="I817" s="36"/>
    </row>
    <row r="818" customFormat="false" ht="15.75" hidden="false" customHeight="false" outlineLevel="0" collapsed="false">
      <c r="E818" s="30"/>
      <c r="F818" s="30"/>
      <c r="G818" s="30"/>
      <c r="H818" s="30"/>
      <c r="I818" s="36"/>
    </row>
    <row r="819" customFormat="false" ht="15.75" hidden="false" customHeight="false" outlineLevel="0" collapsed="false">
      <c r="E819" s="30"/>
      <c r="F819" s="30"/>
      <c r="G819" s="30"/>
      <c r="H819" s="30"/>
      <c r="I819" s="36"/>
    </row>
    <row r="820" customFormat="false" ht="15.75" hidden="false" customHeight="false" outlineLevel="0" collapsed="false">
      <c r="E820" s="30"/>
      <c r="F820" s="30"/>
      <c r="G820" s="30"/>
      <c r="H820" s="30"/>
      <c r="I820" s="36"/>
    </row>
    <row r="821" customFormat="false" ht="15.75" hidden="false" customHeight="false" outlineLevel="0" collapsed="false">
      <c r="E821" s="30"/>
      <c r="F821" s="30"/>
      <c r="G821" s="30"/>
      <c r="H821" s="30"/>
      <c r="I821" s="36"/>
    </row>
    <row r="822" customFormat="false" ht="15.75" hidden="false" customHeight="false" outlineLevel="0" collapsed="false">
      <c r="E822" s="30"/>
      <c r="F822" s="30"/>
      <c r="G822" s="30"/>
      <c r="H822" s="30"/>
      <c r="I822" s="36"/>
    </row>
    <row r="823" customFormat="false" ht="15.75" hidden="false" customHeight="false" outlineLevel="0" collapsed="false">
      <c r="E823" s="30"/>
      <c r="F823" s="30"/>
      <c r="G823" s="30"/>
      <c r="H823" s="30"/>
      <c r="I823" s="36"/>
    </row>
    <row r="824" customFormat="false" ht="15.75" hidden="false" customHeight="false" outlineLevel="0" collapsed="false">
      <c r="E824" s="30"/>
      <c r="F824" s="30"/>
      <c r="G824" s="30"/>
      <c r="H824" s="30"/>
      <c r="I824" s="36"/>
    </row>
    <row r="825" customFormat="false" ht="15.75" hidden="false" customHeight="false" outlineLevel="0" collapsed="false">
      <c r="E825" s="30"/>
      <c r="F825" s="30"/>
      <c r="G825" s="30"/>
      <c r="H825" s="30"/>
      <c r="I825" s="36"/>
    </row>
    <row r="826" customFormat="false" ht="15.75" hidden="false" customHeight="false" outlineLevel="0" collapsed="false">
      <c r="E826" s="30"/>
      <c r="F826" s="30"/>
      <c r="G826" s="30"/>
      <c r="H826" s="30"/>
      <c r="I826" s="36"/>
    </row>
    <row r="827" customFormat="false" ht="15.75" hidden="false" customHeight="false" outlineLevel="0" collapsed="false">
      <c r="E827" s="30"/>
      <c r="F827" s="30"/>
      <c r="G827" s="30"/>
      <c r="H827" s="30"/>
      <c r="I827" s="36"/>
    </row>
    <row r="828" customFormat="false" ht="15.75" hidden="false" customHeight="false" outlineLevel="0" collapsed="false">
      <c r="E828" s="30"/>
      <c r="F828" s="30"/>
      <c r="G828" s="30"/>
      <c r="H828" s="30"/>
      <c r="I828" s="36"/>
    </row>
    <row r="829" customFormat="false" ht="15.75" hidden="false" customHeight="false" outlineLevel="0" collapsed="false">
      <c r="E829" s="30"/>
      <c r="F829" s="30"/>
      <c r="G829" s="30"/>
      <c r="H829" s="30"/>
      <c r="I829" s="36"/>
    </row>
    <row r="830" customFormat="false" ht="15.75" hidden="false" customHeight="false" outlineLevel="0" collapsed="false">
      <c r="E830" s="30"/>
      <c r="F830" s="30"/>
      <c r="G830" s="30"/>
      <c r="H830" s="30"/>
      <c r="I830" s="36"/>
    </row>
    <row r="831" customFormat="false" ht="15.75" hidden="false" customHeight="false" outlineLevel="0" collapsed="false">
      <c r="E831" s="30"/>
      <c r="F831" s="30"/>
      <c r="G831" s="30"/>
      <c r="H831" s="30"/>
      <c r="I831" s="36"/>
    </row>
    <row r="832" customFormat="false" ht="15.75" hidden="false" customHeight="false" outlineLevel="0" collapsed="false">
      <c r="E832" s="30"/>
      <c r="F832" s="30"/>
      <c r="G832" s="30"/>
      <c r="H832" s="30"/>
      <c r="I832" s="36"/>
    </row>
    <row r="833" customFormat="false" ht="15.75" hidden="false" customHeight="false" outlineLevel="0" collapsed="false">
      <c r="E833" s="30"/>
      <c r="F833" s="30"/>
      <c r="G833" s="30"/>
      <c r="H833" s="30"/>
      <c r="I833" s="36"/>
    </row>
    <row r="834" customFormat="false" ht="15.75" hidden="false" customHeight="false" outlineLevel="0" collapsed="false">
      <c r="E834" s="30"/>
      <c r="F834" s="30"/>
      <c r="G834" s="30"/>
      <c r="H834" s="30"/>
      <c r="I834" s="36"/>
    </row>
    <row r="835" customFormat="false" ht="15.75" hidden="false" customHeight="false" outlineLevel="0" collapsed="false">
      <c r="E835" s="30"/>
      <c r="F835" s="30"/>
      <c r="G835" s="30"/>
      <c r="H835" s="30"/>
      <c r="I835" s="36"/>
    </row>
    <row r="836" customFormat="false" ht="15.75" hidden="false" customHeight="false" outlineLevel="0" collapsed="false">
      <c r="E836" s="30"/>
      <c r="F836" s="30"/>
      <c r="G836" s="30"/>
      <c r="H836" s="30"/>
      <c r="I836" s="36"/>
    </row>
    <row r="837" customFormat="false" ht="15.75" hidden="false" customHeight="false" outlineLevel="0" collapsed="false">
      <c r="E837" s="30"/>
      <c r="F837" s="30"/>
      <c r="G837" s="30"/>
      <c r="H837" s="30"/>
      <c r="I837" s="36"/>
    </row>
    <row r="838" customFormat="false" ht="15.75" hidden="false" customHeight="false" outlineLevel="0" collapsed="false">
      <c r="E838" s="30"/>
      <c r="F838" s="30"/>
      <c r="G838" s="30"/>
      <c r="H838" s="30"/>
      <c r="I838" s="36"/>
    </row>
    <row r="839" customFormat="false" ht="15.75" hidden="false" customHeight="false" outlineLevel="0" collapsed="false">
      <c r="E839" s="30"/>
      <c r="F839" s="30"/>
      <c r="G839" s="30"/>
      <c r="H839" s="30"/>
      <c r="I839" s="36"/>
    </row>
    <row r="840" customFormat="false" ht="15.75" hidden="false" customHeight="false" outlineLevel="0" collapsed="false">
      <c r="E840" s="30"/>
      <c r="F840" s="30"/>
      <c r="G840" s="30"/>
      <c r="H840" s="30"/>
      <c r="I840" s="36"/>
    </row>
    <row r="841" customFormat="false" ht="15.75" hidden="false" customHeight="false" outlineLevel="0" collapsed="false">
      <c r="E841" s="30"/>
      <c r="F841" s="30"/>
      <c r="G841" s="30"/>
      <c r="H841" s="30"/>
      <c r="I841" s="36"/>
    </row>
    <row r="842" customFormat="false" ht="15.75" hidden="false" customHeight="false" outlineLevel="0" collapsed="false">
      <c r="E842" s="30"/>
      <c r="F842" s="30"/>
      <c r="G842" s="30"/>
      <c r="H842" s="30"/>
      <c r="I842" s="36"/>
    </row>
    <row r="843" customFormat="false" ht="15.75" hidden="false" customHeight="false" outlineLevel="0" collapsed="false">
      <c r="E843" s="30"/>
      <c r="F843" s="30"/>
      <c r="G843" s="30"/>
      <c r="H843" s="30"/>
      <c r="I843" s="36"/>
    </row>
    <row r="844" customFormat="false" ht="15.75" hidden="false" customHeight="false" outlineLevel="0" collapsed="false">
      <c r="E844" s="30"/>
      <c r="F844" s="30"/>
      <c r="G844" s="30"/>
      <c r="H844" s="30"/>
      <c r="I844" s="36"/>
    </row>
    <row r="845" customFormat="false" ht="15.75" hidden="false" customHeight="false" outlineLevel="0" collapsed="false">
      <c r="E845" s="30"/>
      <c r="F845" s="30"/>
      <c r="G845" s="30"/>
      <c r="H845" s="30"/>
      <c r="I845" s="36"/>
    </row>
    <row r="846" customFormat="false" ht="15.75" hidden="false" customHeight="false" outlineLevel="0" collapsed="false">
      <c r="E846" s="30"/>
      <c r="F846" s="30"/>
      <c r="G846" s="30"/>
      <c r="H846" s="30"/>
      <c r="I846" s="36"/>
    </row>
    <row r="847" customFormat="false" ht="15.75" hidden="false" customHeight="false" outlineLevel="0" collapsed="false">
      <c r="E847" s="30"/>
      <c r="F847" s="30"/>
      <c r="G847" s="30"/>
      <c r="H847" s="30"/>
      <c r="I847" s="36"/>
    </row>
    <row r="848" customFormat="false" ht="15.75" hidden="false" customHeight="false" outlineLevel="0" collapsed="false">
      <c r="E848" s="30"/>
      <c r="F848" s="30"/>
      <c r="G848" s="30"/>
      <c r="H848" s="30"/>
      <c r="I848" s="36"/>
    </row>
    <row r="849" customFormat="false" ht="15.75" hidden="false" customHeight="false" outlineLevel="0" collapsed="false">
      <c r="E849" s="30"/>
      <c r="F849" s="30"/>
      <c r="G849" s="30"/>
      <c r="H849" s="30"/>
      <c r="I849" s="36"/>
    </row>
    <row r="850" customFormat="false" ht="15.75" hidden="false" customHeight="false" outlineLevel="0" collapsed="false">
      <c r="E850" s="30"/>
      <c r="F850" s="30"/>
      <c r="G850" s="30"/>
      <c r="H850" s="30"/>
      <c r="I850" s="36"/>
    </row>
    <row r="851" customFormat="false" ht="15.75" hidden="false" customHeight="false" outlineLevel="0" collapsed="false">
      <c r="E851" s="30"/>
      <c r="F851" s="30"/>
      <c r="G851" s="30"/>
      <c r="H851" s="30"/>
      <c r="I851" s="36"/>
    </row>
    <row r="852" customFormat="false" ht="15.75" hidden="false" customHeight="false" outlineLevel="0" collapsed="false">
      <c r="E852" s="30"/>
      <c r="F852" s="30"/>
      <c r="G852" s="30"/>
      <c r="H852" s="30"/>
      <c r="I852" s="36"/>
    </row>
    <row r="853" customFormat="false" ht="15.75" hidden="false" customHeight="false" outlineLevel="0" collapsed="false">
      <c r="E853" s="30"/>
      <c r="F853" s="30"/>
      <c r="G853" s="30"/>
      <c r="H853" s="30"/>
      <c r="I853" s="36"/>
    </row>
    <row r="854" customFormat="false" ht="15.75" hidden="false" customHeight="false" outlineLevel="0" collapsed="false">
      <c r="E854" s="30"/>
      <c r="F854" s="30"/>
      <c r="G854" s="30"/>
      <c r="H854" s="30"/>
      <c r="I854" s="36"/>
    </row>
    <row r="855" customFormat="false" ht="15.75" hidden="false" customHeight="false" outlineLevel="0" collapsed="false">
      <c r="E855" s="30"/>
      <c r="F855" s="30"/>
      <c r="G855" s="30"/>
      <c r="H855" s="30"/>
      <c r="I855" s="36"/>
    </row>
    <row r="856" customFormat="false" ht="15.75" hidden="false" customHeight="false" outlineLevel="0" collapsed="false">
      <c r="E856" s="30"/>
      <c r="F856" s="30"/>
      <c r="G856" s="30"/>
      <c r="H856" s="30"/>
      <c r="I856" s="36"/>
    </row>
    <row r="857" customFormat="false" ht="15.75" hidden="false" customHeight="false" outlineLevel="0" collapsed="false">
      <c r="E857" s="30"/>
      <c r="F857" s="30"/>
      <c r="G857" s="30"/>
      <c r="H857" s="30"/>
      <c r="I857" s="36"/>
    </row>
    <row r="858" customFormat="false" ht="15.75" hidden="false" customHeight="false" outlineLevel="0" collapsed="false">
      <c r="E858" s="30"/>
      <c r="F858" s="30"/>
      <c r="G858" s="30"/>
      <c r="H858" s="30"/>
      <c r="I858" s="36"/>
    </row>
    <row r="859" customFormat="false" ht="15.75" hidden="false" customHeight="false" outlineLevel="0" collapsed="false">
      <c r="E859" s="30"/>
      <c r="F859" s="30"/>
      <c r="G859" s="30"/>
      <c r="H859" s="30"/>
      <c r="I859" s="36"/>
    </row>
    <row r="860" customFormat="false" ht="15.75" hidden="false" customHeight="false" outlineLevel="0" collapsed="false">
      <c r="E860" s="30"/>
      <c r="F860" s="30"/>
      <c r="G860" s="30"/>
      <c r="H860" s="30"/>
      <c r="I860" s="36"/>
    </row>
    <row r="861" customFormat="false" ht="15.75" hidden="false" customHeight="false" outlineLevel="0" collapsed="false">
      <c r="E861" s="30"/>
      <c r="F861" s="30"/>
      <c r="G861" s="30"/>
      <c r="H861" s="30"/>
      <c r="I861" s="36"/>
    </row>
    <row r="862" customFormat="false" ht="15.75" hidden="false" customHeight="false" outlineLevel="0" collapsed="false">
      <c r="E862" s="30"/>
      <c r="F862" s="30"/>
      <c r="G862" s="30"/>
      <c r="H862" s="30"/>
      <c r="I862" s="36"/>
    </row>
    <row r="863" customFormat="false" ht="15.75" hidden="false" customHeight="false" outlineLevel="0" collapsed="false">
      <c r="E863" s="30"/>
      <c r="F863" s="30"/>
      <c r="G863" s="30"/>
      <c r="H863" s="30"/>
      <c r="I863" s="36"/>
    </row>
    <row r="864" customFormat="false" ht="15.75" hidden="false" customHeight="false" outlineLevel="0" collapsed="false">
      <c r="E864" s="30"/>
      <c r="F864" s="30"/>
      <c r="G864" s="30"/>
      <c r="H864" s="30"/>
      <c r="I864" s="36"/>
    </row>
    <row r="865" customFormat="false" ht="15.75" hidden="false" customHeight="false" outlineLevel="0" collapsed="false">
      <c r="E865" s="30"/>
      <c r="F865" s="30"/>
      <c r="G865" s="30"/>
      <c r="H865" s="30"/>
      <c r="I865" s="36"/>
    </row>
    <row r="866" customFormat="false" ht="15.75" hidden="false" customHeight="false" outlineLevel="0" collapsed="false">
      <c r="E866" s="30"/>
      <c r="F866" s="30"/>
      <c r="G866" s="30"/>
      <c r="H866" s="30"/>
      <c r="I866" s="36"/>
    </row>
    <row r="867" customFormat="false" ht="15.75" hidden="false" customHeight="false" outlineLevel="0" collapsed="false">
      <c r="E867" s="30"/>
      <c r="F867" s="30"/>
      <c r="G867" s="30"/>
      <c r="H867" s="30"/>
      <c r="I867" s="36"/>
    </row>
    <row r="868" customFormat="false" ht="15.75" hidden="false" customHeight="false" outlineLevel="0" collapsed="false">
      <c r="E868" s="30"/>
      <c r="F868" s="30"/>
      <c r="G868" s="30"/>
      <c r="H868" s="30"/>
      <c r="I868" s="36"/>
    </row>
    <row r="869" customFormat="false" ht="15.75" hidden="false" customHeight="false" outlineLevel="0" collapsed="false">
      <c r="E869" s="30"/>
      <c r="F869" s="30"/>
      <c r="G869" s="30"/>
      <c r="H869" s="30"/>
      <c r="I869" s="36"/>
    </row>
    <row r="870" customFormat="false" ht="15.75" hidden="false" customHeight="false" outlineLevel="0" collapsed="false">
      <c r="E870" s="30"/>
      <c r="F870" s="30"/>
      <c r="G870" s="30"/>
      <c r="H870" s="30"/>
      <c r="I870" s="36"/>
    </row>
    <row r="871" customFormat="false" ht="15.75" hidden="false" customHeight="false" outlineLevel="0" collapsed="false">
      <c r="E871" s="30"/>
      <c r="F871" s="30"/>
      <c r="G871" s="30"/>
      <c r="H871" s="30"/>
      <c r="I871" s="36"/>
    </row>
    <row r="872" customFormat="false" ht="15.75" hidden="false" customHeight="false" outlineLevel="0" collapsed="false">
      <c r="E872" s="30"/>
      <c r="F872" s="30"/>
      <c r="G872" s="30"/>
      <c r="H872" s="30"/>
      <c r="I872" s="36"/>
    </row>
    <row r="873" customFormat="false" ht="15.75" hidden="false" customHeight="false" outlineLevel="0" collapsed="false">
      <c r="E873" s="30"/>
      <c r="F873" s="30"/>
      <c r="G873" s="30"/>
      <c r="H873" s="30"/>
      <c r="I873" s="36"/>
    </row>
    <row r="874" customFormat="false" ht="15.75" hidden="false" customHeight="false" outlineLevel="0" collapsed="false">
      <c r="E874" s="30"/>
      <c r="F874" s="30"/>
      <c r="G874" s="30"/>
      <c r="H874" s="30"/>
      <c r="I874" s="36"/>
    </row>
    <row r="875" customFormat="false" ht="15.75" hidden="false" customHeight="false" outlineLevel="0" collapsed="false">
      <c r="E875" s="30"/>
      <c r="F875" s="30"/>
      <c r="G875" s="30"/>
      <c r="H875" s="30"/>
      <c r="I875" s="36"/>
    </row>
    <row r="876" customFormat="false" ht="15.75" hidden="false" customHeight="false" outlineLevel="0" collapsed="false">
      <c r="E876" s="30"/>
      <c r="F876" s="30"/>
      <c r="G876" s="30"/>
      <c r="H876" s="30"/>
      <c r="I876" s="36"/>
    </row>
    <row r="877" customFormat="false" ht="15.75" hidden="false" customHeight="false" outlineLevel="0" collapsed="false">
      <c r="E877" s="30"/>
      <c r="F877" s="30"/>
      <c r="G877" s="30"/>
      <c r="H877" s="30"/>
      <c r="I877" s="36"/>
    </row>
    <row r="878" customFormat="false" ht="15.75" hidden="false" customHeight="false" outlineLevel="0" collapsed="false">
      <c r="E878" s="30"/>
      <c r="F878" s="30"/>
      <c r="G878" s="30"/>
      <c r="H878" s="30"/>
      <c r="I878" s="36"/>
    </row>
    <row r="879" customFormat="false" ht="15.75" hidden="false" customHeight="false" outlineLevel="0" collapsed="false">
      <c r="E879" s="30"/>
      <c r="F879" s="30"/>
      <c r="G879" s="30"/>
      <c r="H879" s="30"/>
      <c r="I879" s="36"/>
    </row>
    <row r="880" customFormat="false" ht="15.75" hidden="false" customHeight="false" outlineLevel="0" collapsed="false">
      <c r="E880" s="30"/>
      <c r="F880" s="30"/>
      <c r="G880" s="30"/>
      <c r="H880" s="30"/>
      <c r="I880" s="36"/>
    </row>
    <row r="881" customFormat="false" ht="15.75" hidden="false" customHeight="false" outlineLevel="0" collapsed="false">
      <c r="E881" s="30"/>
      <c r="F881" s="30"/>
      <c r="G881" s="30"/>
      <c r="H881" s="30"/>
      <c r="I881" s="36"/>
    </row>
    <row r="882" customFormat="false" ht="15.75" hidden="false" customHeight="false" outlineLevel="0" collapsed="false">
      <c r="E882" s="30"/>
      <c r="F882" s="30"/>
      <c r="G882" s="30"/>
      <c r="H882" s="30"/>
      <c r="I882" s="36"/>
    </row>
    <row r="883" customFormat="false" ht="15.75" hidden="false" customHeight="false" outlineLevel="0" collapsed="false">
      <c r="E883" s="30"/>
      <c r="F883" s="30"/>
      <c r="G883" s="30"/>
      <c r="H883" s="30"/>
      <c r="I883" s="36"/>
    </row>
    <row r="884" customFormat="false" ht="15.75" hidden="false" customHeight="false" outlineLevel="0" collapsed="false">
      <c r="E884" s="30"/>
      <c r="F884" s="30"/>
      <c r="G884" s="30"/>
      <c r="H884" s="30"/>
      <c r="I884" s="36"/>
    </row>
    <row r="885" customFormat="false" ht="15.75" hidden="false" customHeight="false" outlineLevel="0" collapsed="false">
      <c r="E885" s="30"/>
      <c r="F885" s="30"/>
      <c r="G885" s="30"/>
      <c r="H885" s="30"/>
      <c r="I885" s="36"/>
    </row>
    <row r="886" customFormat="false" ht="15.75" hidden="false" customHeight="false" outlineLevel="0" collapsed="false">
      <c r="E886" s="30"/>
      <c r="F886" s="30"/>
      <c r="G886" s="30"/>
      <c r="H886" s="30"/>
      <c r="I886" s="36"/>
    </row>
    <row r="887" customFormat="false" ht="15.75" hidden="false" customHeight="false" outlineLevel="0" collapsed="false">
      <c r="E887" s="30"/>
      <c r="F887" s="30"/>
      <c r="G887" s="30"/>
      <c r="H887" s="30"/>
      <c r="I887" s="36"/>
    </row>
    <row r="888" customFormat="false" ht="15.75" hidden="false" customHeight="false" outlineLevel="0" collapsed="false">
      <c r="E888" s="30"/>
      <c r="F888" s="30"/>
      <c r="G888" s="30"/>
      <c r="H888" s="30"/>
      <c r="I888" s="36"/>
    </row>
    <row r="889" customFormat="false" ht="15.75" hidden="false" customHeight="false" outlineLevel="0" collapsed="false">
      <c r="E889" s="30"/>
      <c r="F889" s="30"/>
      <c r="G889" s="30"/>
      <c r="H889" s="30"/>
      <c r="I889" s="36"/>
    </row>
    <row r="890" customFormat="false" ht="15.75" hidden="false" customHeight="false" outlineLevel="0" collapsed="false">
      <c r="E890" s="30"/>
      <c r="F890" s="30"/>
      <c r="G890" s="30"/>
      <c r="H890" s="30"/>
      <c r="I890" s="36"/>
    </row>
    <row r="891" customFormat="false" ht="15.75" hidden="false" customHeight="false" outlineLevel="0" collapsed="false">
      <c r="E891" s="30"/>
      <c r="F891" s="30"/>
      <c r="G891" s="30"/>
      <c r="H891" s="30"/>
      <c r="I891" s="36"/>
    </row>
    <row r="892" customFormat="false" ht="15.75" hidden="false" customHeight="false" outlineLevel="0" collapsed="false">
      <c r="E892" s="30"/>
      <c r="F892" s="30"/>
      <c r="G892" s="30"/>
      <c r="H892" s="30"/>
      <c r="I892" s="36"/>
    </row>
    <row r="893" customFormat="false" ht="15.75" hidden="false" customHeight="false" outlineLevel="0" collapsed="false">
      <c r="E893" s="30"/>
      <c r="F893" s="30"/>
      <c r="G893" s="30"/>
      <c r="H893" s="30"/>
      <c r="I893" s="36"/>
    </row>
    <row r="894" customFormat="false" ht="15.75" hidden="false" customHeight="false" outlineLevel="0" collapsed="false">
      <c r="E894" s="30"/>
      <c r="F894" s="30"/>
      <c r="G894" s="30"/>
      <c r="H894" s="30"/>
      <c r="I894" s="36"/>
    </row>
    <row r="895" customFormat="false" ht="15.75" hidden="false" customHeight="false" outlineLevel="0" collapsed="false">
      <c r="E895" s="30"/>
      <c r="F895" s="30"/>
      <c r="G895" s="30"/>
      <c r="H895" s="30"/>
      <c r="I895" s="36"/>
    </row>
    <row r="896" customFormat="false" ht="15.75" hidden="false" customHeight="false" outlineLevel="0" collapsed="false">
      <c r="E896" s="30"/>
      <c r="F896" s="30"/>
      <c r="G896" s="30"/>
      <c r="H896" s="30"/>
      <c r="I896" s="36"/>
    </row>
    <row r="897" customFormat="false" ht="15.75" hidden="false" customHeight="false" outlineLevel="0" collapsed="false">
      <c r="E897" s="30"/>
      <c r="F897" s="30"/>
      <c r="G897" s="30"/>
      <c r="H897" s="30"/>
      <c r="I897" s="36"/>
    </row>
    <row r="898" customFormat="false" ht="15.75" hidden="false" customHeight="false" outlineLevel="0" collapsed="false">
      <c r="E898" s="30"/>
      <c r="F898" s="30"/>
      <c r="G898" s="30"/>
      <c r="H898" s="30"/>
      <c r="I898" s="36"/>
    </row>
    <row r="899" customFormat="false" ht="15.75" hidden="false" customHeight="false" outlineLevel="0" collapsed="false">
      <c r="E899" s="30"/>
      <c r="F899" s="30"/>
      <c r="G899" s="30"/>
      <c r="H899" s="30"/>
      <c r="I899" s="36"/>
    </row>
    <row r="900" customFormat="false" ht="15.75" hidden="false" customHeight="false" outlineLevel="0" collapsed="false">
      <c r="E900" s="30"/>
      <c r="F900" s="30"/>
      <c r="G900" s="30"/>
      <c r="H900" s="30"/>
      <c r="I900" s="36"/>
    </row>
    <row r="901" customFormat="false" ht="15.75" hidden="false" customHeight="false" outlineLevel="0" collapsed="false">
      <c r="E901" s="30"/>
      <c r="F901" s="30"/>
      <c r="G901" s="30"/>
      <c r="H901" s="30"/>
      <c r="I901" s="36"/>
    </row>
    <row r="902" customFormat="false" ht="15.75" hidden="false" customHeight="false" outlineLevel="0" collapsed="false">
      <c r="E902" s="30"/>
      <c r="F902" s="30"/>
      <c r="G902" s="30"/>
      <c r="H902" s="30"/>
      <c r="I902" s="36"/>
    </row>
    <row r="903" customFormat="false" ht="15.75" hidden="false" customHeight="false" outlineLevel="0" collapsed="false">
      <c r="E903" s="30"/>
      <c r="F903" s="30"/>
      <c r="G903" s="30"/>
      <c r="H903" s="30"/>
      <c r="I903" s="36"/>
    </row>
    <row r="904" customFormat="false" ht="15.75" hidden="false" customHeight="false" outlineLevel="0" collapsed="false">
      <c r="E904" s="30"/>
      <c r="F904" s="30"/>
      <c r="G904" s="30"/>
      <c r="H904" s="30"/>
      <c r="I904" s="36"/>
    </row>
    <row r="905" customFormat="false" ht="15.75" hidden="false" customHeight="false" outlineLevel="0" collapsed="false">
      <c r="E905" s="30"/>
      <c r="F905" s="30"/>
      <c r="G905" s="30"/>
      <c r="H905" s="30"/>
      <c r="I905" s="36"/>
    </row>
    <row r="906" customFormat="false" ht="15.75" hidden="false" customHeight="false" outlineLevel="0" collapsed="false">
      <c r="E906" s="30"/>
      <c r="F906" s="30"/>
      <c r="G906" s="30"/>
      <c r="H906" s="30"/>
      <c r="I906" s="36"/>
    </row>
    <row r="907" customFormat="false" ht="15.75" hidden="false" customHeight="false" outlineLevel="0" collapsed="false">
      <c r="E907" s="30"/>
      <c r="F907" s="30"/>
      <c r="G907" s="30"/>
      <c r="H907" s="30"/>
      <c r="I907" s="36"/>
    </row>
    <row r="908" customFormat="false" ht="15.75" hidden="false" customHeight="false" outlineLevel="0" collapsed="false">
      <c r="E908" s="30"/>
      <c r="F908" s="30"/>
      <c r="G908" s="30"/>
      <c r="H908" s="30"/>
      <c r="I908" s="36"/>
    </row>
    <row r="909" customFormat="false" ht="15.75" hidden="false" customHeight="false" outlineLevel="0" collapsed="false">
      <c r="E909" s="30"/>
      <c r="F909" s="30"/>
      <c r="G909" s="30"/>
      <c r="H909" s="30"/>
      <c r="I909" s="36"/>
    </row>
    <row r="910" customFormat="false" ht="15.75" hidden="false" customHeight="false" outlineLevel="0" collapsed="false">
      <c r="E910" s="30"/>
      <c r="F910" s="30"/>
      <c r="G910" s="30"/>
      <c r="H910" s="30"/>
      <c r="I910" s="36"/>
    </row>
    <row r="911" customFormat="false" ht="15.75" hidden="false" customHeight="false" outlineLevel="0" collapsed="false">
      <c r="E911" s="30"/>
      <c r="F911" s="30"/>
      <c r="G911" s="30"/>
      <c r="H911" s="30"/>
      <c r="I911" s="36"/>
    </row>
    <row r="912" customFormat="false" ht="15.75" hidden="false" customHeight="false" outlineLevel="0" collapsed="false">
      <c r="E912" s="30"/>
      <c r="F912" s="30"/>
      <c r="G912" s="30"/>
      <c r="H912" s="30"/>
      <c r="I912" s="36"/>
    </row>
    <row r="913" customFormat="false" ht="15.75" hidden="false" customHeight="false" outlineLevel="0" collapsed="false">
      <c r="E913" s="30"/>
      <c r="F913" s="30"/>
      <c r="G913" s="30"/>
      <c r="H913" s="30"/>
      <c r="I913" s="36"/>
    </row>
    <row r="914" customFormat="false" ht="15.75" hidden="false" customHeight="false" outlineLevel="0" collapsed="false">
      <c r="E914" s="30"/>
      <c r="F914" s="30"/>
      <c r="G914" s="30"/>
      <c r="H914" s="30"/>
      <c r="I914" s="36"/>
    </row>
    <row r="915" customFormat="false" ht="15.75" hidden="false" customHeight="false" outlineLevel="0" collapsed="false">
      <c r="E915" s="30"/>
      <c r="F915" s="30"/>
      <c r="G915" s="30"/>
      <c r="H915" s="30"/>
      <c r="I915" s="36"/>
    </row>
    <row r="916" customFormat="false" ht="15.75" hidden="false" customHeight="false" outlineLevel="0" collapsed="false">
      <c r="E916" s="30"/>
      <c r="F916" s="30"/>
      <c r="G916" s="30"/>
      <c r="H916" s="30"/>
      <c r="I916" s="36"/>
    </row>
    <row r="917" customFormat="false" ht="15.75" hidden="false" customHeight="false" outlineLevel="0" collapsed="false">
      <c r="E917" s="30"/>
      <c r="F917" s="30"/>
      <c r="G917" s="30"/>
      <c r="H917" s="30"/>
      <c r="I917" s="36"/>
    </row>
    <row r="918" customFormat="false" ht="15.75" hidden="false" customHeight="false" outlineLevel="0" collapsed="false">
      <c r="E918" s="30"/>
      <c r="F918" s="30"/>
      <c r="G918" s="30"/>
      <c r="H918" s="30"/>
      <c r="I918" s="36"/>
    </row>
    <row r="919" customFormat="false" ht="15.75" hidden="false" customHeight="false" outlineLevel="0" collapsed="false">
      <c r="E919" s="30"/>
      <c r="F919" s="30"/>
      <c r="G919" s="30"/>
      <c r="H919" s="30"/>
      <c r="I919" s="36"/>
    </row>
    <row r="920" customFormat="false" ht="15.75" hidden="false" customHeight="false" outlineLevel="0" collapsed="false">
      <c r="E920" s="30"/>
      <c r="F920" s="30"/>
      <c r="G920" s="30"/>
      <c r="H920" s="30"/>
      <c r="I920" s="36"/>
    </row>
    <row r="921" customFormat="false" ht="15.75" hidden="false" customHeight="false" outlineLevel="0" collapsed="false">
      <c r="E921" s="30"/>
      <c r="F921" s="30"/>
      <c r="G921" s="30"/>
      <c r="H921" s="30"/>
      <c r="I921" s="36"/>
    </row>
    <row r="922" customFormat="false" ht="15.75" hidden="false" customHeight="false" outlineLevel="0" collapsed="false">
      <c r="E922" s="30"/>
      <c r="F922" s="30"/>
      <c r="G922" s="30"/>
      <c r="H922" s="30"/>
      <c r="I922" s="36"/>
    </row>
    <row r="923" customFormat="false" ht="15.75" hidden="false" customHeight="false" outlineLevel="0" collapsed="false">
      <c r="E923" s="30"/>
      <c r="F923" s="30"/>
      <c r="G923" s="30"/>
      <c r="H923" s="30"/>
      <c r="I923" s="36"/>
    </row>
    <row r="924" customFormat="false" ht="15.75" hidden="false" customHeight="false" outlineLevel="0" collapsed="false">
      <c r="E924" s="30"/>
      <c r="F924" s="30"/>
      <c r="G924" s="30"/>
      <c r="H924" s="30"/>
      <c r="I924" s="36"/>
    </row>
    <row r="925" customFormat="false" ht="15.75" hidden="false" customHeight="false" outlineLevel="0" collapsed="false">
      <c r="E925" s="30"/>
      <c r="F925" s="30"/>
      <c r="G925" s="30"/>
      <c r="H925" s="30"/>
      <c r="I925" s="36"/>
    </row>
    <row r="926" customFormat="false" ht="15.75" hidden="false" customHeight="false" outlineLevel="0" collapsed="false">
      <c r="E926" s="30"/>
      <c r="F926" s="30"/>
      <c r="G926" s="30"/>
      <c r="H926" s="30"/>
      <c r="I926" s="36"/>
    </row>
    <row r="927" customFormat="false" ht="15.75" hidden="false" customHeight="false" outlineLevel="0" collapsed="false">
      <c r="E927" s="30"/>
      <c r="F927" s="30"/>
      <c r="G927" s="30"/>
      <c r="H927" s="30"/>
      <c r="I927" s="36"/>
    </row>
    <row r="928" customFormat="false" ht="15.75" hidden="false" customHeight="false" outlineLevel="0" collapsed="false">
      <c r="E928" s="30"/>
      <c r="F928" s="30"/>
      <c r="G928" s="30"/>
      <c r="H928" s="30"/>
      <c r="I928" s="36"/>
    </row>
    <row r="929" customFormat="false" ht="15.75" hidden="false" customHeight="false" outlineLevel="0" collapsed="false">
      <c r="E929" s="30"/>
      <c r="F929" s="30"/>
      <c r="G929" s="30"/>
      <c r="H929" s="30"/>
      <c r="I929" s="36"/>
    </row>
    <row r="930" customFormat="false" ht="15.75" hidden="false" customHeight="false" outlineLevel="0" collapsed="false">
      <c r="E930" s="30"/>
      <c r="F930" s="30"/>
      <c r="G930" s="30"/>
      <c r="H930" s="30"/>
      <c r="I930" s="36"/>
    </row>
    <row r="931" customFormat="false" ht="15.75" hidden="false" customHeight="false" outlineLevel="0" collapsed="false">
      <c r="E931" s="30"/>
      <c r="F931" s="30"/>
      <c r="G931" s="30"/>
      <c r="H931" s="30"/>
      <c r="I931" s="36"/>
    </row>
    <row r="932" customFormat="false" ht="15.75" hidden="false" customHeight="false" outlineLevel="0" collapsed="false">
      <c r="E932" s="30"/>
      <c r="F932" s="30"/>
      <c r="G932" s="30"/>
      <c r="H932" s="30"/>
      <c r="I932" s="36"/>
    </row>
    <row r="933" customFormat="false" ht="15.75" hidden="false" customHeight="false" outlineLevel="0" collapsed="false">
      <c r="E933" s="30"/>
      <c r="F933" s="30"/>
      <c r="G933" s="30"/>
      <c r="H933" s="30"/>
      <c r="I933" s="36"/>
    </row>
    <row r="934" customFormat="false" ht="15.75" hidden="false" customHeight="false" outlineLevel="0" collapsed="false">
      <c r="E934" s="30"/>
      <c r="F934" s="30"/>
      <c r="G934" s="30"/>
      <c r="H934" s="30"/>
      <c r="I934" s="36"/>
    </row>
    <row r="935" customFormat="false" ht="15.75" hidden="false" customHeight="false" outlineLevel="0" collapsed="false">
      <c r="E935" s="30"/>
      <c r="F935" s="30"/>
      <c r="G935" s="30"/>
      <c r="H935" s="30"/>
      <c r="I935" s="36"/>
    </row>
    <row r="936" customFormat="false" ht="15.75" hidden="false" customHeight="false" outlineLevel="0" collapsed="false">
      <c r="E936" s="30"/>
      <c r="F936" s="30"/>
      <c r="G936" s="30"/>
      <c r="H936" s="30"/>
      <c r="I936" s="36"/>
    </row>
    <row r="937" customFormat="false" ht="15.75" hidden="false" customHeight="false" outlineLevel="0" collapsed="false">
      <c r="E937" s="30"/>
      <c r="F937" s="30"/>
      <c r="G937" s="30"/>
      <c r="H937" s="30"/>
      <c r="I937" s="36"/>
    </row>
    <row r="938" customFormat="false" ht="15.75" hidden="false" customHeight="false" outlineLevel="0" collapsed="false">
      <c r="E938" s="30"/>
      <c r="F938" s="30"/>
      <c r="G938" s="30"/>
      <c r="H938" s="30"/>
      <c r="I938" s="36"/>
    </row>
    <row r="939" customFormat="false" ht="15.75" hidden="false" customHeight="false" outlineLevel="0" collapsed="false">
      <c r="E939" s="30"/>
      <c r="F939" s="30"/>
      <c r="G939" s="30"/>
      <c r="H939" s="30"/>
      <c r="I939" s="36"/>
    </row>
    <row r="940" customFormat="false" ht="15.75" hidden="false" customHeight="false" outlineLevel="0" collapsed="false">
      <c r="E940" s="30"/>
      <c r="F940" s="30"/>
      <c r="G940" s="30"/>
      <c r="H940" s="30"/>
      <c r="I940" s="36"/>
    </row>
    <row r="941" customFormat="false" ht="15.75" hidden="false" customHeight="false" outlineLevel="0" collapsed="false">
      <c r="E941" s="30"/>
      <c r="F941" s="30"/>
      <c r="G941" s="30"/>
      <c r="H941" s="30"/>
      <c r="I941" s="36"/>
    </row>
    <row r="942" customFormat="false" ht="15.75" hidden="false" customHeight="false" outlineLevel="0" collapsed="false">
      <c r="E942" s="30"/>
      <c r="F942" s="30"/>
      <c r="G942" s="30"/>
      <c r="H942" s="30"/>
      <c r="I942" s="36"/>
    </row>
    <row r="943" customFormat="false" ht="15.75" hidden="false" customHeight="false" outlineLevel="0" collapsed="false">
      <c r="E943" s="30"/>
      <c r="F943" s="30"/>
      <c r="G943" s="30"/>
      <c r="H943" s="30"/>
      <c r="I943" s="36"/>
    </row>
    <row r="944" customFormat="false" ht="15.75" hidden="false" customHeight="false" outlineLevel="0" collapsed="false">
      <c r="E944" s="30"/>
      <c r="F944" s="30"/>
      <c r="G944" s="30"/>
      <c r="H944" s="30"/>
      <c r="I944" s="36"/>
    </row>
    <row r="945" customFormat="false" ht="15.75" hidden="false" customHeight="false" outlineLevel="0" collapsed="false">
      <c r="E945" s="30"/>
      <c r="F945" s="30"/>
      <c r="G945" s="30"/>
      <c r="H945" s="30"/>
      <c r="I945" s="36"/>
    </row>
    <row r="946" customFormat="false" ht="15.75" hidden="false" customHeight="false" outlineLevel="0" collapsed="false">
      <c r="E946" s="30"/>
      <c r="F946" s="30"/>
      <c r="G946" s="30"/>
      <c r="H946" s="30"/>
      <c r="I946" s="36"/>
    </row>
    <row r="947" customFormat="false" ht="15.75" hidden="false" customHeight="false" outlineLevel="0" collapsed="false">
      <c r="E947" s="30"/>
      <c r="F947" s="30"/>
      <c r="G947" s="30"/>
      <c r="H947" s="30"/>
      <c r="I947" s="36"/>
    </row>
    <row r="948" customFormat="false" ht="15.75" hidden="false" customHeight="false" outlineLevel="0" collapsed="false">
      <c r="E948" s="30"/>
      <c r="F948" s="30"/>
      <c r="G948" s="30"/>
      <c r="H948" s="30"/>
      <c r="I948" s="36"/>
    </row>
    <row r="949" customFormat="false" ht="15.75" hidden="false" customHeight="false" outlineLevel="0" collapsed="false">
      <c r="E949" s="30"/>
      <c r="F949" s="30"/>
      <c r="G949" s="30"/>
      <c r="H949" s="30"/>
      <c r="I949" s="36"/>
    </row>
    <row r="950" customFormat="false" ht="15.75" hidden="false" customHeight="false" outlineLevel="0" collapsed="false">
      <c r="E950" s="30"/>
      <c r="F950" s="30"/>
      <c r="G950" s="30"/>
      <c r="H950" s="30"/>
      <c r="I950" s="36"/>
    </row>
    <row r="951" customFormat="false" ht="15.75" hidden="false" customHeight="false" outlineLevel="0" collapsed="false">
      <c r="E951" s="30"/>
      <c r="F951" s="30"/>
      <c r="G951" s="30"/>
      <c r="H951" s="30"/>
      <c r="I951" s="36"/>
    </row>
    <row r="952" customFormat="false" ht="15.75" hidden="false" customHeight="false" outlineLevel="0" collapsed="false">
      <c r="E952" s="30"/>
      <c r="F952" s="30"/>
      <c r="G952" s="30"/>
      <c r="H952" s="30"/>
      <c r="I952" s="36"/>
    </row>
    <row r="953" customFormat="false" ht="15.75" hidden="false" customHeight="false" outlineLevel="0" collapsed="false">
      <c r="E953" s="30"/>
      <c r="F953" s="30"/>
      <c r="G953" s="30"/>
      <c r="H953" s="30"/>
      <c r="I953" s="36"/>
    </row>
    <row r="954" customFormat="false" ht="15.75" hidden="false" customHeight="false" outlineLevel="0" collapsed="false">
      <c r="E954" s="30"/>
      <c r="F954" s="30"/>
      <c r="G954" s="30"/>
      <c r="H954" s="30"/>
      <c r="I954" s="36"/>
    </row>
    <row r="955" customFormat="false" ht="15.75" hidden="false" customHeight="false" outlineLevel="0" collapsed="false">
      <c r="E955" s="30"/>
      <c r="F955" s="30"/>
      <c r="G955" s="30"/>
      <c r="H955" s="30"/>
      <c r="I955" s="36"/>
    </row>
    <row r="956" customFormat="false" ht="15.75" hidden="false" customHeight="false" outlineLevel="0" collapsed="false">
      <c r="E956" s="30"/>
      <c r="F956" s="30"/>
      <c r="G956" s="30"/>
      <c r="H956" s="30"/>
      <c r="I956" s="36"/>
    </row>
    <row r="957" customFormat="false" ht="15.75" hidden="false" customHeight="false" outlineLevel="0" collapsed="false">
      <c r="E957" s="30"/>
      <c r="F957" s="30"/>
      <c r="G957" s="30"/>
      <c r="H957" s="30"/>
      <c r="I957" s="36"/>
    </row>
    <row r="958" customFormat="false" ht="15.75" hidden="false" customHeight="false" outlineLevel="0" collapsed="false">
      <c r="E958" s="30"/>
      <c r="F958" s="30"/>
      <c r="G958" s="30"/>
      <c r="H958" s="30"/>
      <c r="I958" s="36"/>
    </row>
    <row r="959" customFormat="false" ht="15.75" hidden="false" customHeight="false" outlineLevel="0" collapsed="false">
      <c r="E959" s="30"/>
      <c r="F959" s="30"/>
      <c r="G959" s="30"/>
      <c r="H959" s="30"/>
      <c r="I959" s="36"/>
    </row>
    <row r="960" customFormat="false" ht="15.75" hidden="false" customHeight="false" outlineLevel="0" collapsed="false">
      <c r="E960" s="30"/>
      <c r="F960" s="30"/>
      <c r="G960" s="30"/>
      <c r="H960" s="30"/>
      <c r="I960" s="36"/>
    </row>
    <row r="961" customFormat="false" ht="15.75" hidden="false" customHeight="false" outlineLevel="0" collapsed="false">
      <c r="E961" s="30"/>
      <c r="F961" s="30"/>
      <c r="G961" s="30"/>
      <c r="H961" s="30"/>
      <c r="I961" s="36"/>
    </row>
    <row r="962" customFormat="false" ht="15.75" hidden="false" customHeight="false" outlineLevel="0" collapsed="false">
      <c r="E962" s="30"/>
      <c r="F962" s="30"/>
      <c r="G962" s="30"/>
      <c r="H962" s="30"/>
      <c r="I962" s="36"/>
    </row>
    <row r="963" customFormat="false" ht="15.75" hidden="false" customHeight="false" outlineLevel="0" collapsed="false">
      <c r="E963" s="30"/>
      <c r="F963" s="30"/>
      <c r="G963" s="30"/>
      <c r="H963" s="30"/>
      <c r="I963" s="36"/>
    </row>
    <row r="964" customFormat="false" ht="15.75" hidden="false" customHeight="false" outlineLevel="0" collapsed="false">
      <c r="E964" s="30"/>
      <c r="F964" s="30"/>
      <c r="G964" s="30"/>
      <c r="H964" s="30"/>
      <c r="I964" s="36"/>
    </row>
    <row r="965" customFormat="false" ht="15.75" hidden="false" customHeight="false" outlineLevel="0" collapsed="false">
      <c r="E965" s="30"/>
      <c r="F965" s="30"/>
      <c r="G965" s="30"/>
      <c r="H965" s="30"/>
      <c r="I965" s="36"/>
    </row>
    <row r="966" customFormat="false" ht="15.75" hidden="false" customHeight="false" outlineLevel="0" collapsed="false">
      <c r="E966" s="30"/>
      <c r="F966" s="30"/>
      <c r="G966" s="30"/>
      <c r="H966" s="30"/>
      <c r="I966" s="36"/>
    </row>
    <row r="967" customFormat="false" ht="15.75" hidden="false" customHeight="false" outlineLevel="0" collapsed="false">
      <c r="E967" s="30"/>
      <c r="F967" s="30"/>
      <c r="G967" s="30"/>
      <c r="H967" s="30"/>
      <c r="I967" s="36"/>
    </row>
    <row r="968" customFormat="false" ht="15.75" hidden="false" customHeight="false" outlineLevel="0" collapsed="false">
      <c r="E968" s="30"/>
      <c r="F968" s="30"/>
      <c r="G968" s="30"/>
      <c r="H968" s="30"/>
      <c r="I968" s="36"/>
    </row>
    <row r="969" customFormat="false" ht="15.75" hidden="false" customHeight="false" outlineLevel="0" collapsed="false">
      <c r="E969" s="30"/>
      <c r="F969" s="30"/>
      <c r="G969" s="30"/>
      <c r="H969" s="30"/>
      <c r="I969" s="36"/>
    </row>
    <row r="970" customFormat="false" ht="15.75" hidden="false" customHeight="false" outlineLevel="0" collapsed="false">
      <c r="E970" s="30"/>
      <c r="F970" s="30"/>
      <c r="G970" s="30"/>
      <c r="H970" s="30"/>
      <c r="I970" s="36"/>
    </row>
    <row r="971" customFormat="false" ht="15.75" hidden="false" customHeight="false" outlineLevel="0" collapsed="false">
      <c r="E971" s="30"/>
      <c r="F971" s="30"/>
      <c r="G971" s="30"/>
      <c r="H971" s="30"/>
      <c r="I971" s="36"/>
    </row>
    <row r="972" customFormat="false" ht="15.75" hidden="false" customHeight="false" outlineLevel="0" collapsed="false">
      <c r="E972" s="30"/>
      <c r="F972" s="30"/>
      <c r="G972" s="30"/>
      <c r="H972" s="30"/>
      <c r="I972" s="36"/>
    </row>
    <row r="973" customFormat="false" ht="15.75" hidden="false" customHeight="false" outlineLevel="0" collapsed="false">
      <c r="E973" s="30"/>
      <c r="F973" s="30"/>
      <c r="G973" s="30"/>
      <c r="H973" s="30"/>
      <c r="I973" s="36"/>
    </row>
    <row r="974" customFormat="false" ht="15.75" hidden="false" customHeight="false" outlineLevel="0" collapsed="false">
      <c r="E974" s="30"/>
      <c r="F974" s="30"/>
      <c r="G974" s="30"/>
      <c r="H974" s="30"/>
      <c r="I974" s="36"/>
    </row>
    <row r="975" customFormat="false" ht="15.75" hidden="false" customHeight="false" outlineLevel="0" collapsed="false">
      <c r="E975" s="30"/>
      <c r="F975" s="30"/>
      <c r="G975" s="30"/>
      <c r="H975" s="30"/>
      <c r="I975" s="36"/>
    </row>
    <row r="976" customFormat="false" ht="15.75" hidden="false" customHeight="false" outlineLevel="0" collapsed="false">
      <c r="E976" s="30"/>
      <c r="F976" s="30"/>
      <c r="G976" s="30"/>
      <c r="H976" s="30"/>
      <c r="I976" s="36"/>
    </row>
    <row r="977" customFormat="false" ht="15.75" hidden="false" customHeight="false" outlineLevel="0" collapsed="false">
      <c r="E977" s="30"/>
      <c r="F977" s="30"/>
      <c r="G977" s="30"/>
      <c r="H977" s="30"/>
      <c r="I977" s="36"/>
    </row>
    <row r="978" customFormat="false" ht="15.75" hidden="false" customHeight="false" outlineLevel="0" collapsed="false">
      <c r="E978" s="30"/>
      <c r="F978" s="30"/>
      <c r="G978" s="30"/>
      <c r="H978" s="30"/>
      <c r="I978" s="36"/>
    </row>
    <row r="979" customFormat="false" ht="15.75" hidden="false" customHeight="false" outlineLevel="0" collapsed="false">
      <c r="E979" s="30"/>
      <c r="F979" s="30"/>
      <c r="G979" s="30"/>
      <c r="H979" s="30"/>
      <c r="I979" s="36"/>
    </row>
    <row r="980" customFormat="false" ht="15.75" hidden="false" customHeight="false" outlineLevel="0" collapsed="false">
      <c r="E980" s="30"/>
      <c r="F980" s="30"/>
      <c r="G980" s="30"/>
      <c r="H980" s="30"/>
      <c r="I980" s="36"/>
    </row>
    <row r="981" customFormat="false" ht="15.75" hidden="false" customHeight="false" outlineLevel="0" collapsed="false">
      <c r="E981" s="30"/>
      <c r="F981" s="30"/>
      <c r="G981" s="30"/>
      <c r="H981" s="30"/>
      <c r="I981" s="36"/>
    </row>
    <row r="982" customFormat="false" ht="15.75" hidden="false" customHeight="false" outlineLevel="0" collapsed="false">
      <c r="E982" s="30"/>
      <c r="F982" s="30"/>
      <c r="G982" s="30"/>
      <c r="H982" s="30"/>
      <c r="I982" s="36"/>
    </row>
    <row r="983" customFormat="false" ht="15.75" hidden="false" customHeight="false" outlineLevel="0" collapsed="false">
      <c r="E983" s="30"/>
      <c r="F983" s="30"/>
      <c r="G983" s="30"/>
      <c r="H983" s="30"/>
      <c r="I983" s="36"/>
    </row>
    <row r="984" customFormat="false" ht="15.75" hidden="false" customHeight="false" outlineLevel="0" collapsed="false">
      <c r="E984" s="30"/>
      <c r="F984" s="30"/>
      <c r="G984" s="30"/>
      <c r="H984" s="30"/>
      <c r="I984" s="36"/>
    </row>
    <row r="985" customFormat="false" ht="15.75" hidden="false" customHeight="false" outlineLevel="0" collapsed="false">
      <c r="E985" s="30"/>
      <c r="F985" s="30"/>
      <c r="G985" s="30"/>
      <c r="H985" s="30"/>
      <c r="I985" s="36"/>
    </row>
    <row r="986" customFormat="false" ht="15.75" hidden="false" customHeight="false" outlineLevel="0" collapsed="false">
      <c r="E986" s="30"/>
      <c r="F986" s="30"/>
      <c r="G986" s="30"/>
      <c r="H986" s="30"/>
      <c r="I986" s="36"/>
    </row>
    <row r="987" customFormat="false" ht="15.75" hidden="false" customHeight="false" outlineLevel="0" collapsed="false">
      <c r="E987" s="30"/>
      <c r="F987" s="30"/>
      <c r="G987" s="30"/>
      <c r="H987" s="30"/>
      <c r="I987" s="36"/>
    </row>
    <row r="988" customFormat="false" ht="15.75" hidden="false" customHeight="false" outlineLevel="0" collapsed="false">
      <c r="E988" s="30"/>
      <c r="F988" s="30"/>
      <c r="G988" s="30"/>
      <c r="H988" s="30"/>
      <c r="I988" s="36"/>
    </row>
    <row r="989" customFormat="false" ht="15.75" hidden="false" customHeight="false" outlineLevel="0" collapsed="false">
      <c r="E989" s="30"/>
      <c r="F989" s="30"/>
      <c r="G989" s="30"/>
      <c r="H989" s="30"/>
      <c r="I989" s="36"/>
    </row>
    <row r="990" customFormat="false" ht="15.75" hidden="false" customHeight="false" outlineLevel="0" collapsed="false">
      <c r="E990" s="30"/>
      <c r="F990" s="30"/>
      <c r="G990" s="30"/>
      <c r="H990" s="30"/>
      <c r="I990" s="36"/>
    </row>
    <row r="991" customFormat="false" ht="15.75" hidden="false" customHeight="false" outlineLevel="0" collapsed="false">
      <c r="E991" s="30"/>
      <c r="F991" s="30"/>
      <c r="G991" s="30"/>
      <c r="H991" s="30"/>
      <c r="I991" s="36"/>
    </row>
    <row r="992" customFormat="false" ht="15.75" hidden="false" customHeight="false" outlineLevel="0" collapsed="false">
      <c r="E992" s="30"/>
      <c r="F992" s="30"/>
      <c r="G992" s="30"/>
      <c r="H992" s="30"/>
      <c r="I992" s="36"/>
    </row>
    <row r="993" customFormat="false" ht="15.75" hidden="false" customHeight="false" outlineLevel="0" collapsed="false">
      <c r="E993" s="30"/>
      <c r="F993" s="30"/>
      <c r="G993" s="30"/>
      <c r="H993" s="30"/>
      <c r="I993" s="36"/>
    </row>
    <row r="994" customFormat="false" ht="15.75" hidden="false" customHeight="false" outlineLevel="0" collapsed="false">
      <c r="E994" s="30"/>
      <c r="F994" s="30"/>
      <c r="G994" s="30"/>
      <c r="H994" s="30"/>
      <c r="I994" s="36"/>
    </row>
    <row r="995" customFormat="false" ht="15.75" hidden="false" customHeight="false" outlineLevel="0" collapsed="false">
      <c r="E995" s="30"/>
      <c r="F995" s="30"/>
      <c r="G995" s="30"/>
      <c r="H995" s="30"/>
      <c r="I995" s="36"/>
    </row>
    <row r="996" customFormat="false" ht="15.75" hidden="false" customHeight="false" outlineLevel="0" collapsed="false">
      <c r="E996" s="30"/>
      <c r="F996" s="30"/>
      <c r="G996" s="30"/>
      <c r="H996" s="30"/>
      <c r="I996" s="36"/>
    </row>
    <row r="997" customFormat="false" ht="15.75" hidden="false" customHeight="false" outlineLevel="0" collapsed="false">
      <c r="E997" s="30"/>
      <c r="F997" s="30"/>
      <c r="G997" s="30"/>
      <c r="H997" s="30"/>
      <c r="I997" s="36"/>
    </row>
    <row r="998" customFormat="false" ht="15.75" hidden="false" customHeight="false" outlineLevel="0" collapsed="false">
      <c r="E998" s="30"/>
      <c r="F998" s="30"/>
      <c r="G998" s="30"/>
      <c r="H998" s="30"/>
      <c r="I998" s="36"/>
    </row>
    <row r="999" customFormat="false" ht="15.75" hidden="false" customHeight="false" outlineLevel="0" collapsed="false">
      <c r="E999" s="30"/>
      <c r="F999" s="30"/>
      <c r="G999" s="30"/>
      <c r="H999" s="30"/>
      <c r="I999" s="36"/>
    </row>
  </sheetData>
  <autoFilter ref="B1:I134"/>
  <conditionalFormatting sqref="E2:E134">
    <cfRule type="colorScale" priority="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F2:F134">
    <cfRule type="colorScale" priority="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2:G134">
    <cfRule type="colorScale" priority="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H2:H134">
    <cfRule type="colorScale" priority="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2:I134">
    <cfRule type="colorScale" priority="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K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2" min="2" style="0" width="38.25"/>
    <col collapsed="false" customWidth="true" hidden="false" outlineLevel="0" max="5" min="3" style="0" width="18"/>
    <col collapsed="false" customWidth="true" hidden="false" outlineLevel="0" max="7" min="6" style="0" width="10"/>
    <col collapsed="false" customWidth="true" hidden="false" outlineLevel="0" max="8" min="8" style="0" width="7.5"/>
    <col collapsed="false" customWidth="true" hidden="false" outlineLevel="0" max="9" min="9" style="0" width="6.12"/>
    <col collapsed="false" customWidth="true" hidden="false" outlineLevel="0" max="10" min="10" style="0" width="4.63"/>
    <col collapsed="false" customWidth="true" hidden="false" outlineLevel="0" max="11" min="11" style="0" width="11.12"/>
  </cols>
  <sheetData>
    <row r="1" customFormat="false" ht="15.75" hidden="false" customHeight="false" outlineLevel="0" collapsed="false">
      <c r="B1" s="30"/>
      <c r="E1" s="30"/>
      <c r="F1" s="30"/>
      <c r="G1" s="30"/>
      <c r="H1" s="30"/>
      <c r="I1" s="30"/>
      <c r="J1" s="30"/>
      <c r="K1" s="30"/>
    </row>
    <row r="2" customFormat="false" ht="15.75" hidden="false" customHeight="false" outlineLevel="0" collapsed="false">
      <c r="B2" s="31" t="s">
        <v>348</v>
      </c>
      <c r="C2" s="31" t="s">
        <v>3</v>
      </c>
      <c r="D2" s="31" t="s">
        <v>4</v>
      </c>
      <c r="E2" s="31" t="s">
        <v>360</v>
      </c>
      <c r="F2" s="31" t="s">
        <v>361</v>
      </c>
      <c r="G2" s="31" t="s">
        <v>362</v>
      </c>
      <c r="H2" s="31" t="s">
        <v>363</v>
      </c>
      <c r="I2" s="31" t="s">
        <v>364</v>
      </c>
      <c r="J2" s="31" t="s">
        <v>365</v>
      </c>
      <c r="K2" s="31" t="s">
        <v>355</v>
      </c>
    </row>
    <row r="3" customFormat="false" ht="15.75" hidden="false" customHeight="false" outlineLevel="0" collapsed="false">
      <c r="B3" s="18" t="s">
        <v>275</v>
      </c>
      <c r="C3" s="14" t="str">
        <f aca="false">IF(B3="","",IFERROR(INDEX('CLM &amp; IM Mapping'!$B$2:$B$270,MATCH(TRIM(B3),'CLM &amp; IM Mapping'!$A$2:$A$270,0)),"Not Mapped"))</f>
        <v>Adhavan Subramani</v>
      </c>
      <c r="D3" s="14" t="str">
        <f aca="false">IF(B3="","",IFERROR(INDEX('CLM &amp; IM Mapping'!$C$2:$C$270,MATCH(TRIM(B3),'CLM &amp; IM Mapping'!$A$2:$A$270,0)),"Not Mapped"))</f>
        <v>Mohammed Akbar</v>
      </c>
      <c r="E3" s="18"/>
      <c r="F3" s="18"/>
      <c r="G3" s="18" t="n">
        <v>3010</v>
      </c>
      <c r="H3" s="18" t="n">
        <v>7631</v>
      </c>
      <c r="I3" s="18" t="n">
        <v>10641</v>
      </c>
      <c r="J3" s="18" t="n">
        <v>0</v>
      </c>
      <c r="K3" s="18" t="n">
        <v>10641</v>
      </c>
    </row>
    <row r="4" customFormat="false" ht="15.75" hidden="false" customHeight="false" outlineLevel="0" collapsed="false">
      <c r="B4" s="18" t="s">
        <v>119</v>
      </c>
      <c r="C4" s="14" t="str">
        <f aca="false">IF(B4="","",IFERROR(INDEX('CLM &amp; IM Mapping'!$B$2:$B$270,MATCH(TRIM(B4),'CLM &amp; IM Mapping'!$A$2:$A$270,0)),"Not Mapped"))</f>
        <v>Arun Raj</v>
      </c>
      <c r="D4" s="14" t="str">
        <f aca="false">IF(B4="","",IFERROR(INDEX('CLM &amp; IM Mapping'!$C$2:$C$270,MATCH(TRIM(B4),'CLM &amp; IM Mapping'!$A$2:$A$270,0)),"Not Mapped"))</f>
        <v>Simon Manoharan</v>
      </c>
      <c r="E4" s="18"/>
      <c r="F4" s="18"/>
      <c r="G4" s="18"/>
      <c r="H4" s="18" t="n">
        <v>4863</v>
      </c>
      <c r="I4" s="18" t="n">
        <v>4863</v>
      </c>
      <c r="J4" s="18" t="n">
        <v>0</v>
      </c>
      <c r="K4" s="18" t="n">
        <v>4863</v>
      </c>
    </row>
    <row r="5" customFormat="false" ht="15.75" hidden="false" customHeight="false" outlineLevel="0" collapsed="false">
      <c r="B5" s="18" t="s">
        <v>196</v>
      </c>
      <c r="C5" s="14" t="str">
        <f aca="false">IF(B5="","",IFERROR(INDEX('CLM &amp; IM Mapping'!$B$2:$B$270,MATCH(TRIM(B5),'CLM &amp; IM Mapping'!$A$2:$A$270,0)),"Not Mapped"))</f>
        <v>Arun Raj</v>
      </c>
      <c r="D5" s="14" t="str">
        <f aca="false">IF(B5="","",IFERROR(INDEX('CLM &amp; IM Mapping'!$C$2:$C$270,MATCH(TRIM(B5),'CLM &amp; IM Mapping'!$A$2:$A$270,0)),"Not Mapped"))</f>
        <v>Simon Manoharan</v>
      </c>
      <c r="E5" s="18" t="n">
        <v>408</v>
      </c>
      <c r="F5" s="18"/>
      <c r="G5" s="18" t="n">
        <v>4150</v>
      </c>
      <c r="H5" s="18" t="n">
        <v>1</v>
      </c>
      <c r="I5" s="18" t="n">
        <v>4538</v>
      </c>
      <c r="J5" s="18" t="n">
        <v>21</v>
      </c>
      <c r="K5" s="18" t="n">
        <v>4559</v>
      </c>
    </row>
    <row r="6" customFormat="false" ht="15.75" hidden="false" customHeight="false" outlineLevel="0" collapsed="false">
      <c r="B6" s="18" t="s">
        <v>276</v>
      </c>
      <c r="C6" s="14" t="str">
        <f aca="false">IF(B6="","",IFERROR(INDEX('CLM &amp; IM Mapping'!$B$2:$B$270,MATCH(TRIM(B6),'CLM &amp; IM Mapping'!$A$2:$A$270,0)),"Not Mapped"))</f>
        <v>Manjunatha V</v>
      </c>
      <c r="D6" s="14" t="str">
        <f aca="false">IF(B6="","",IFERROR(INDEX('CLM &amp; IM Mapping'!$C$2:$C$270,MATCH(TRIM(B6),'CLM &amp; IM Mapping'!$A$2:$A$270,0)),"Not Mapped"))</f>
        <v>Un Mapped</v>
      </c>
      <c r="E6" s="18" t="n">
        <v>1595</v>
      </c>
      <c r="F6" s="18"/>
      <c r="G6" s="18" t="n">
        <v>382</v>
      </c>
      <c r="H6" s="18" t="n">
        <v>5</v>
      </c>
      <c r="I6" s="18" t="n">
        <v>1895</v>
      </c>
      <c r="J6" s="18" t="n">
        <v>87</v>
      </c>
      <c r="K6" s="18" t="n">
        <v>1982</v>
      </c>
    </row>
    <row r="7" customFormat="false" ht="15.75" hidden="false" customHeight="false" outlineLevel="0" collapsed="false">
      <c r="B7" s="18" t="s">
        <v>175</v>
      </c>
      <c r="C7" s="14" t="str">
        <f aca="false">IF(B7="","",IFERROR(INDEX('CLM &amp; IM Mapping'!$B$2:$B$270,MATCH(TRIM(B7),'CLM &amp; IM Mapping'!$A$2:$A$270,0)),"Not Mapped"))</f>
        <v>Manjunatha V</v>
      </c>
      <c r="D7" s="14" t="str">
        <f aca="false">IF(B7="","",IFERROR(INDEX('CLM &amp; IM Mapping'!$C$2:$C$270,MATCH(TRIM(B7),'CLM &amp; IM Mapping'!$A$2:$A$270,0)),"Not Mapped"))</f>
        <v>Un Mapped</v>
      </c>
      <c r="E7" s="18" t="n">
        <v>1822</v>
      </c>
      <c r="F7" s="18"/>
      <c r="G7" s="18"/>
      <c r="H7" s="18"/>
      <c r="I7" s="18" t="n">
        <v>1822</v>
      </c>
      <c r="J7" s="18" t="n">
        <v>0</v>
      </c>
      <c r="K7" s="18" t="n">
        <v>1822</v>
      </c>
    </row>
    <row r="8" customFormat="false" ht="15.75" hidden="false" customHeight="false" outlineLevel="0" collapsed="false">
      <c r="B8" s="18" t="s">
        <v>193</v>
      </c>
      <c r="C8" s="14" t="str">
        <f aca="false">IF(B8="","",IFERROR(INDEX('CLM &amp; IM Mapping'!$B$2:$B$270,MATCH(TRIM(B8),'CLM &amp; IM Mapping'!$A$2:$A$270,0)),"Not Mapped"))</f>
        <v>Basil Scariya</v>
      </c>
      <c r="D8" s="14" t="str">
        <f aca="false">IF(B8="","",IFERROR(INDEX('CLM &amp; IM Mapping'!$C$2:$C$270,MATCH(TRIM(B8),'CLM &amp; IM Mapping'!$A$2:$A$270,0)),"Not Mapped"))</f>
        <v>Prakash BS</v>
      </c>
      <c r="E8" s="18" t="n">
        <v>1598</v>
      </c>
      <c r="F8" s="18"/>
      <c r="G8" s="18" t="n">
        <v>1</v>
      </c>
      <c r="H8" s="18"/>
      <c r="I8" s="18" t="n">
        <v>1599</v>
      </c>
      <c r="J8" s="18" t="n">
        <v>0</v>
      </c>
      <c r="K8" s="18" t="n">
        <v>1599</v>
      </c>
    </row>
    <row r="9" customFormat="false" ht="15.75" hidden="false" customHeight="false" outlineLevel="0" collapsed="false">
      <c r="B9" s="18" t="s">
        <v>197</v>
      </c>
      <c r="C9" s="14" t="str">
        <f aca="false">IF(B9="","",IFERROR(INDEX('CLM &amp; IM Mapping'!$B$2:$B$270,MATCH(TRIM(B9),'CLM &amp; IM Mapping'!$A$2:$A$270,0)),"Not Mapped"))</f>
        <v>Balaji G</v>
      </c>
      <c r="D9" s="14" t="str">
        <f aca="false">IF(B9="","",IFERROR(INDEX('CLM &amp; IM Mapping'!$C$2:$C$270,MATCH(TRIM(B9),'CLM &amp; IM Mapping'!$A$2:$A$270,0)),"Not Mapped"))</f>
        <v>Mohammed Akbar</v>
      </c>
      <c r="E9" s="18" t="n">
        <v>1509</v>
      </c>
      <c r="F9" s="18"/>
      <c r="G9" s="18"/>
      <c r="H9" s="18"/>
      <c r="I9" s="18" t="n">
        <v>1509</v>
      </c>
      <c r="J9" s="18" t="n">
        <v>0</v>
      </c>
      <c r="K9" s="18" t="n">
        <v>1509</v>
      </c>
    </row>
    <row r="10" customFormat="false" ht="15.75" hidden="false" customHeight="false" outlineLevel="0" collapsed="false">
      <c r="B10" s="18" t="s">
        <v>117</v>
      </c>
      <c r="C10" s="14" t="str">
        <f aca="false">IF(B10="","",IFERROR(INDEX('CLM &amp; IM Mapping'!$B$2:$B$270,MATCH(TRIM(B10),'CLM &amp; IM Mapping'!$A$2:$A$270,0)),"Not Mapped"))</f>
        <v>Saddam Hussain</v>
      </c>
      <c r="D10" s="14" t="str">
        <f aca="false">IF(B10="","",IFERROR(INDEX('CLM &amp; IM Mapping'!$C$2:$C$270,MATCH(TRIM(B10),'CLM &amp; IM Mapping'!$A$2:$A$270,0)),"Not Mapped"))</f>
        <v>Un Mapped</v>
      </c>
      <c r="E10" s="18" t="n">
        <v>1489</v>
      </c>
      <c r="F10" s="18"/>
      <c r="G10" s="18"/>
      <c r="H10" s="18" t="n">
        <v>7</v>
      </c>
      <c r="I10" s="18" t="n">
        <v>1490</v>
      </c>
      <c r="J10" s="18" t="n">
        <v>6</v>
      </c>
      <c r="K10" s="18" t="n">
        <v>1496</v>
      </c>
    </row>
    <row r="11" customFormat="false" ht="15.75" hidden="false" customHeight="false" outlineLevel="0" collapsed="false">
      <c r="B11" s="18" t="s">
        <v>154</v>
      </c>
      <c r="C11" s="14" t="str">
        <f aca="false">IF(B11="","",IFERROR(INDEX('CLM &amp; IM Mapping'!$B$2:$B$270,MATCH(TRIM(B11),'CLM &amp; IM Mapping'!$A$2:$A$270,0)),"Not Mapped"))</f>
        <v>Manoj Kj</v>
      </c>
      <c r="D11" s="14" t="str">
        <f aca="false">IF(B11="","",IFERROR(INDEX('CLM &amp; IM Mapping'!$C$2:$C$270,MATCH(TRIM(B11),'CLM &amp; IM Mapping'!$A$2:$A$270,0)),"Not Mapped"))</f>
        <v>Srittam Dhal</v>
      </c>
      <c r="E11" s="18" t="n">
        <v>1463</v>
      </c>
      <c r="F11" s="18"/>
      <c r="G11" s="18"/>
      <c r="H11" s="18"/>
      <c r="I11" s="18" t="n">
        <v>1463</v>
      </c>
      <c r="J11" s="18" t="n">
        <v>0</v>
      </c>
      <c r="K11" s="18" t="n">
        <v>1463</v>
      </c>
    </row>
    <row r="12" customFormat="false" ht="15.75" hidden="false" customHeight="false" outlineLevel="0" collapsed="false">
      <c r="B12" s="18" t="s">
        <v>176</v>
      </c>
      <c r="C12" s="14" t="str">
        <f aca="false">IF(B12="","",IFERROR(INDEX('CLM &amp; IM Mapping'!$B$2:$B$270,MATCH(TRIM(B12),'CLM &amp; IM Mapping'!$A$2:$A$270,0)),"Not Mapped"))</f>
        <v>Raghavendra Vernekar</v>
      </c>
      <c r="D12" s="14" t="str">
        <f aca="false">IF(B12="","",IFERROR(INDEX('CLM &amp; IM Mapping'!$C$2:$C$270,MATCH(TRIM(B12),'CLM &amp; IM Mapping'!$A$2:$A$270,0)),"Not Mapped"))</f>
        <v>Prakash BS</v>
      </c>
      <c r="E12" s="18" t="n">
        <v>1222</v>
      </c>
      <c r="F12" s="18"/>
      <c r="G12" s="18" t="n">
        <v>230</v>
      </c>
      <c r="H12" s="18"/>
      <c r="I12" s="18" t="n">
        <v>1426</v>
      </c>
      <c r="J12" s="18" t="n">
        <v>26</v>
      </c>
      <c r="K12" s="18" t="n">
        <v>1452</v>
      </c>
    </row>
    <row r="13" customFormat="false" ht="15.75" hidden="false" customHeight="false" outlineLevel="0" collapsed="false">
      <c r="B13" s="18" t="s">
        <v>133</v>
      </c>
      <c r="C13" s="14" t="str">
        <f aca="false">IF(B13="","",IFERROR(INDEX('CLM &amp; IM Mapping'!$B$2:$B$270,MATCH(TRIM(B13),'CLM &amp; IM Mapping'!$A$2:$A$270,0)),"Not Mapped"))</f>
        <v>Ashwath S</v>
      </c>
      <c r="D13" s="14" t="str">
        <f aca="false">IF(B13="","",IFERROR(INDEX('CLM &amp; IM Mapping'!$C$2:$C$270,MATCH(TRIM(B13),'CLM &amp; IM Mapping'!$A$2:$A$270,0)),"Not Mapped"))</f>
        <v>Kantha Kumar</v>
      </c>
      <c r="E13" s="18" t="n">
        <v>1451</v>
      </c>
      <c r="F13" s="18"/>
      <c r="G13" s="18" t="n">
        <v>1</v>
      </c>
      <c r="H13" s="18"/>
      <c r="I13" s="18" t="n">
        <v>1452</v>
      </c>
      <c r="J13" s="18" t="n">
        <v>0</v>
      </c>
      <c r="K13" s="18" t="n">
        <v>1452</v>
      </c>
    </row>
    <row r="14" customFormat="false" ht="15.75" hidden="false" customHeight="false" outlineLevel="0" collapsed="false">
      <c r="B14" s="18" t="s">
        <v>66</v>
      </c>
      <c r="C14" s="14" t="str">
        <f aca="false">IF(B14="","",IFERROR(INDEX('CLM &amp; IM Mapping'!$B$2:$B$270,MATCH(TRIM(B14),'CLM &amp; IM Mapping'!$A$2:$A$270,0)),"Not Mapped"))</f>
        <v>Narasimhamurthy R</v>
      </c>
      <c r="D14" s="14" t="str">
        <f aca="false">IF(B14="","",IFERROR(INDEX('CLM &amp; IM Mapping'!$C$2:$C$270,MATCH(TRIM(B14),'CLM &amp; IM Mapping'!$A$2:$A$270,0)),"Not Mapped"))</f>
        <v>Kishor K</v>
      </c>
      <c r="E14" s="18" t="n">
        <v>860</v>
      </c>
      <c r="F14" s="18"/>
      <c r="G14" s="18" t="n">
        <v>259</v>
      </c>
      <c r="H14" s="18" t="n">
        <v>301</v>
      </c>
      <c r="I14" s="18" t="n">
        <v>1420</v>
      </c>
      <c r="J14" s="18" t="n">
        <v>0</v>
      </c>
      <c r="K14" s="18" t="n">
        <v>1420</v>
      </c>
    </row>
    <row r="15" customFormat="false" ht="15.75" hidden="false" customHeight="false" outlineLevel="0" collapsed="false">
      <c r="B15" s="18" t="s">
        <v>254</v>
      </c>
      <c r="C15" s="14" t="str">
        <f aca="false">IF(B15="","",IFERROR(INDEX('CLM &amp; IM Mapping'!$B$2:$B$270,MATCH(TRIM(B15),'CLM &amp; IM Mapping'!$A$2:$A$270,0)),"Not Mapped"))</f>
        <v>Suhas N</v>
      </c>
      <c r="D15" s="14" t="str">
        <f aca="false">IF(B15="","",IFERROR(INDEX('CLM &amp; IM Mapping'!$C$2:$C$270,MATCH(TRIM(B15),'CLM &amp; IM Mapping'!$A$2:$A$270,0)),"Not Mapped"))</f>
        <v>Aravind S</v>
      </c>
      <c r="E15" s="18" t="n">
        <v>765</v>
      </c>
      <c r="F15" s="18"/>
      <c r="G15" s="18" t="n">
        <v>352</v>
      </c>
      <c r="H15" s="18"/>
      <c r="I15" s="18" t="n">
        <v>768</v>
      </c>
      <c r="J15" s="18" t="n">
        <v>349</v>
      </c>
      <c r="K15" s="18" t="n">
        <v>1117</v>
      </c>
    </row>
    <row r="16" customFormat="false" ht="15.75" hidden="false" customHeight="false" outlineLevel="0" collapsed="false">
      <c r="B16" s="18" t="s">
        <v>43</v>
      </c>
      <c r="C16" s="14" t="str">
        <f aca="false">IF(B16="","",IFERROR(INDEX('CLM &amp; IM Mapping'!$B$2:$B$270,MATCH(TRIM(B16),'CLM &amp; IM Mapping'!$A$2:$A$270,0)),"Not Mapped"))</f>
        <v>Vijay M</v>
      </c>
      <c r="D16" s="14" t="str">
        <f aca="false">IF(B16="","",IFERROR(INDEX('CLM &amp; IM Mapping'!$C$2:$C$270,MATCH(TRIM(B16),'CLM &amp; IM Mapping'!$A$2:$A$270,0)),"Not Mapped"))</f>
        <v>Kantha Kumar</v>
      </c>
      <c r="E16" s="18" t="n">
        <v>999</v>
      </c>
      <c r="F16" s="18"/>
      <c r="G16" s="18" t="n">
        <v>8</v>
      </c>
      <c r="H16" s="18" t="n">
        <v>2</v>
      </c>
      <c r="I16" s="18" t="n">
        <v>1009</v>
      </c>
      <c r="J16" s="18" t="n">
        <v>0</v>
      </c>
      <c r="K16" s="18" t="n">
        <v>1009</v>
      </c>
    </row>
    <row r="17" customFormat="false" ht="15.75" hidden="false" customHeight="false" outlineLevel="0" collapsed="false">
      <c r="B17" s="18" t="s">
        <v>85</v>
      </c>
      <c r="C17" s="14" t="str">
        <f aca="false">IF(B17="","",IFERROR(INDEX('CLM &amp; IM Mapping'!$B$2:$B$270,MATCH(TRIM(B17),'CLM &amp; IM Mapping'!$A$2:$A$270,0)),"Not Mapped"))</f>
        <v>Narasimhamurthy R</v>
      </c>
      <c r="D17" s="14" t="str">
        <f aca="false">IF(B17="","",IFERROR(INDEX('CLM &amp; IM Mapping'!$C$2:$C$270,MATCH(TRIM(B17),'CLM &amp; IM Mapping'!$A$2:$A$270,0)),"Not Mapped"))</f>
        <v>Kishor K</v>
      </c>
      <c r="E17" s="18" t="n">
        <v>997</v>
      </c>
      <c r="F17" s="18"/>
      <c r="G17" s="18"/>
      <c r="H17" s="18"/>
      <c r="I17" s="18" t="n">
        <v>997</v>
      </c>
      <c r="J17" s="18" t="n">
        <v>0</v>
      </c>
      <c r="K17" s="18" t="n">
        <v>997</v>
      </c>
    </row>
    <row r="18" customFormat="false" ht="15.75" hidden="false" customHeight="false" outlineLevel="0" collapsed="false">
      <c r="B18" s="18" t="s">
        <v>86</v>
      </c>
      <c r="C18" s="14" t="str">
        <f aca="false">IF(B18="","",IFERROR(INDEX('CLM &amp; IM Mapping'!$B$2:$B$270,MATCH(TRIM(B18),'CLM &amp; IM Mapping'!$A$2:$A$270,0)),"Not Mapped"))</f>
        <v>Adhavan Subramani</v>
      </c>
      <c r="D18" s="14" t="str">
        <f aca="false">IF(B18="","",IFERROR(INDEX('CLM &amp; IM Mapping'!$C$2:$C$270,MATCH(TRIM(B18),'CLM &amp; IM Mapping'!$A$2:$A$270,0)),"Not Mapped"))</f>
        <v>Mohammed Akbar</v>
      </c>
      <c r="E18" s="18" t="n">
        <v>993</v>
      </c>
      <c r="F18" s="18"/>
      <c r="G18" s="18"/>
      <c r="H18" s="18"/>
      <c r="I18" s="18" t="n">
        <v>993</v>
      </c>
      <c r="J18" s="18" t="n">
        <v>0</v>
      </c>
      <c r="K18" s="18" t="n">
        <v>993</v>
      </c>
    </row>
    <row r="19" customFormat="false" ht="15.75" hidden="false" customHeight="false" outlineLevel="0" collapsed="false">
      <c r="B19" s="18" t="s">
        <v>256</v>
      </c>
      <c r="C19" s="14" t="str">
        <f aca="false">IF(B19="","",IFERROR(INDEX('CLM &amp; IM Mapping'!$B$2:$B$270,MATCH(TRIM(B19),'CLM &amp; IM Mapping'!$A$2:$A$270,0)),"Not Mapped"))</f>
        <v>Raghavendra Vernekar</v>
      </c>
      <c r="D19" s="14" t="str">
        <f aca="false">IF(B19="","",IFERROR(INDEX('CLM &amp; IM Mapping'!$C$2:$C$270,MATCH(TRIM(B19),'CLM &amp; IM Mapping'!$A$2:$A$270,0)),"Not Mapped"))</f>
        <v>Prakash BS</v>
      </c>
      <c r="E19" s="18" t="n">
        <v>876</v>
      </c>
      <c r="F19" s="18"/>
      <c r="G19" s="18" t="n">
        <v>16</v>
      </c>
      <c r="H19" s="18"/>
      <c r="I19" s="18" t="n">
        <v>875</v>
      </c>
      <c r="J19" s="18" t="n">
        <v>17</v>
      </c>
      <c r="K19" s="18" t="n">
        <v>892</v>
      </c>
    </row>
    <row r="20" customFormat="false" ht="15.75" hidden="false" customHeight="false" outlineLevel="0" collapsed="false">
      <c r="B20" s="18" t="s">
        <v>231</v>
      </c>
      <c r="C20" s="14" t="str">
        <f aca="false">IF(B20="","",IFERROR(INDEX('CLM &amp; IM Mapping'!$B$2:$B$270,MATCH(TRIM(B20),'CLM &amp; IM Mapping'!$A$2:$A$270,0)),"Not Mapped"))</f>
        <v>Narasimhamurthy R</v>
      </c>
      <c r="D20" s="14" t="str">
        <f aca="false">IF(B20="","",IFERROR(INDEX('CLM &amp; IM Mapping'!$C$2:$C$270,MATCH(TRIM(B20),'CLM &amp; IM Mapping'!$A$2:$A$270,0)),"Not Mapped"))</f>
        <v>Kishor K</v>
      </c>
      <c r="E20" s="18" t="n">
        <v>804</v>
      </c>
      <c r="F20" s="18"/>
      <c r="G20" s="18"/>
      <c r="H20" s="18"/>
      <c r="I20" s="18" t="n">
        <v>804</v>
      </c>
      <c r="J20" s="18" t="n">
        <v>0</v>
      </c>
      <c r="K20" s="18" t="n">
        <v>804</v>
      </c>
    </row>
    <row r="21" customFormat="false" ht="15.75" hidden="false" customHeight="false" outlineLevel="0" collapsed="false">
      <c r="B21" s="18" t="s">
        <v>129</v>
      </c>
      <c r="C21" s="14" t="str">
        <f aca="false">IF(B21="","",IFERROR(INDEX('CLM &amp; IM Mapping'!$B$2:$B$270,MATCH(TRIM(B21),'CLM &amp; IM Mapping'!$A$2:$A$270,0)),"Not Mapped"))</f>
        <v>Ravishankar gowda</v>
      </c>
      <c r="D21" s="14" t="str">
        <f aca="false">IF(B21="","",IFERROR(INDEX('CLM &amp; IM Mapping'!$C$2:$C$270,MATCH(TRIM(B21),'CLM &amp; IM Mapping'!$A$2:$A$270,0)),"Not Mapped"))</f>
        <v>Kishor K</v>
      </c>
      <c r="E21" s="18" t="n">
        <v>622</v>
      </c>
      <c r="F21" s="18"/>
      <c r="G21" s="18"/>
      <c r="H21" s="18"/>
      <c r="I21" s="18" t="n">
        <v>622</v>
      </c>
      <c r="J21" s="18" t="n">
        <v>0</v>
      </c>
      <c r="K21" s="18" t="n">
        <v>622</v>
      </c>
    </row>
    <row r="22" customFormat="false" ht="15.75" hidden="false" customHeight="false" outlineLevel="0" collapsed="false">
      <c r="B22" s="18" t="s">
        <v>213</v>
      </c>
      <c r="C22" s="14" t="str">
        <f aca="false">IF(B22="","",IFERROR(INDEX('CLM &amp; IM Mapping'!$B$2:$B$270,MATCH(TRIM(B22),'CLM &amp; IM Mapping'!$A$2:$A$270,0)),"Not Mapped"))</f>
        <v>Arun Raj</v>
      </c>
      <c r="D22" s="14" t="str">
        <f aca="false">IF(B22="","",IFERROR(INDEX('CLM &amp; IM Mapping'!$C$2:$C$270,MATCH(TRIM(B22),'CLM &amp; IM Mapping'!$A$2:$A$270,0)),"Not Mapped"))</f>
        <v>Simon Manoharan</v>
      </c>
      <c r="E22" s="18" t="n">
        <v>399</v>
      </c>
      <c r="F22" s="18"/>
      <c r="G22" s="18" t="n">
        <v>116</v>
      </c>
      <c r="H22" s="18" t="n">
        <v>38</v>
      </c>
      <c r="I22" s="18" t="n">
        <v>553</v>
      </c>
      <c r="J22" s="18" t="n">
        <v>0</v>
      </c>
      <c r="K22" s="18" t="n">
        <v>553</v>
      </c>
    </row>
    <row r="23" customFormat="false" ht="15.75" hidden="false" customHeight="false" outlineLevel="0" collapsed="false">
      <c r="B23" s="18" t="s">
        <v>23</v>
      </c>
      <c r="C23" s="14" t="str">
        <f aca="false">IF(B23="","",IFERROR(INDEX('CLM &amp; IM Mapping'!$B$2:$B$270,MATCH(TRIM(B23),'CLM &amp; IM Mapping'!$A$2:$A$270,0)),"Not Mapped"))</f>
        <v>Akshay P</v>
      </c>
      <c r="D23" s="14" t="str">
        <f aca="false">IF(B23="","",IFERROR(INDEX('CLM &amp; IM Mapping'!$C$2:$C$270,MATCH(TRIM(B23),'CLM &amp; IM Mapping'!$A$2:$A$270,0)),"Not Mapped"))</f>
        <v>Srittam Dhal</v>
      </c>
      <c r="E23" s="18"/>
      <c r="F23" s="18"/>
      <c r="G23" s="18" t="n">
        <v>498</v>
      </c>
      <c r="H23" s="18" t="n">
        <v>11</v>
      </c>
      <c r="I23" s="18" t="n">
        <v>5</v>
      </c>
      <c r="J23" s="18" t="n">
        <v>504</v>
      </c>
      <c r="K23" s="18" t="n">
        <v>509</v>
      </c>
    </row>
    <row r="24" customFormat="false" ht="15.75" hidden="false" customHeight="false" outlineLevel="0" collapsed="false">
      <c r="B24" s="18" t="s">
        <v>183</v>
      </c>
      <c r="C24" s="14" t="str">
        <f aca="false">IF(B24="","",IFERROR(INDEX('CLM &amp; IM Mapping'!$B$2:$B$270,MATCH(TRIM(B24),'CLM &amp; IM Mapping'!$A$2:$A$270,0)),"Not Mapped"))</f>
        <v>Ashwath S</v>
      </c>
      <c r="D24" s="14" t="str">
        <f aca="false">IF(B24="","",IFERROR(INDEX('CLM &amp; IM Mapping'!$C$2:$C$270,MATCH(TRIM(B24),'CLM &amp; IM Mapping'!$A$2:$A$270,0)),"Not Mapped"))</f>
        <v>Kantha Kumar</v>
      </c>
      <c r="E24" s="18"/>
      <c r="F24" s="18"/>
      <c r="G24" s="18" t="n">
        <v>500</v>
      </c>
      <c r="H24" s="18"/>
      <c r="I24" s="18" t="n">
        <v>500</v>
      </c>
      <c r="J24" s="18" t="n">
        <v>0</v>
      </c>
      <c r="K24" s="18" t="n">
        <v>500</v>
      </c>
    </row>
    <row r="25" customFormat="false" ht="15.75" hidden="false" customHeight="false" outlineLevel="0" collapsed="false">
      <c r="B25" s="18" t="s">
        <v>198</v>
      </c>
      <c r="C25" s="14" t="str">
        <f aca="false">IF(B25="","",IFERROR(INDEX('CLM &amp; IM Mapping'!$B$2:$B$270,MATCH(TRIM(B25),'CLM &amp; IM Mapping'!$A$2:$A$270,0)),"Not Mapped"))</f>
        <v>Girish N</v>
      </c>
      <c r="D25" s="14" t="str">
        <f aca="false">IF(B25="","",IFERROR(INDEX('CLM &amp; IM Mapping'!$C$2:$C$270,MATCH(TRIM(B25),'CLM &amp; IM Mapping'!$A$2:$A$270,0)),"Not Mapped"))</f>
        <v>Un Mapped</v>
      </c>
      <c r="E25" s="18"/>
      <c r="F25" s="18"/>
      <c r="G25" s="18" t="n">
        <v>498</v>
      </c>
      <c r="H25" s="18" t="n">
        <v>1</v>
      </c>
      <c r="I25" s="18" t="n">
        <v>481</v>
      </c>
      <c r="J25" s="18" t="n">
        <v>18</v>
      </c>
      <c r="K25" s="18" t="n">
        <v>499</v>
      </c>
    </row>
    <row r="26" customFormat="false" ht="15.75" hidden="false" customHeight="false" outlineLevel="0" collapsed="false">
      <c r="B26" s="18" t="s">
        <v>282</v>
      </c>
      <c r="C26" s="14" t="str">
        <f aca="false">IF(B26="","",IFERROR(INDEX('CLM &amp; IM Mapping'!$B$2:$B$270,MATCH(TRIM(B26),'CLM &amp; IM Mapping'!$A$2:$A$270,0)),"Not Mapped"))</f>
        <v>Santhosha M</v>
      </c>
      <c r="D26" s="14" t="str">
        <f aca="false">IF(B26="","",IFERROR(INDEX('CLM &amp; IM Mapping'!$C$2:$C$270,MATCH(TRIM(B26),'CLM &amp; IM Mapping'!$A$2:$A$270,0)),"Not Mapped"))</f>
        <v>Aravind S</v>
      </c>
      <c r="E26" s="18" t="n">
        <v>496</v>
      </c>
      <c r="F26" s="18"/>
      <c r="G26" s="18"/>
      <c r="H26" s="18"/>
      <c r="I26" s="18" t="n">
        <v>496</v>
      </c>
      <c r="J26" s="18" t="n">
        <v>0</v>
      </c>
      <c r="K26" s="18" t="n">
        <v>496</v>
      </c>
    </row>
    <row r="27" customFormat="false" ht="15.75" hidden="false" customHeight="false" outlineLevel="0" collapsed="false">
      <c r="B27" s="18" t="s">
        <v>224</v>
      </c>
      <c r="C27" s="14" t="str">
        <f aca="false">IF(B27="","",IFERROR(INDEX('CLM &amp; IM Mapping'!$B$2:$B$270,MATCH(TRIM(B27),'CLM &amp; IM Mapping'!$A$2:$A$270,0)),"Not Mapped"))</f>
        <v>Balaji G</v>
      </c>
      <c r="D27" s="14" t="str">
        <f aca="false">IF(B27="","",IFERROR(INDEX('CLM &amp; IM Mapping'!$C$2:$C$270,MATCH(TRIM(B27),'CLM &amp; IM Mapping'!$A$2:$A$270,0)),"Not Mapped"))</f>
        <v>Mohammed Akbar</v>
      </c>
      <c r="E27" s="18" t="n">
        <v>477</v>
      </c>
      <c r="F27" s="18"/>
      <c r="G27" s="18"/>
      <c r="H27" s="18"/>
      <c r="I27" s="18" t="n">
        <v>443</v>
      </c>
      <c r="J27" s="18" t="n">
        <v>34</v>
      </c>
      <c r="K27" s="18" t="n">
        <v>477</v>
      </c>
    </row>
    <row r="28" customFormat="false" ht="15.75" hidden="false" customHeight="false" outlineLevel="0" collapsed="false">
      <c r="B28" s="18" t="s">
        <v>97</v>
      </c>
      <c r="C28" s="14" t="str">
        <f aca="false">IF(B28="","",IFERROR(INDEX('CLM &amp; IM Mapping'!$B$2:$B$270,MATCH(TRIM(B28),'CLM &amp; IM Mapping'!$A$2:$A$270,0)),"Not Mapped"))</f>
        <v>Arun Raj</v>
      </c>
      <c r="D28" s="14" t="str">
        <f aca="false">IF(B28="","",IFERROR(INDEX('CLM &amp; IM Mapping'!$C$2:$C$270,MATCH(TRIM(B28),'CLM &amp; IM Mapping'!$A$2:$A$270,0)),"Not Mapped"))</f>
        <v>Simon Manoharan</v>
      </c>
      <c r="E28" s="18" t="n">
        <v>298</v>
      </c>
      <c r="F28" s="18"/>
      <c r="G28" s="18" t="n">
        <v>102</v>
      </c>
      <c r="H28" s="18" t="n">
        <v>34</v>
      </c>
      <c r="I28" s="18" t="n">
        <v>322</v>
      </c>
      <c r="J28" s="18" t="n">
        <v>112</v>
      </c>
      <c r="K28" s="18" t="n">
        <v>434</v>
      </c>
    </row>
    <row r="29" customFormat="false" ht="15.75" hidden="false" customHeight="false" outlineLevel="0" collapsed="false">
      <c r="B29" s="18" t="s">
        <v>168</v>
      </c>
      <c r="C29" s="14" t="str">
        <f aca="false">IF(B29="","",IFERROR(INDEX('CLM &amp; IM Mapping'!$B$2:$B$270,MATCH(TRIM(B29),'CLM &amp; IM Mapping'!$A$2:$A$270,0)),"Not Mapped"))</f>
        <v>Arun Raj</v>
      </c>
      <c r="D29" s="14" t="str">
        <f aca="false">IF(B29="","",IFERROR(INDEX('CLM &amp; IM Mapping'!$C$2:$C$270,MATCH(TRIM(B29),'CLM &amp; IM Mapping'!$A$2:$A$270,0)),"Not Mapped"))</f>
        <v>Simon Manoharan</v>
      </c>
      <c r="E29" s="18" t="n">
        <v>300</v>
      </c>
      <c r="F29" s="18"/>
      <c r="G29" s="18" t="n">
        <v>124</v>
      </c>
      <c r="H29" s="18"/>
      <c r="I29" s="18" t="n">
        <v>300</v>
      </c>
      <c r="J29" s="18" t="n">
        <v>124</v>
      </c>
      <c r="K29" s="18" t="n">
        <v>424</v>
      </c>
    </row>
    <row r="30" customFormat="false" ht="15.75" hidden="false" customHeight="false" outlineLevel="0" collapsed="false">
      <c r="B30" s="18" t="s">
        <v>265</v>
      </c>
      <c r="C30" s="14" t="str">
        <f aca="false">IF(B30="","",IFERROR(INDEX('CLM &amp; IM Mapping'!$B$2:$B$270,MATCH(TRIM(B30),'CLM &amp; IM Mapping'!$A$2:$A$270,0)),"Not Mapped"))</f>
        <v>Arun Raj</v>
      </c>
      <c r="D30" s="14" t="str">
        <f aca="false">IF(B30="","",IFERROR(INDEX('CLM &amp; IM Mapping'!$C$2:$C$270,MATCH(TRIM(B30),'CLM &amp; IM Mapping'!$A$2:$A$270,0)),"Not Mapped"))</f>
        <v>Simon Manoharan</v>
      </c>
      <c r="E30" s="18" t="n">
        <v>300</v>
      </c>
      <c r="F30" s="18"/>
      <c r="G30" s="18" t="n">
        <v>103</v>
      </c>
      <c r="H30" s="18" t="n">
        <v>15</v>
      </c>
      <c r="I30" s="18" t="n">
        <v>418</v>
      </c>
      <c r="J30" s="18" t="n">
        <v>0</v>
      </c>
      <c r="K30" s="18" t="n">
        <v>418</v>
      </c>
    </row>
    <row r="31" customFormat="false" ht="15.75" hidden="false" customHeight="false" outlineLevel="0" collapsed="false">
      <c r="B31" s="18" t="s">
        <v>39</v>
      </c>
      <c r="C31" s="14" t="str">
        <f aca="false">IF(B31="","",IFERROR(INDEX('CLM &amp; IM Mapping'!$B$2:$B$270,MATCH(TRIM(B31),'CLM &amp; IM Mapping'!$A$2:$A$270,0)),"Not Mapped"))</f>
        <v>Arun Raj</v>
      </c>
      <c r="D31" s="14" t="str">
        <f aca="false">IF(B31="","",IFERROR(INDEX('CLM &amp; IM Mapping'!$C$2:$C$270,MATCH(TRIM(B31),'CLM &amp; IM Mapping'!$A$2:$A$270,0)),"Not Mapped"))</f>
        <v>Simon Manoharan</v>
      </c>
      <c r="E31" s="18" t="n">
        <v>299</v>
      </c>
      <c r="F31" s="18"/>
      <c r="G31" s="18" t="n">
        <v>117</v>
      </c>
      <c r="H31" s="18"/>
      <c r="I31" s="18" t="n">
        <v>416</v>
      </c>
      <c r="J31" s="18" t="n">
        <v>0</v>
      </c>
      <c r="K31" s="18" t="n">
        <v>416</v>
      </c>
    </row>
    <row r="32" customFormat="false" ht="15.75" hidden="false" customHeight="false" outlineLevel="0" collapsed="false">
      <c r="B32" s="18" t="s">
        <v>132</v>
      </c>
      <c r="C32" s="14" t="str">
        <f aca="false">IF(B32="","",IFERROR(INDEX('CLM &amp; IM Mapping'!$B$2:$B$270,MATCH(TRIM(B32),'CLM &amp; IM Mapping'!$A$2:$A$270,0)),"Not Mapped"))</f>
        <v>Arun Raj</v>
      </c>
      <c r="D32" s="14" t="str">
        <f aca="false">IF(B32="","",IFERROR(INDEX('CLM &amp; IM Mapping'!$C$2:$C$270,MATCH(TRIM(B32),'CLM &amp; IM Mapping'!$A$2:$A$270,0)),"Not Mapped"))</f>
        <v>Simon Manoharan</v>
      </c>
      <c r="E32" s="18" t="n">
        <v>300</v>
      </c>
      <c r="F32" s="18"/>
      <c r="G32" s="18" t="n">
        <v>105</v>
      </c>
      <c r="H32" s="18"/>
      <c r="I32" s="18" t="n">
        <v>394</v>
      </c>
      <c r="J32" s="18" t="n">
        <v>11</v>
      </c>
      <c r="K32" s="18" t="n">
        <v>405</v>
      </c>
    </row>
    <row r="33" customFormat="false" ht="15.75" hidden="false" customHeight="false" outlineLevel="0" collapsed="false">
      <c r="B33" s="18" t="s">
        <v>112</v>
      </c>
      <c r="C33" s="14" t="str">
        <f aca="false">IF(B33="","",IFERROR(INDEX('CLM &amp; IM Mapping'!$B$2:$B$270,MATCH(TRIM(B33),'CLM &amp; IM Mapping'!$A$2:$A$270,0)),"Not Mapped"))</f>
        <v>Arun Raj</v>
      </c>
      <c r="D33" s="14" t="str">
        <f aca="false">IF(B33="","",IFERROR(INDEX('CLM &amp; IM Mapping'!$C$2:$C$270,MATCH(TRIM(B33),'CLM &amp; IM Mapping'!$A$2:$A$270,0)),"Not Mapped"))</f>
        <v>Simon Manoharan</v>
      </c>
      <c r="E33" s="18" t="n">
        <v>300</v>
      </c>
      <c r="F33" s="18"/>
      <c r="G33" s="18" t="n">
        <v>54</v>
      </c>
      <c r="H33" s="18"/>
      <c r="I33" s="18" t="n">
        <v>274</v>
      </c>
      <c r="J33" s="18" t="n">
        <v>80</v>
      </c>
      <c r="K33" s="18" t="n">
        <v>354</v>
      </c>
    </row>
    <row r="34" customFormat="false" ht="15.75" hidden="false" customHeight="false" outlineLevel="0" collapsed="false">
      <c r="B34" s="18" t="s">
        <v>27</v>
      </c>
      <c r="C34" s="14" t="str">
        <f aca="false">IF(B34="","",IFERROR(INDEX('CLM &amp; IM Mapping'!$B$2:$B$270,MATCH(TRIM(B34),'CLM &amp; IM Mapping'!$A$2:$A$270,0)),"Not Mapped"))</f>
        <v>Arun Raj</v>
      </c>
      <c r="D34" s="14" t="str">
        <f aca="false">IF(B34="","",IFERROR(INDEX('CLM &amp; IM Mapping'!$C$2:$C$270,MATCH(TRIM(B34),'CLM &amp; IM Mapping'!$A$2:$A$270,0)),"Not Mapped"))</f>
        <v>Simon Manoharan</v>
      </c>
      <c r="E34" s="18" t="n">
        <v>300</v>
      </c>
      <c r="F34" s="18"/>
      <c r="G34" s="18" t="n">
        <v>49</v>
      </c>
      <c r="H34" s="18"/>
      <c r="I34" s="18" t="n">
        <v>349</v>
      </c>
      <c r="J34" s="18" t="n">
        <v>0</v>
      </c>
      <c r="K34" s="18" t="n">
        <v>349</v>
      </c>
    </row>
    <row r="35" customFormat="false" ht="15.75" hidden="false" customHeight="false" outlineLevel="0" collapsed="false">
      <c r="B35" s="18" t="s">
        <v>245</v>
      </c>
      <c r="C35" s="14" t="str">
        <f aca="false">IF(B35="","",IFERROR(INDEX('CLM &amp; IM Mapping'!$B$2:$B$270,MATCH(TRIM(B35),'CLM &amp; IM Mapping'!$A$2:$A$270,0)),"Not Mapped"))</f>
        <v>Rizwan Ahmed</v>
      </c>
      <c r="D35" s="14" t="str">
        <f aca="false">IF(B35="","",IFERROR(INDEX('CLM &amp; IM Mapping'!$C$2:$C$270,MATCH(TRIM(B35),'CLM &amp; IM Mapping'!$A$2:$A$270,0)),"Not Mapped"))</f>
        <v>Prakash BS</v>
      </c>
      <c r="E35" s="18"/>
      <c r="F35" s="18"/>
      <c r="G35" s="18" t="n">
        <v>2</v>
      </c>
      <c r="H35" s="18" t="n">
        <v>335</v>
      </c>
      <c r="I35" s="18" t="n">
        <v>337</v>
      </c>
      <c r="J35" s="18" t="n">
        <v>0</v>
      </c>
      <c r="K35" s="18" t="n">
        <v>337</v>
      </c>
    </row>
    <row r="36" customFormat="false" ht="15.75" hidden="false" customHeight="false" outlineLevel="0" collapsed="false">
      <c r="B36" s="18" t="s">
        <v>226</v>
      </c>
      <c r="C36" s="14" t="str">
        <f aca="false">IF(B36="","",IFERROR(INDEX('CLM &amp; IM Mapping'!$B$2:$B$270,MATCH(TRIM(B36),'CLM &amp; IM Mapping'!$A$2:$A$270,0)),"Not Mapped"))</f>
        <v>Arun Raj</v>
      </c>
      <c r="D36" s="14" t="str">
        <f aca="false">IF(B36="","",IFERROR(INDEX('CLM &amp; IM Mapping'!$C$2:$C$270,MATCH(TRIM(B36),'CLM &amp; IM Mapping'!$A$2:$A$270,0)),"Not Mapped"))</f>
        <v>Simon Manoharan</v>
      </c>
      <c r="E36" s="18" t="n">
        <v>300</v>
      </c>
      <c r="F36" s="18"/>
      <c r="G36" s="18"/>
      <c r="H36" s="18" t="n">
        <v>8</v>
      </c>
      <c r="I36" s="18" t="n">
        <v>300</v>
      </c>
      <c r="J36" s="18" t="n">
        <v>8</v>
      </c>
      <c r="K36" s="18" t="n">
        <v>308</v>
      </c>
    </row>
    <row r="37" customFormat="false" ht="15.75" hidden="false" customHeight="false" outlineLevel="0" collapsed="false">
      <c r="B37" s="18" t="s">
        <v>130</v>
      </c>
      <c r="C37" s="14" t="str">
        <f aca="false">IF(B37="","",IFERROR(INDEX('CLM &amp; IM Mapping'!$B$2:$B$270,MATCH(TRIM(B37),'CLM &amp; IM Mapping'!$A$2:$A$270,0)),"Not Mapped"))</f>
        <v>Arun Raj</v>
      </c>
      <c r="D37" s="14" t="str">
        <f aca="false">IF(B37="","",IFERROR(INDEX('CLM &amp; IM Mapping'!$C$2:$C$270,MATCH(TRIM(B37),'CLM &amp; IM Mapping'!$A$2:$A$270,0)),"Not Mapped"))</f>
        <v>Simon Manoharan</v>
      </c>
      <c r="E37" s="18" t="n">
        <v>299</v>
      </c>
      <c r="F37" s="18"/>
      <c r="G37" s="18" t="n">
        <v>7</v>
      </c>
      <c r="H37" s="18"/>
      <c r="I37" s="18" t="n">
        <v>285</v>
      </c>
      <c r="J37" s="18" t="n">
        <v>21</v>
      </c>
      <c r="K37" s="18" t="n">
        <v>306</v>
      </c>
    </row>
    <row r="38" customFormat="false" ht="15.75" hidden="false" customHeight="false" outlineLevel="0" collapsed="false">
      <c r="B38" s="18" t="s">
        <v>157</v>
      </c>
      <c r="C38" s="14" t="str">
        <f aca="false">IF(B38="","",IFERROR(INDEX('CLM &amp; IM Mapping'!$B$2:$B$270,MATCH(TRIM(B38),'CLM &amp; IM Mapping'!$A$2:$A$270,0)),"Not Mapped"))</f>
        <v>Arun Raj</v>
      </c>
      <c r="D38" s="14" t="str">
        <f aca="false">IF(B38="","",IFERROR(INDEX('CLM &amp; IM Mapping'!$C$2:$C$270,MATCH(TRIM(B38),'CLM &amp; IM Mapping'!$A$2:$A$270,0)),"Not Mapped"))</f>
        <v>Simon Manoharan</v>
      </c>
      <c r="E38" s="18" t="n">
        <v>300</v>
      </c>
      <c r="F38" s="18"/>
      <c r="G38" s="18"/>
      <c r="H38" s="18" t="n">
        <v>5</v>
      </c>
      <c r="I38" s="18" t="n">
        <v>305</v>
      </c>
      <c r="J38" s="18" t="n">
        <v>0</v>
      </c>
      <c r="K38" s="18" t="n">
        <v>305</v>
      </c>
    </row>
    <row r="39" customFormat="false" ht="15.75" hidden="false" customHeight="false" outlineLevel="0" collapsed="false">
      <c r="B39" s="18" t="s">
        <v>120</v>
      </c>
      <c r="C39" s="14" t="str">
        <f aca="false">IF(B39="","",IFERROR(INDEX('CLM &amp; IM Mapping'!$B$2:$B$270,MATCH(TRIM(B39),'CLM &amp; IM Mapping'!$A$2:$A$270,0)),"Not Mapped"))</f>
        <v>Arun Raj</v>
      </c>
      <c r="D39" s="14" t="str">
        <f aca="false">IF(B39="","",IFERROR(INDEX('CLM &amp; IM Mapping'!$C$2:$C$270,MATCH(TRIM(B39),'CLM &amp; IM Mapping'!$A$2:$A$270,0)),"Not Mapped"))</f>
        <v>Simon Manoharan</v>
      </c>
      <c r="E39" s="18" t="n">
        <v>300</v>
      </c>
      <c r="F39" s="18"/>
      <c r="G39" s="18" t="n">
        <v>4</v>
      </c>
      <c r="H39" s="18"/>
      <c r="I39" s="18" t="n">
        <v>300</v>
      </c>
      <c r="J39" s="18" t="n">
        <v>4</v>
      </c>
      <c r="K39" s="18" t="n">
        <v>304</v>
      </c>
    </row>
    <row r="40" customFormat="false" ht="15.75" hidden="false" customHeight="false" outlineLevel="0" collapsed="false">
      <c r="B40" s="18" t="s">
        <v>272</v>
      </c>
      <c r="C40" s="14" t="str">
        <f aca="false">IF(B40="","",IFERROR(INDEX('CLM &amp; IM Mapping'!$B$2:$B$270,MATCH(TRIM(B40),'CLM &amp; IM Mapping'!$A$2:$A$270,0)),"Not Mapped"))</f>
        <v>Arun Raj</v>
      </c>
      <c r="D40" s="14" t="str">
        <f aca="false">IF(B40="","",IFERROR(INDEX('CLM &amp; IM Mapping'!$C$2:$C$270,MATCH(TRIM(B40),'CLM &amp; IM Mapping'!$A$2:$A$270,0)),"Not Mapped"))</f>
        <v>Simon Manoharan</v>
      </c>
      <c r="E40" s="18" t="n">
        <v>300</v>
      </c>
      <c r="F40" s="18"/>
      <c r="G40" s="18" t="n">
        <v>1</v>
      </c>
      <c r="H40" s="18"/>
      <c r="I40" s="18" t="n">
        <v>301</v>
      </c>
      <c r="J40" s="18" t="n">
        <v>0</v>
      </c>
      <c r="K40" s="18" t="n">
        <v>301</v>
      </c>
    </row>
    <row r="41" customFormat="false" ht="15.75" hidden="false" customHeight="false" outlineLevel="0" collapsed="false">
      <c r="B41" s="18" t="s">
        <v>268</v>
      </c>
      <c r="C41" s="14" t="str">
        <f aca="false">IF(B41="","",IFERROR(INDEX('CLM &amp; IM Mapping'!$B$2:$B$270,MATCH(TRIM(B41),'CLM &amp; IM Mapping'!$A$2:$A$270,0)),"Not Mapped"))</f>
        <v>Arun Raj</v>
      </c>
      <c r="D41" s="14" t="str">
        <f aca="false">IF(B41="","",IFERROR(INDEX('CLM &amp; IM Mapping'!$C$2:$C$270,MATCH(TRIM(B41),'CLM &amp; IM Mapping'!$A$2:$A$270,0)),"Not Mapped"))</f>
        <v>Simon Manoharan</v>
      </c>
      <c r="E41" s="18" t="n">
        <v>300</v>
      </c>
      <c r="F41" s="18"/>
      <c r="G41" s="18"/>
      <c r="H41" s="18"/>
      <c r="I41" s="18" t="n">
        <v>300</v>
      </c>
      <c r="J41" s="18" t="n">
        <v>0</v>
      </c>
      <c r="K41" s="18" t="n">
        <v>300</v>
      </c>
    </row>
    <row r="42" customFormat="false" ht="15.75" hidden="false" customHeight="false" outlineLevel="0" collapsed="false">
      <c r="B42" s="18" t="s">
        <v>70</v>
      </c>
      <c r="C42" s="14" t="str">
        <f aca="false">IF(B42="","",IFERROR(INDEX('CLM &amp; IM Mapping'!$B$2:$B$270,MATCH(TRIM(B42),'CLM &amp; IM Mapping'!$A$2:$A$270,0)),"Not Mapped"))</f>
        <v>Arun Raj</v>
      </c>
      <c r="D42" s="14" t="str">
        <f aca="false">IF(B42="","",IFERROR(INDEX('CLM &amp; IM Mapping'!$C$2:$C$270,MATCH(TRIM(B42),'CLM &amp; IM Mapping'!$A$2:$A$270,0)),"Not Mapped"))</f>
        <v>Simon Manoharan</v>
      </c>
      <c r="E42" s="18" t="n">
        <v>300</v>
      </c>
      <c r="F42" s="18"/>
      <c r="G42" s="18"/>
      <c r="H42" s="18"/>
      <c r="I42" s="18" t="n">
        <v>300</v>
      </c>
      <c r="J42" s="18" t="n">
        <v>0</v>
      </c>
      <c r="K42" s="18" t="n">
        <v>300</v>
      </c>
    </row>
    <row r="43" customFormat="false" ht="15.75" hidden="false" customHeight="false" outlineLevel="0" collapsed="false">
      <c r="B43" s="18" t="s">
        <v>300</v>
      </c>
      <c r="C43" s="14" t="str">
        <f aca="false">IF(B43="","",IFERROR(INDEX('CLM &amp; IM Mapping'!$B$2:$B$270,MATCH(TRIM(B43),'CLM &amp; IM Mapping'!$A$2:$A$270,0)),"Not Mapped"))</f>
        <v>Arun Raj</v>
      </c>
      <c r="D43" s="14" t="str">
        <f aca="false">IF(B43="","",IFERROR(INDEX('CLM &amp; IM Mapping'!$C$2:$C$270,MATCH(TRIM(B43),'CLM &amp; IM Mapping'!$A$2:$A$270,0)),"Not Mapped"))</f>
        <v>Simon Manoharan</v>
      </c>
      <c r="E43" s="18" t="n">
        <v>300</v>
      </c>
      <c r="F43" s="18"/>
      <c r="G43" s="18"/>
      <c r="H43" s="18"/>
      <c r="I43" s="18" t="n">
        <v>300</v>
      </c>
      <c r="J43" s="18" t="n">
        <v>0</v>
      </c>
      <c r="K43" s="18" t="n">
        <v>300</v>
      </c>
    </row>
    <row r="44" customFormat="false" ht="15.75" hidden="false" customHeight="false" outlineLevel="0" collapsed="false">
      <c r="B44" s="18" t="s">
        <v>45</v>
      </c>
      <c r="C44" s="14" t="str">
        <f aca="false">IF(B44="","",IFERROR(INDEX('CLM &amp; IM Mapping'!$B$2:$B$270,MATCH(TRIM(B44),'CLM &amp; IM Mapping'!$A$2:$A$270,0)),"Not Mapped"))</f>
        <v>Vishnu V</v>
      </c>
      <c r="D44" s="14" t="str">
        <f aca="false">IF(B44="","",IFERROR(INDEX('CLM &amp; IM Mapping'!$C$2:$C$270,MATCH(TRIM(B44),'CLM &amp; IM Mapping'!$A$2:$A$270,0)),"Not Mapped"))</f>
        <v>Arivind S</v>
      </c>
      <c r="E44" s="18" t="n">
        <v>300</v>
      </c>
      <c r="F44" s="18"/>
      <c r="G44" s="18"/>
      <c r="H44" s="18"/>
      <c r="I44" s="18" t="n">
        <v>300</v>
      </c>
      <c r="J44" s="18" t="n">
        <v>0</v>
      </c>
      <c r="K44" s="18" t="n">
        <v>300</v>
      </c>
    </row>
    <row r="45" customFormat="false" ht="15.75" hidden="false" customHeight="false" outlineLevel="0" collapsed="false">
      <c r="B45" s="18" t="s">
        <v>101</v>
      </c>
      <c r="C45" s="14" t="str">
        <f aca="false">IF(B45="","",IFERROR(INDEX('CLM &amp; IM Mapping'!$B$2:$B$270,MATCH(TRIM(B45),'CLM &amp; IM Mapping'!$A$2:$A$270,0)),"Not Mapped"))</f>
        <v>Arun Raj</v>
      </c>
      <c r="D45" s="14" t="str">
        <f aca="false">IF(B45="","",IFERROR(INDEX('CLM &amp; IM Mapping'!$C$2:$C$270,MATCH(TRIM(B45),'CLM &amp; IM Mapping'!$A$2:$A$270,0)),"Not Mapped"))</f>
        <v>Simon Manoharan</v>
      </c>
      <c r="E45" s="18" t="n">
        <v>300</v>
      </c>
      <c r="F45" s="18"/>
      <c r="G45" s="18"/>
      <c r="H45" s="18"/>
      <c r="I45" s="18" t="n">
        <v>1</v>
      </c>
      <c r="J45" s="18" t="n">
        <v>299</v>
      </c>
      <c r="K45" s="18" t="n">
        <v>300</v>
      </c>
    </row>
    <row r="46" customFormat="false" ht="15.75" hidden="false" customHeight="false" outlineLevel="0" collapsed="false">
      <c r="B46" s="18" t="s">
        <v>241</v>
      </c>
      <c r="C46" s="14" t="str">
        <f aca="false">IF(B46="","",IFERROR(INDEX('CLM &amp; IM Mapping'!$B$2:$B$270,MATCH(TRIM(B46),'CLM &amp; IM Mapping'!$A$2:$A$270,0)),"Not Mapped"))</f>
        <v>Arun Raj</v>
      </c>
      <c r="D46" s="14" t="str">
        <f aca="false">IF(B46="","",IFERROR(INDEX('CLM &amp; IM Mapping'!$C$2:$C$270,MATCH(TRIM(B46),'CLM &amp; IM Mapping'!$A$2:$A$270,0)),"Not Mapped"))</f>
        <v>Simon Manoharan</v>
      </c>
      <c r="E46" s="18" t="n">
        <v>299</v>
      </c>
      <c r="F46" s="18"/>
      <c r="G46" s="18"/>
      <c r="H46" s="18"/>
      <c r="I46" s="18" t="n">
        <v>299</v>
      </c>
      <c r="J46" s="18" t="n">
        <v>0</v>
      </c>
      <c r="K46" s="18" t="n">
        <v>299</v>
      </c>
    </row>
    <row r="47" customFormat="false" ht="15.75" hidden="false" customHeight="false" outlineLevel="0" collapsed="false">
      <c r="B47" s="18" t="s">
        <v>233</v>
      </c>
      <c r="C47" s="14" t="str">
        <f aca="false">IF(B47="","",IFERROR(INDEX('CLM &amp; IM Mapping'!$B$2:$B$270,MATCH(TRIM(B47),'CLM &amp; IM Mapping'!$A$2:$A$270,0)),"Not Mapped"))</f>
        <v>Arun Raj</v>
      </c>
      <c r="D47" s="14" t="str">
        <f aca="false">IF(B47="","",IFERROR(INDEX('CLM &amp; IM Mapping'!$C$2:$C$270,MATCH(TRIM(B47),'CLM &amp; IM Mapping'!$A$2:$A$270,0)),"Not Mapped"))</f>
        <v>Simon Manoharan</v>
      </c>
      <c r="E47" s="18" t="n">
        <v>299</v>
      </c>
      <c r="F47" s="18"/>
      <c r="G47" s="18"/>
      <c r="H47" s="18"/>
      <c r="I47" s="18" t="n">
        <v>299</v>
      </c>
      <c r="J47" s="18" t="n">
        <v>0</v>
      </c>
      <c r="K47" s="18" t="n">
        <v>299</v>
      </c>
    </row>
    <row r="48" customFormat="false" ht="15.75" hidden="false" customHeight="false" outlineLevel="0" collapsed="false">
      <c r="B48" s="18" t="s">
        <v>95</v>
      </c>
      <c r="C48" s="14" t="str">
        <f aca="false">IF(B48="","",IFERROR(INDEX('CLM &amp; IM Mapping'!$B$2:$B$270,MATCH(TRIM(B48),'CLM &amp; IM Mapping'!$A$2:$A$270,0)),"Not Mapped"))</f>
        <v>Arun Raj</v>
      </c>
      <c r="D48" s="14" t="str">
        <f aca="false">IF(B48="","",IFERROR(INDEX('CLM &amp; IM Mapping'!$C$2:$C$270,MATCH(TRIM(B48),'CLM &amp; IM Mapping'!$A$2:$A$270,0)),"Not Mapped"))</f>
        <v>Simon Manoharan</v>
      </c>
      <c r="E48" s="18" t="n">
        <v>299</v>
      </c>
      <c r="F48" s="18"/>
      <c r="G48" s="18"/>
      <c r="H48" s="18"/>
      <c r="I48" s="18" t="n">
        <v>299</v>
      </c>
      <c r="J48" s="18" t="n">
        <v>0</v>
      </c>
      <c r="K48" s="18" t="n">
        <v>299</v>
      </c>
    </row>
    <row r="49" customFormat="false" ht="15.75" hidden="false" customHeight="false" outlineLevel="0" collapsed="false">
      <c r="B49" s="18" t="s">
        <v>21</v>
      </c>
      <c r="C49" s="14" t="str">
        <f aca="false">IF(B49="","",IFERROR(INDEX('CLM &amp; IM Mapping'!$B$2:$B$270,MATCH(TRIM(B49),'CLM &amp; IM Mapping'!$A$2:$A$270,0)),"Not Mapped"))</f>
        <v>Arun Raj</v>
      </c>
      <c r="D49" s="14" t="str">
        <f aca="false">IF(B49="","",IFERROR(INDEX('CLM &amp; IM Mapping'!$C$2:$C$270,MATCH(TRIM(B49),'CLM &amp; IM Mapping'!$A$2:$A$270,0)),"Not Mapped"))</f>
        <v>Simon Manoharan</v>
      </c>
      <c r="E49" s="18" t="n">
        <v>299</v>
      </c>
      <c r="F49" s="18"/>
      <c r="G49" s="18"/>
      <c r="H49" s="18"/>
      <c r="I49" s="18" t="n">
        <v>299</v>
      </c>
      <c r="J49" s="18" t="n">
        <v>0</v>
      </c>
      <c r="K49" s="18" t="n">
        <v>299</v>
      </c>
    </row>
    <row r="50" customFormat="false" ht="15.75" hidden="false" customHeight="false" outlineLevel="0" collapsed="false">
      <c r="B50" s="18" t="s">
        <v>51</v>
      </c>
      <c r="C50" s="14" t="str">
        <f aca="false">IF(B50="","",IFERROR(INDEX('CLM &amp; IM Mapping'!$B$2:$B$270,MATCH(TRIM(B50),'CLM &amp; IM Mapping'!$A$2:$A$270,0)),"Not Mapped"))</f>
        <v>Arun Raj</v>
      </c>
      <c r="D50" s="14" t="str">
        <f aca="false">IF(B50="","",IFERROR(INDEX('CLM &amp; IM Mapping'!$C$2:$C$270,MATCH(TRIM(B50),'CLM &amp; IM Mapping'!$A$2:$A$270,0)),"Not Mapped"))</f>
        <v>Simon Manoharan</v>
      </c>
      <c r="E50" s="18" t="n">
        <v>298</v>
      </c>
      <c r="F50" s="18"/>
      <c r="G50" s="18"/>
      <c r="H50" s="18"/>
      <c r="I50" s="18" t="n">
        <v>298</v>
      </c>
      <c r="J50" s="18" t="n">
        <v>0</v>
      </c>
      <c r="K50" s="18" t="n">
        <v>298</v>
      </c>
    </row>
    <row r="51" customFormat="false" ht="15.75" hidden="false" customHeight="false" outlineLevel="0" collapsed="false">
      <c r="B51" s="18" t="s">
        <v>184</v>
      </c>
      <c r="C51" s="14" t="str">
        <f aca="false">IF(B51="","",IFERROR(INDEX('CLM &amp; IM Mapping'!$B$2:$B$270,MATCH(TRIM(B51),'CLM &amp; IM Mapping'!$A$2:$A$270,0)),"Not Mapped"))</f>
        <v>Arun Raj</v>
      </c>
      <c r="D51" s="14" t="str">
        <f aca="false">IF(B51="","",IFERROR(INDEX('CLM &amp; IM Mapping'!$C$2:$C$270,MATCH(TRIM(B51),'CLM &amp; IM Mapping'!$A$2:$A$270,0)),"Not Mapped"))</f>
        <v>Simon Manoharan</v>
      </c>
      <c r="E51" s="18" t="n">
        <v>198</v>
      </c>
      <c r="F51" s="18"/>
      <c r="G51" s="18" t="n">
        <v>80</v>
      </c>
      <c r="H51" s="18" t="n">
        <v>3</v>
      </c>
      <c r="I51" s="18" t="n">
        <v>202</v>
      </c>
      <c r="J51" s="18" t="n">
        <v>79</v>
      </c>
      <c r="K51" s="18" t="n">
        <v>281</v>
      </c>
    </row>
    <row r="52" customFormat="false" ht="15.75" hidden="false" customHeight="false" outlineLevel="0" collapsed="false">
      <c r="B52" s="18" t="s">
        <v>19</v>
      </c>
      <c r="C52" s="14" t="str">
        <f aca="false">IF(B52="","",IFERROR(INDEX('CLM &amp; IM Mapping'!$B$2:$B$270,MATCH(TRIM(B52),'CLM &amp; IM Mapping'!$A$2:$A$270,0)),"Not Mapped"))</f>
        <v>Ashwath S</v>
      </c>
      <c r="D52" s="14" t="str">
        <f aca="false">IF(B52="","",IFERROR(INDEX('CLM &amp; IM Mapping'!$C$2:$C$270,MATCH(TRIM(B52),'CLM &amp; IM Mapping'!$A$2:$A$270,0)),"Not Mapped"))</f>
        <v>Kantha Kumar</v>
      </c>
      <c r="E52" s="18"/>
      <c r="F52" s="18"/>
      <c r="G52" s="18" t="n">
        <v>8</v>
      </c>
      <c r="H52" s="18" t="n">
        <v>269</v>
      </c>
      <c r="I52" s="18" t="n">
        <v>277</v>
      </c>
      <c r="J52" s="18" t="n">
        <v>0</v>
      </c>
      <c r="K52" s="18" t="n">
        <v>277</v>
      </c>
    </row>
    <row r="53" customFormat="false" ht="15.75" hidden="false" customHeight="false" outlineLevel="0" collapsed="false">
      <c r="B53" s="18" t="s">
        <v>114</v>
      </c>
      <c r="C53" s="14" t="str">
        <f aca="false">IF(B53="","",IFERROR(INDEX('CLM &amp; IM Mapping'!$B$2:$B$270,MATCH(TRIM(B53),'CLM &amp; IM Mapping'!$A$2:$A$270,0)),"Not Mapped"))</f>
        <v>Akshay P</v>
      </c>
      <c r="D53" s="14" t="str">
        <f aca="false">IF(B53="","",IFERROR(INDEX('CLM &amp; IM Mapping'!$C$2:$C$270,MATCH(TRIM(B53),'CLM &amp; IM Mapping'!$A$2:$A$270,0)),"Not Mapped"))</f>
        <v>Srittam Dhal</v>
      </c>
      <c r="E53" s="18"/>
      <c r="F53" s="18"/>
      <c r="G53" s="18"/>
      <c r="H53" s="18" t="n">
        <v>236</v>
      </c>
      <c r="I53" s="18" t="n">
        <v>236</v>
      </c>
      <c r="J53" s="18" t="n">
        <v>0</v>
      </c>
      <c r="K53" s="18" t="n">
        <v>236</v>
      </c>
    </row>
    <row r="54" customFormat="false" ht="15.75" hidden="false" customHeight="false" outlineLevel="0" collapsed="false">
      <c r="B54" s="18" t="s">
        <v>210</v>
      </c>
      <c r="C54" s="14" t="str">
        <f aca="false">IF(B54="","",IFERROR(INDEX('CLM &amp; IM Mapping'!$B$2:$B$270,MATCH(TRIM(B54),'CLM &amp; IM Mapping'!$A$2:$A$270,0)),"Not Mapped"))</f>
        <v>Mohaideen DH</v>
      </c>
      <c r="D54" s="14" t="str">
        <f aca="false">IF(B54="","",IFERROR(INDEX('CLM &amp; IM Mapping'!$C$2:$C$270,MATCH(TRIM(B54),'CLM &amp; IM Mapping'!$A$2:$A$270,0)),"Not Mapped"))</f>
        <v>Mohammed Akbar</v>
      </c>
      <c r="E54" s="18"/>
      <c r="F54" s="18"/>
      <c r="G54" s="18" t="n">
        <v>13</v>
      </c>
      <c r="H54" s="18" t="n">
        <v>210</v>
      </c>
      <c r="I54" s="18" t="n">
        <v>222</v>
      </c>
      <c r="J54" s="18" t="n">
        <v>1</v>
      </c>
      <c r="K54" s="18" t="n">
        <v>223</v>
      </c>
    </row>
    <row r="55" customFormat="false" ht="15.75" hidden="false" customHeight="false" outlineLevel="0" collapsed="false">
      <c r="B55" s="18" t="s">
        <v>79</v>
      </c>
      <c r="C55" s="14" t="str">
        <f aca="false">IF(B55="","",IFERROR(INDEX('CLM &amp; IM Mapping'!$B$2:$B$270,MATCH(TRIM(B55),'CLM &amp; IM Mapping'!$A$2:$A$270,0)),"Not Mapped"))</f>
        <v>Akshay P</v>
      </c>
      <c r="D55" s="14" t="str">
        <f aca="false">IF(B55="","",IFERROR(INDEX('CLM &amp; IM Mapping'!$C$2:$C$270,MATCH(TRIM(B55),'CLM &amp; IM Mapping'!$A$2:$A$270,0)),"Not Mapped"))</f>
        <v>Srittam Dhal</v>
      </c>
      <c r="E55" s="18"/>
      <c r="F55" s="18"/>
      <c r="G55" s="18" t="n">
        <v>17</v>
      </c>
      <c r="H55" s="18" t="n">
        <v>118</v>
      </c>
      <c r="I55" s="18" t="n">
        <v>135</v>
      </c>
      <c r="J55" s="18" t="n">
        <v>0</v>
      </c>
      <c r="K55" s="18" t="n">
        <v>135</v>
      </c>
    </row>
    <row r="56" customFormat="false" ht="15.75" hidden="false" customHeight="false" outlineLevel="0" collapsed="false">
      <c r="B56" s="18" t="s">
        <v>207</v>
      </c>
      <c r="C56" s="14" t="str">
        <f aca="false">IF(B56="","",IFERROR(INDEX('CLM &amp; IM Mapping'!$B$2:$B$270,MATCH(TRIM(B56),'CLM &amp; IM Mapping'!$A$2:$A$270,0)),"Not Mapped"))</f>
        <v>Keshav G</v>
      </c>
      <c r="D56" s="14" t="str">
        <f aca="false">IF(B56="","",IFERROR(INDEX('CLM &amp; IM Mapping'!$C$2:$C$270,MATCH(TRIM(B56),'CLM &amp; IM Mapping'!$A$2:$A$270,0)),"Not Mapped"))</f>
        <v>Mohammed Akbar</v>
      </c>
      <c r="E56" s="18"/>
      <c r="F56" s="18"/>
      <c r="G56" s="18" t="n">
        <v>1</v>
      </c>
      <c r="H56" s="18" t="n">
        <v>129</v>
      </c>
      <c r="I56" s="18" t="n">
        <v>130</v>
      </c>
      <c r="J56" s="18" t="n">
        <v>0</v>
      </c>
      <c r="K56" s="18" t="n">
        <v>130</v>
      </c>
    </row>
    <row r="57" customFormat="false" ht="15.75" hidden="false" customHeight="false" outlineLevel="0" collapsed="false">
      <c r="B57" s="18" t="s">
        <v>188</v>
      </c>
      <c r="C57" s="14" t="str">
        <f aca="false">IF(B57="","",IFERROR(INDEX('CLM &amp; IM Mapping'!$B$2:$B$270,MATCH(TRIM(B57),'CLM &amp; IM Mapping'!$A$2:$A$270,0)),"Not Mapped"))</f>
        <v>Manjunatha V</v>
      </c>
      <c r="D57" s="14" t="str">
        <f aca="false">IF(B57="","",IFERROR(INDEX('CLM &amp; IM Mapping'!$C$2:$C$270,MATCH(TRIM(B57),'CLM &amp; IM Mapping'!$A$2:$A$270,0)),"Not Mapped"))</f>
        <v>Un Mapped</v>
      </c>
      <c r="E57" s="18"/>
      <c r="F57" s="18"/>
      <c r="G57" s="18" t="n">
        <v>8</v>
      </c>
      <c r="H57" s="18" t="n">
        <v>87</v>
      </c>
      <c r="I57" s="18" t="n">
        <v>0</v>
      </c>
      <c r="J57" s="18" t="n">
        <v>95</v>
      </c>
      <c r="K57" s="18" t="n">
        <v>95</v>
      </c>
    </row>
    <row r="58" customFormat="false" ht="15.75" hidden="false" customHeight="false" outlineLevel="0" collapsed="false">
      <c r="B58" s="18" t="s">
        <v>71</v>
      </c>
      <c r="C58" s="14" t="str">
        <f aca="false">IF(B58="","",IFERROR(INDEX('CLM &amp; IM Mapping'!$B$2:$B$270,MATCH(TRIM(B58),'CLM &amp; IM Mapping'!$A$2:$A$270,0)),"Not Mapped"))</f>
        <v>Manoj Kj</v>
      </c>
      <c r="D58" s="14" t="str">
        <f aca="false">IF(B58="","",IFERROR(INDEX('CLM &amp; IM Mapping'!$C$2:$C$270,MATCH(TRIM(B58),'CLM &amp; IM Mapping'!$A$2:$A$270,0)),"Not Mapped"))</f>
        <v>Srittam Dhal</v>
      </c>
      <c r="E58" s="18" t="n">
        <v>29</v>
      </c>
      <c r="F58" s="18"/>
      <c r="G58" s="18"/>
      <c r="H58" s="18" t="n">
        <v>50</v>
      </c>
      <c r="I58" s="18" t="n">
        <v>48</v>
      </c>
      <c r="J58" s="18" t="n">
        <v>31</v>
      </c>
      <c r="K58" s="18" t="n">
        <v>79</v>
      </c>
    </row>
    <row r="59" customFormat="false" ht="15.75" hidden="false" customHeight="false" outlineLevel="0" collapsed="false">
      <c r="B59" s="18" t="s">
        <v>144</v>
      </c>
      <c r="C59" s="14" t="str">
        <f aca="false">IF(B59="","",IFERROR(INDEX('CLM &amp; IM Mapping'!$B$2:$B$270,MATCH(TRIM(B59),'CLM &amp; IM Mapping'!$A$2:$A$270,0)),"Not Mapped"))</f>
        <v>Akshay P</v>
      </c>
      <c r="D59" s="14" t="str">
        <f aca="false">IF(B59="","",IFERROR(INDEX('CLM &amp; IM Mapping'!$C$2:$C$270,MATCH(TRIM(B59),'CLM &amp; IM Mapping'!$A$2:$A$270,0)),"Not Mapped"))</f>
        <v>Srittam Dhal</v>
      </c>
      <c r="E59" s="18"/>
      <c r="F59" s="18"/>
      <c r="G59" s="18" t="n">
        <v>2</v>
      </c>
      <c r="H59" s="18" t="n">
        <v>77</v>
      </c>
      <c r="I59" s="18" t="n">
        <v>67</v>
      </c>
      <c r="J59" s="18" t="n">
        <v>12</v>
      </c>
      <c r="K59" s="18" t="n">
        <v>79</v>
      </c>
    </row>
    <row r="60" customFormat="false" ht="15.75" hidden="false" customHeight="false" outlineLevel="0" collapsed="false">
      <c r="B60" s="18" t="s">
        <v>244</v>
      </c>
      <c r="C60" s="14" t="str">
        <f aca="false">IF(B60="","",IFERROR(INDEX('CLM &amp; IM Mapping'!$B$2:$B$270,MATCH(TRIM(B60),'CLM &amp; IM Mapping'!$A$2:$A$270,0)),"Not Mapped"))</f>
        <v>Balaji G</v>
      </c>
      <c r="D60" s="14" t="str">
        <f aca="false">IF(B60="","",IFERROR(INDEX('CLM &amp; IM Mapping'!$C$2:$C$270,MATCH(TRIM(B60),'CLM &amp; IM Mapping'!$A$2:$A$270,0)),"Not Mapped"))</f>
        <v>Mohammed Akbar</v>
      </c>
      <c r="E60" s="18"/>
      <c r="F60" s="18" t="n">
        <v>64</v>
      </c>
      <c r="G60" s="18"/>
      <c r="H60" s="18"/>
      <c r="I60" s="18" t="n">
        <v>0</v>
      </c>
      <c r="J60" s="18" t="n">
        <v>64</v>
      </c>
      <c r="K60" s="18" t="n">
        <v>64</v>
      </c>
    </row>
    <row r="61" customFormat="false" ht="15.75" hidden="false" customHeight="false" outlineLevel="0" collapsed="false">
      <c r="B61" s="18" t="s">
        <v>251</v>
      </c>
      <c r="C61" s="14" t="str">
        <f aca="false">IF(B61="","",IFERROR(INDEX('CLM &amp; IM Mapping'!$B$2:$B$270,MATCH(TRIM(B61),'CLM &amp; IM Mapping'!$A$2:$A$270,0)),"Not Mapped"))</f>
        <v>Manjunatha V</v>
      </c>
      <c r="D61" s="14" t="str">
        <f aca="false">IF(B61="","",IFERROR(INDEX('CLM &amp; IM Mapping'!$C$2:$C$270,MATCH(TRIM(B61),'CLM &amp; IM Mapping'!$A$2:$A$270,0)),"Not Mapped"))</f>
        <v>Un Mapped</v>
      </c>
      <c r="E61" s="18"/>
      <c r="F61" s="18"/>
      <c r="G61" s="18" t="n">
        <v>15</v>
      </c>
      <c r="H61" s="18" t="n">
        <v>29</v>
      </c>
      <c r="I61" s="18" t="n">
        <v>38</v>
      </c>
      <c r="J61" s="18" t="n">
        <v>6</v>
      </c>
      <c r="K61" s="18" t="n">
        <v>44</v>
      </c>
    </row>
    <row r="62" customFormat="false" ht="15.75" hidden="false" customHeight="false" outlineLevel="0" collapsed="false">
      <c r="B62" s="18" t="s">
        <v>62</v>
      </c>
      <c r="C62" s="14" t="str">
        <f aca="false">IF(B62="","",IFERROR(INDEX('CLM &amp; IM Mapping'!$B$2:$B$270,MATCH(TRIM(B62),'CLM &amp; IM Mapping'!$A$2:$A$270,0)),"Not Mapped"))</f>
        <v>Sundaresh S</v>
      </c>
      <c r="D62" s="14" t="str">
        <f aca="false">IF(B62="","",IFERROR(INDEX('CLM &amp; IM Mapping'!$C$2:$C$270,MATCH(TRIM(B62),'CLM &amp; IM Mapping'!$A$2:$A$270,0)),"Not Mapped"))</f>
        <v>Un Mapped</v>
      </c>
      <c r="E62" s="18"/>
      <c r="F62" s="18" t="n">
        <v>43</v>
      </c>
      <c r="G62" s="18"/>
      <c r="H62" s="18"/>
      <c r="I62" s="18" t="n">
        <v>0</v>
      </c>
      <c r="J62" s="18" t="n">
        <v>43</v>
      </c>
      <c r="K62" s="18" t="n">
        <v>43</v>
      </c>
    </row>
    <row r="63" customFormat="false" ht="15.75" hidden="false" customHeight="false" outlineLevel="0" collapsed="false">
      <c r="B63" s="18" t="s">
        <v>17</v>
      </c>
      <c r="C63" s="14" t="str">
        <f aca="false">IF(B63="","",IFERROR(INDEX('CLM &amp; IM Mapping'!$B$2:$B$270,MATCH(TRIM(B63),'CLM &amp; IM Mapping'!$A$2:$A$270,0)),"Not Mapped"))</f>
        <v>Saddam Hussain</v>
      </c>
      <c r="D63" s="14" t="str">
        <f aca="false">IF(B63="","",IFERROR(INDEX('CLM &amp; IM Mapping'!$C$2:$C$270,MATCH(TRIM(B63),'CLM &amp; IM Mapping'!$A$2:$A$270,0)),"Not Mapped"))</f>
        <v>Un Mapped</v>
      </c>
      <c r="E63" s="18"/>
      <c r="F63" s="18"/>
      <c r="G63" s="18" t="n">
        <v>24</v>
      </c>
      <c r="H63" s="18" t="n">
        <v>18</v>
      </c>
      <c r="I63" s="18" t="n">
        <v>42</v>
      </c>
      <c r="J63" s="18" t="n">
        <v>0</v>
      </c>
      <c r="K63" s="18" t="n">
        <v>42</v>
      </c>
    </row>
    <row r="64" customFormat="false" ht="15.75" hidden="false" customHeight="false" outlineLevel="0" collapsed="false">
      <c r="B64" s="18" t="s">
        <v>273</v>
      </c>
      <c r="C64" s="14" t="str">
        <f aca="false">IF(B64="","",IFERROR(INDEX('CLM &amp; IM Mapping'!$B$2:$B$270,MATCH(TRIM(B64),'CLM &amp; IM Mapping'!$A$2:$A$270,0)),"Not Mapped"))</f>
        <v>Vijay M</v>
      </c>
      <c r="D64" s="14" t="str">
        <f aca="false">IF(B64="","",IFERROR(INDEX('CLM &amp; IM Mapping'!$C$2:$C$270,MATCH(TRIM(B64),'CLM &amp; IM Mapping'!$A$2:$A$270,0)),"Not Mapped"))</f>
        <v>Kantha Kumar</v>
      </c>
      <c r="E64" s="18"/>
      <c r="F64" s="18"/>
      <c r="G64" s="18" t="n">
        <v>5</v>
      </c>
      <c r="H64" s="18" t="n">
        <v>27</v>
      </c>
      <c r="I64" s="18" t="n">
        <v>32</v>
      </c>
      <c r="J64" s="18" t="n">
        <v>0</v>
      </c>
      <c r="K64" s="18" t="n">
        <v>32</v>
      </c>
    </row>
    <row r="65" customFormat="false" ht="15.75" hidden="false" customHeight="false" outlineLevel="0" collapsed="false">
      <c r="B65" s="18" t="s">
        <v>49</v>
      </c>
      <c r="C65" s="14" t="str">
        <f aca="false">IF(B65="","",IFERROR(INDEX('CLM &amp; IM Mapping'!$B$2:$B$270,MATCH(TRIM(B65),'CLM &amp; IM Mapping'!$A$2:$A$270,0)),"Not Mapped"))</f>
        <v>Vishnu V</v>
      </c>
      <c r="D65" s="14" t="str">
        <f aca="false">IF(B65="","",IFERROR(INDEX('CLM &amp; IM Mapping'!$C$2:$C$270,MATCH(TRIM(B65),'CLM &amp; IM Mapping'!$A$2:$A$270,0)),"Not Mapped"))</f>
        <v>Arivind S</v>
      </c>
      <c r="E65" s="18"/>
      <c r="F65" s="18"/>
      <c r="G65" s="18" t="n">
        <v>7</v>
      </c>
      <c r="H65" s="18" t="n">
        <v>23</v>
      </c>
      <c r="I65" s="18" t="n">
        <v>30</v>
      </c>
      <c r="J65" s="18" t="n">
        <v>0</v>
      </c>
      <c r="K65" s="18" t="n">
        <v>30</v>
      </c>
    </row>
    <row r="66" customFormat="false" ht="15.75" hidden="false" customHeight="false" outlineLevel="0" collapsed="false">
      <c r="B66" s="18" t="s">
        <v>234</v>
      </c>
      <c r="C66" s="14" t="str">
        <f aca="false">IF(B66="","",IFERROR(INDEX('CLM &amp; IM Mapping'!$B$2:$B$270,MATCH(TRIM(B66),'CLM &amp; IM Mapping'!$A$2:$A$270,0)),"Not Mapped"))</f>
        <v>Silambarasan E</v>
      </c>
      <c r="D66" s="14" t="str">
        <f aca="false">IF(B66="","",IFERROR(INDEX('CLM &amp; IM Mapping'!$C$2:$C$270,MATCH(TRIM(B66),'CLM &amp; IM Mapping'!$A$2:$A$270,0)),"Not Mapped"))</f>
        <v>Arivind S</v>
      </c>
      <c r="E66" s="18"/>
      <c r="F66" s="18" t="n">
        <v>11</v>
      </c>
      <c r="G66" s="18" t="n">
        <v>4</v>
      </c>
      <c r="H66" s="18" t="n">
        <v>10</v>
      </c>
      <c r="I66" s="18" t="n">
        <v>0</v>
      </c>
      <c r="J66" s="18" t="n">
        <v>25</v>
      </c>
      <c r="K66" s="18" t="n">
        <v>25</v>
      </c>
    </row>
    <row r="67" customFormat="false" ht="15.75" hidden="false" customHeight="false" outlineLevel="0" collapsed="false">
      <c r="B67" s="18" t="s">
        <v>279</v>
      </c>
      <c r="C67" s="14" t="str">
        <f aca="false">IF(B67="","",IFERROR(INDEX('CLM &amp; IM Mapping'!$B$2:$B$270,MATCH(TRIM(B67),'CLM &amp; IM Mapping'!$A$2:$A$270,0)),"Not Mapped"))</f>
        <v>Balaji G</v>
      </c>
      <c r="D67" s="14" t="str">
        <f aca="false">IF(B67="","",IFERROR(INDEX('CLM &amp; IM Mapping'!$C$2:$C$270,MATCH(TRIM(B67),'CLM &amp; IM Mapping'!$A$2:$A$270,0)),"Not Mapped"))</f>
        <v>Mohammed Akbar</v>
      </c>
      <c r="E67" s="18"/>
      <c r="F67" s="18"/>
      <c r="G67" s="18"/>
      <c r="H67" s="18" t="n">
        <v>25</v>
      </c>
      <c r="I67" s="18" t="n">
        <v>25</v>
      </c>
      <c r="J67" s="18" t="n">
        <v>0</v>
      </c>
      <c r="K67" s="18" t="n">
        <v>25</v>
      </c>
    </row>
    <row r="68" customFormat="false" ht="15.75" hidden="false" customHeight="false" outlineLevel="0" collapsed="false">
      <c r="B68" s="18" t="s">
        <v>262</v>
      </c>
      <c r="C68" s="14" t="str">
        <f aca="false">IF(B68="","",IFERROR(INDEX('CLM &amp; IM Mapping'!$B$2:$B$270,MATCH(TRIM(B68),'CLM &amp; IM Mapping'!$A$2:$A$270,0)),"Not Mapped"))</f>
        <v>Raghavendra Vernekar</v>
      </c>
      <c r="D68" s="14" t="str">
        <f aca="false">IF(B68="","",IFERROR(INDEX('CLM &amp; IM Mapping'!$C$2:$C$270,MATCH(TRIM(B68),'CLM &amp; IM Mapping'!$A$2:$A$270,0)),"Not Mapped"))</f>
        <v>Prakash BS</v>
      </c>
      <c r="E68" s="18"/>
      <c r="F68" s="18"/>
      <c r="G68" s="18" t="n">
        <v>24</v>
      </c>
      <c r="H68" s="18"/>
      <c r="I68" s="18" t="n">
        <v>24</v>
      </c>
      <c r="J68" s="18" t="n">
        <v>0</v>
      </c>
      <c r="K68" s="18" t="n">
        <v>24</v>
      </c>
    </row>
    <row r="69" customFormat="false" ht="15.75" hidden="false" customHeight="false" outlineLevel="0" collapsed="false">
      <c r="B69" s="18" t="s">
        <v>76</v>
      </c>
      <c r="C69" s="14" t="str">
        <f aca="false">IF(B69="","",IFERROR(INDEX('CLM &amp; IM Mapping'!$B$2:$B$270,MATCH(TRIM(B69),'CLM &amp; IM Mapping'!$A$2:$A$270,0)),"Not Mapped"))</f>
        <v>Silambarasan E</v>
      </c>
      <c r="D69" s="14" t="str">
        <f aca="false">IF(B69="","",IFERROR(INDEX('CLM &amp; IM Mapping'!$C$2:$C$270,MATCH(TRIM(B69),'CLM &amp; IM Mapping'!$A$2:$A$270,0)),"Not Mapped"))</f>
        <v>Arivind S</v>
      </c>
      <c r="E69" s="18"/>
      <c r="F69" s="18"/>
      <c r="G69" s="18" t="n">
        <v>6</v>
      </c>
      <c r="H69" s="18" t="n">
        <v>17</v>
      </c>
      <c r="I69" s="18" t="n">
        <v>6</v>
      </c>
      <c r="J69" s="18" t="n">
        <v>17</v>
      </c>
      <c r="K69" s="18" t="n">
        <v>23</v>
      </c>
    </row>
    <row r="70" customFormat="false" ht="15.75" hidden="false" customHeight="false" outlineLevel="0" collapsed="false">
      <c r="B70" s="18" t="s">
        <v>77</v>
      </c>
      <c r="C70" s="14" t="str">
        <f aca="false">IF(B70="","",IFERROR(INDEX('CLM &amp; IM Mapping'!$B$2:$B$270,MATCH(TRIM(B70),'CLM &amp; IM Mapping'!$A$2:$A$270,0)),"Not Mapped"))</f>
        <v>Manjunatha V</v>
      </c>
      <c r="D70" s="14" t="str">
        <f aca="false">IF(B70="","",IFERROR(INDEX('CLM &amp; IM Mapping'!$C$2:$C$270,MATCH(TRIM(B70),'CLM &amp; IM Mapping'!$A$2:$A$270,0)),"Not Mapped"))</f>
        <v>Un Mapped</v>
      </c>
      <c r="E70" s="18"/>
      <c r="F70" s="18"/>
      <c r="G70" s="18" t="n">
        <v>22</v>
      </c>
      <c r="H70" s="18"/>
      <c r="I70" s="18" t="n">
        <v>22</v>
      </c>
      <c r="J70" s="18" t="n">
        <v>0</v>
      </c>
      <c r="K70" s="18" t="n">
        <v>22</v>
      </c>
    </row>
    <row r="71" customFormat="false" ht="15.75" hidden="false" customHeight="false" outlineLevel="0" collapsed="false">
      <c r="B71" s="18" t="s">
        <v>174</v>
      </c>
      <c r="C71" s="14" t="str">
        <f aca="false">IF(B71="","",IFERROR(INDEX('CLM &amp; IM Mapping'!$B$2:$B$270,MATCH(TRIM(B71),'CLM &amp; IM Mapping'!$A$2:$A$270,0)),"Not Mapped"))</f>
        <v>Richard Harris</v>
      </c>
      <c r="D71" s="14" t="str">
        <f aca="false">IF(B71="","",IFERROR(INDEX('CLM &amp; IM Mapping'!$C$2:$C$270,MATCH(TRIM(B71),'CLM &amp; IM Mapping'!$A$2:$A$270,0)),"Not Mapped"))</f>
        <v>Kantha Kumar</v>
      </c>
      <c r="E71" s="18"/>
      <c r="F71" s="18"/>
      <c r="G71" s="18" t="n">
        <v>21</v>
      </c>
      <c r="H71" s="18"/>
      <c r="I71" s="18" t="n">
        <v>21</v>
      </c>
      <c r="J71" s="18" t="n">
        <v>0</v>
      </c>
      <c r="K71" s="18" t="n">
        <v>21</v>
      </c>
    </row>
    <row r="72" customFormat="false" ht="15.75" hidden="false" customHeight="false" outlineLevel="0" collapsed="false">
      <c r="B72" s="18" t="s">
        <v>110</v>
      </c>
      <c r="C72" s="14" t="str">
        <f aca="false">IF(B72="","",IFERROR(INDEX('CLM &amp; IM Mapping'!$B$2:$B$270,MATCH(TRIM(B72),'CLM &amp; IM Mapping'!$A$2:$A$270,0)),"Not Mapped"))</f>
        <v>Suhas N</v>
      </c>
      <c r="D72" s="14" t="str">
        <f aca="false">IF(B72="","",IFERROR(INDEX('CLM &amp; IM Mapping'!$C$2:$C$270,MATCH(TRIM(B72),'CLM &amp; IM Mapping'!$A$2:$A$270,0)),"Not Mapped"))</f>
        <v>Aravind S</v>
      </c>
      <c r="E72" s="18"/>
      <c r="F72" s="18"/>
      <c r="G72" s="18" t="n">
        <v>19</v>
      </c>
      <c r="H72" s="18" t="n">
        <v>1</v>
      </c>
      <c r="I72" s="18" t="n">
        <v>19</v>
      </c>
      <c r="J72" s="18" t="n">
        <v>1</v>
      </c>
      <c r="K72" s="18" t="n">
        <v>20</v>
      </c>
    </row>
    <row r="73" customFormat="false" ht="15.75" hidden="false" customHeight="false" outlineLevel="0" collapsed="false">
      <c r="B73" s="18" t="s">
        <v>53</v>
      </c>
      <c r="C73" s="14" t="str">
        <f aca="false">IF(B73="","",IFERROR(INDEX('CLM &amp; IM Mapping'!$B$2:$B$270,MATCH(TRIM(B73),'CLM &amp; IM Mapping'!$A$2:$A$270,0)),"Not Mapped"))</f>
        <v>Ashwath S</v>
      </c>
      <c r="D73" s="14" t="str">
        <f aca="false">IF(B73="","",IFERROR(INDEX('CLM &amp; IM Mapping'!$C$2:$C$270,MATCH(TRIM(B73),'CLM &amp; IM Mapping'!$A$2:$A$270,0)),"Not Mapped"))</f>
        <v>Kantha Kumar</v>
      </c>
      <c r="E73" s="18"/>
      <c r="F73" s="18"/>
      <c r="G73" s="18" t="n">
        <v>19</v>
      </c>
      <c r="H73" s="18"/>
      <c r="I73" s="18" t="n">
        <v>19</v>
      </c>
      <c r="J73" s="18" t="n">
        <v>0</v>
      </c>
      <c r="K73" s="18" t="n">
        <v>19</v>
      </c>
    </row>
    <row r="74" customFormat="false" ht="15.75" hidden="false" customHeight="false" outlineLevel="0" collapsed="false">
      <c r="B74" s="18" t="s">
        <v>75</v>
      </c>
      <c r="C74" s="14" t="str">
        <f aca="false">IF(B74="","",IFERROR(INDEX('CLM &amp; IM Mapping'!$B$2:$B$270,MATCH(TRIM(B74),'CLM &amp; IM Mapping'!$A$2:$A$270,0)),"Not Mapped"))</f>
        <v>Akshay P</v>
      </c>
      <c r="D74" s="14" t="str">
        <f aca="false">IF(B74="","",IFERROR(INDEX('CLM &amp; IM Mapping'!$C$2:$C$270,MATCH(TRIM(B74),'CLM &amp; IM Mapping'!$A$2:$A$270,0)),"Not Mapped"))</f>
        <v>Srittam Dhal</v>
      </c>
      <c r="E74" s="18"/>
      <c r="F74" s="18"/>
      <c r="G74" s="18" t="n">
        <v>12</v>
      </c>
      <c r="H74" s="18" t="n">
        <v>7</v>
      </c>
      <c r="I74" s="18" t="n">
        <v>19</v>
      </c>
      <c r="J74" s="18" t="n">
        <v>0</v>
      </c>
      <c r="K74" s="18" t="n">
        <v>19</v>
      </c>
    </row>
    <row r="75" customFormat="false" ht="15.75" hidden="false" customHeight="false" outlineLevel="0" collapsed="false">
      <c r="B75" s="18" t="s">
        <v>169</v>
      </c>
      <c r="C75" s="14" t="str">
        <f aca="false">IF(B75="","",IFERROR(INDEX('CLM &amp; IM Mapping'!$B$2:$B$270,MATCH(TRIM(B75),'CLM &amp; IM Mapping'!$A$2:$A$270,0)),"Not Mapped"))</f>
        <v>Narasimhamurthy R</v>
      </c>
      <c r="D75" s="14" t="str">
        <f aca="false">IF(B75="","",IFERROR(INDEX('CLM &amp; IM Mapping'!$C$2:$C$270,MATCH(TRIM(B75),'CLM &amp; IM Mapping'!$A$2:$A$270,0)),"Not Mapped"))</f>
        <v>Kishor K</v>
      </c>
      <c r="E75" s="18"/>
      <c r="F75" s="18"/>
      <c r="G75" s="18" t="n">
        <v>18</v>
      </c>
      <c r="H75" s="18"/>
      <c r="I75" s="18" t="n">
        <v>18</v>
      </c>
      <c r="J75" s="18" t="n">
        <v>0</v>
      </c>
      <c r="K75" s="18" t="n">
        <v>18</v>
      </c>
    </row>
    <row r="76" customFormat="false" ht="15.75" hidden="false" customHeight="false" outlineLevel="0" collapsed="false">
      <c r="B76" s="18" t="s">
        <v>223</v>
      </c>
      <c r="C76" s="14" t="str">
        <f aca="false">IF(B76="","",IFERROR(INDEX('CLM &amp; IM Mapping'!$B$2:$B$270,MATCH(TRIM(B76),'CLM &amp; IM Mapping'!$A$2:$A$270,0)),"Not Mapped"))</f>
        <v>Suhas N</v>
      </c>
      <c r="D76" s="14" t="str">
        <f aca="false">IF(B76="","",IFERROR(INDEX('CLM &amp; IM Mapping'!$C$2:$C$270,MATCH(TRIM(B76),'CLM &amp; IM Mapping'!$A$2:$A$270,0)),"Not Mapped"))</f>
        <v>Aravind S</v>
      </c>
      <c r="E76" s="18"/>
      <c r="F76" s="18"/>
      <c r="G76" s="18" t="n">
        <v>17</v>
      </c>
      <c r="H76" s="18"/>
      <c r="I76" s="18" t="n">
        <v>17</v>
      </c>
      <c r="J76" s="18" t="n">
        <v>0</v>
      </c>
      <c r="K76" s="18" t="n">
        <v>17</v>
      </c>
    </row>
    <row r="77" customFormat="false" ht="15.75" hidden="false" customHeight="false" outlineLevel="0" collapsed="false">
      <c r="B77" s="18" t="s">
        <v>26</v>
      </c>
      <c r="C77" s="14" t="str">
        <f aca="false">IF(B77="","",IFERROR(INDEX('CLM &amp; IM Mapping'!$B$2:$B$270,MATCH(TRIM(B77),'CLM &amp; IM Mapping'!$A$2:$A$270,0)),"Not Mapped"))</f>
        <v>Suhas N</v>
      </c>
      <c r="D77" s="14" t="str">
        <f aca="false">IF(B77="","",IFERROR(INDEX('CLM &amp; IM Mapping'!$C$2:$C$270,MATCH(TRIM(B77),'CLM &amp; IM Mapping'!$A$2:$A$270,0)),"Not Mapped"))</f>
        <v>Aravind S</v>
      </c>
      <c r="E77" s="18"/>
      <c r="F77" s="18"/>
      <c r="G77" s="18" t="n">
        <v>16</v>
      </c>
      <c r="H77" s="18" t="n">
        <v>1</v>
      </c>
      <c r="I77" s="18" t="n">
        <v>17</v>
      </c>
      <c r="J77" s="18" t="n">
        <v>0</v>
      </c>
      <c r="K77" s="18" t="n">
        <v>17</v>
      </c>
    </row>
    <row r="78" customFormat="false" ht="15.75" hidden="false" customHeight="false" outlineLevel="0" collapsed="false">
      <c r="B78" s="18" t="s">
        <v>204</v>
      </c>
      <c r="C78" s="14" t="str">
        <f aca="false">IF(B78="","",IFERROR(INDEX('CLM &amp; IM Mapping'!$B$2:$B$270,MATCH(TRIM(B78),'CLM &amp; IM Mapping'!$A$2:$A$270,0)),"Not Mapped"))</f>
        <v>Manoj Kj</v>
      </c>
      <c r="D78" s="14" t="str">
        <f aca="false">IF(B78="","",IFERROR(INDEX('CLM &amp; IM Mapping'!$C$2:$C$270,MATCH(TRIM(B78),'CLM &amp; IM Mapping'!$A$2:$A$270,0)),"Not Mapped"))</f>
        <v>Srittam Dhal</v>
      </c>
      <c r="E78" s="18"/>
      <c r="F78" s="18" t="n">
        <v>16</v>
      </c>
      <c r="G78" s="18"/>
      <c r="H78" s="18"/>
      <c r="I78" s="18" t="n">
        <v>16</v>
      </c>
      <c r="J78" s="18" t="n">
        <v>0</v>
      </c>
      <c r="K78" s="18" t="n">
        <v>16</v>
      </c>
    </row>
    <row r="79" customFormat="false" ht="15.75" hidden="false" customHeight="false" outlineLevel="0" collapsed="false">
      <c r="B79" s="18" t="s">
        <v>72</v>
      </c>
      <c r="C79" s="14" t="str">
        <f aca="false">IF(B79="","",IFERROR(INDEX('CLM &amp; IM Mapping'!$B$2:$B$270,MATCH(TRIM(B79),'CLM &amp; IM Mapping'!$A$2:$A$270,0)),"Not Mapped"))</f>
        <v>Basil Scariya</v>
      </c>
      <c r="D79" s="14" t="str">
        <f aca="false">IF(B79="","",IFERROR(INDEX('CLM &amp; IM Mapping'!$C$2:$C$270,MATCH(TRIM(B79),'CLM &amp; IM Mapping'!$A$2:$A$270,0)),"Not Mapped"))</f>
        <v>Prakash BS</v>
      </c>
      <c r="E79" s="18"/>
      <c r="F79" s="18"/>
      <c r="G79" s="18" t="n">
        <v>1</v>
      </c>
      <c r="H79" s="18" t="n">
        <v>14</v>
      </c>
      <c r="I79" s="18" t="n">
        <v>15</v>
      </c>
      <c r="J79" s="18" t="n">
        <v>0</v>
      </c>
      <c r="K79" s="18" t="n">
        <v>15</v>
      </c>
    </row>
    <row r="80" customFormat="false" ht="15.75" hidden="false" customHeight="false" outlineLevel="0" collapsed="false">
      <c r="B80" s="18" t="s">
        <v>29</v>
      </c>
      <c r="C80" s="14" t="str">
        <f aca="false">IF(B80="","",IFERROR(INDEX('CLM &amp; IM Mapping'!$B$2:$B$270,MATCH(TRIM(B80),'CLM &amp; IM Mapping'!$A$2:$A$270,0)),"Not Mapped"))</f>
        <v>Rizwan Ahmed</v>
      </c>
      <c r="D80" s="14" t="str">
        <f aca="false">IF(B80="","",IFERROR(INDEX('CLM &amp; IM Mapping'!$C$2:$C$270,MATCH(TRIM(B80),'CLM &amp; IM Mapping'!$A$2:$A$270,0)),"Not Mapped"))</f>
        <v>Un Mapped</v>
      </c>
      <c r="E80" s="18"/>
      <c r="F80" s="18"/>
      <c r="G80" s="18" t="n">
        <v>10</v>
      </c>
      <c r="H80" s="18" t="n">
        <v>3</v>
      </c>
      <c r="I80" s="18" t="n">
        <v>11</v>
      </c>
      <c r="J80" s="18" t="n">
        <v>2</v>
      </c>
      <c r="K80" s="18" t="n">
        <v>13</v>
      </c>
    </row>
    <row r="81" customFormat="false" ht="15.75" hidden="false" customHeight="false" outlineLevel="0" collapsed="false">
      <c r="B81" s="18" t="s">
        <v>46</v>
      </c>
      <c r="C81" s="14" t="str">
        <f aca="false">IF(B81="","",IFERROR(INDEX('CLM &amp; IM Mapping'!$B$2:$B$270,MATCH(TRIM(B81),'CLM &amp; IM Mapping'!$A$2:$A$270,0)),"Not Mapped"))</f>
        <v>Ashwath S</v>
      </c>
      <c r="D81" s="14" t="str">
        <f aca="false">IF(B81="","",IFERROR(INDEX('CLM &amp; IM Mapping'!$C$2:$C$270,MATCH(TRIM(B81),'CLM &amp; IM Mapping'!$A$2:$A$270,0)),"Not Mapped"))</f>
        <v>Kantha Kumar</v>
      </c>
      <c r="E81" s="18"/>
      <c r="F81" s="18"/>
      <c r="G81" s="18" t="n">
        <v>7</v>
      </c>
      <c r="H81" s="18" t="n">
        <v>6</v>
      </c>
      <c r="I81" s="18" t="n">
        <v>13</v>
      </c>
      <c r="J81" s="18" t="n">
        <v>0</v>
      </c>
      <c r="K81" s="18" t="n">
        <v>13</v>
      </c>
    </row>
    <row r="82" customFormat="false" ht="15.75" hidden="false" customHeight="false" outlineLevel="0" collapsed="false">
      <c r="B82" s="18" t="s">
        <v>239</v>
      </c>
      <c r="C82" s="14" t="str">
        <f aca="false">IF(B82="","",IFERROR(INDEX('CLM &amp; IM Mapping'!$B$2:$B$270,MATCH(TRIM(B82),'CLM &amp; IM Mapping'!$A$2:$A$270,0)),"Not Mapped"))</f>
        <v>Silambarasan E</v>
      </c>
      <c r="D82" s="14" t="str">
        <f aca="false">IF(B82="","",IFERROR(INDEX('CLM &amp; IM Mapping'!$C$2:$C$270,MATCH(TRIM(B82),'CLM &amp; IM Mapping'!$A$2:$A$270,0)),"Not Mapped"))</f>
        <v>Arivind S</v>
      </c>
      <c r="E82" s="18"/>
      <c r="F82" s="18"/>
      <c r="G82" s="18"/>
      <c r="H82" s="18" t="n">
        <v>12</v>
      </c>
      <c r="I82" s="18" t="n">
        <v>0</v>
      </c>
      <c r="J82" s="18" t="n">
        <v>12</v>
      </c>
      <c r="K82" s="18" t="n">
        <v>12</v>
      </c>
    </row>
    <row r="83" customFormat="false" ht="15.75" hidden="false" customHeight="false" outlineLevel="0" collapsed="false">
      <c r="B83" s="18" t="s">
        <v>155</v>
      </c>
      <c r="C83" s="14" t="str">
        <f aca="false">IF(B83="","",IFERROR(INDEX('CLM &amp; IM Mapping'!$B$2:$B$270,MATCH(TRIM(B83),'CLM &amp; IM Mapping'!$A$2:$A$270,0)),"Not Mapped"))</f>
        <v>Akshay P</v>
      </c>
      <c r="D83" s="14" t="str">
        <f aca="false">IF(B83="","",IFERROR(INDEX('CLM &amp; IM Mapping'!$C$2:$C$270,MATCH(TRIM(B83),'CLM &amp; IM Mapping'!$A$2:$A$270,0)),"Not Mapped"))</f>
        <v>Srittam Dhal</v>
      </c>
      <c r="E83" s="18"/>
      <c r="F83" s="18"/>
      <c r="G83" s="18" t="n">
        <v>12</v>
      </c>
      <c r="H83" s="18"/>
      <c r="I83" s="18" t="n">
        <v>0</v>
      </c>
      <c r="J83" s="18" t="n">
        <v>12</v>
      </c>
      <c r="K83" s="18" t="n">
        <v>12</v>
      </c>
    </row>
    <row r="84" customFormat="false" ht="15.75" hidden="false" customHeight="false" outlineLevel="0" collapsed="false">
      <c r="B84" s="18" t="s">
        <v>90</v>
      </c>
      <c r="C84" s="14" t="str">
        <f aca="false">IF(B84="","",IFERROR(INDEX('CLM &amp; IM Mapping'!$B$2:$B$270,MATCH(TRIM(B84),'CLM &amp; IM Mapping'!$A$2:$A$270,0)),"Not Mapped"))</f>
        <v>Ashwath S</v>
      </c>
      <c r="D84" s="14" t="str">
        <f aca="false">IF(B84="","",IFERROR(INDEX('CLM &amp; IM Mapping'!$C$2:$C$270,MATCH(TRIM(B84),'CLM &amp; IM Mapping'!$A$2:$A$270,0)),"Not Mapped"))</f>
        <v>Kantha Kumar</v>
      </c>
      <c r="E84" s="18"/>
      <c r="F84" s="18"/>
      <c r="G84" s="18" t="n">
        <v>8</v>
      </c>
      <c r="H84" s="18" t="n">
        <v>3</v>
      </c>
      <c r="I84" s="18" t="n">
        <v>11</v>
      </c>
      <c r="J84" s="18" t="n">
        <v>0</v>
      </c>
      <c r="K84" s="18" t="n">
        <v>11</v>
      </c>
    </row>
    <row r="85" customFormat="false" ht="15.75" hidden="false" customHeight="false" outlineLevel="0" collapsed="false">
      <c r="B85" s="18" t="s">
        <v>122</v>
      </c>
      <c r="C85" s="14" t="str">
        <f aca="false">IF(B85="","",IFERROR(INDEX('CLM &amp; IM Mapping'!$B$2:$B$270,MATCH(TRIM(B85),'CLM &amp; IM Mapping'!$A$2:$A$270,0)),"Not Mapped"))</f>
        <v>Adhavan Subramani</v>
      </c>
      <c r="D85" s="14" t="str">
        <f aca="false">IF(B85="","",IFERROR(INDEX('CLM &amp; IM Mapping'!$C$2:$C$270,MATCH(TRIM(B85),'CLM &amp; IM Mapping'!$A$2:$A$270,0)),"Not Mapped"))</f>
        <v>Mohammed Akbar</v>
      </c>
      <c r="E85" s="18"/>
      <c r="F85" s="18"/>
      <c r="G85" s="18"/>
      <c r="H85" s="18" t="n">
        <v>11</v>
      </c>
      <c r="I85" s="18" t="n">
        <v>5</v>
      </c>
      <c r="J85" s="18" t="n">
        <v>6</v>
      </c>
      <c r="K85" s="18" t="n">
        <v>11</v>
      </c>
    </row>
    <row r="86" customFormat="false" ht="15.75" hidden="false" customHeight="false" outlineLevel="0" collapsed="false">
      <c r="B86" s="18" t="s">
        <v>246</v>
      </c>
      <c r="C86" s="14" t="str">
        <f aca="false">IF(B86="","",IFERROR(INDEX('CLM &amp; IM Mapping'!$B$2:$B$270,MATCH(TRIM(B86),'CLM &amp; IM Mapping'!$A$2:$A$270,0)),"Not Mapped"))</f>
        <v>Adhavan Subramani</v>
      </c>
      <c r="D86" s="14" t="str">
        <f aca="false">IF(B86="","",IFERROR(INDEX('CLM &amp; IM Mapping'!$C$2:$C$270,MATCH(TRIM(B86),'CLM &amp; IM Mapping'!$A$2:$A$270,0)),"Not Mapped"))</f>
        <v>Mohammed Akbar</v>
      </c>
      <c r="E86" s="18"/>
      <c r="F86" s="18"/>
      <c r="G86" s="18" t="n">
        <v>4</v>
      </c>
      <c r="H86" s="18" t="n">
        <v>7</v>
      </c>
      <c r="I86" s="18" t="n">
        <v>11</v>
      </c>
      <c r="J86" s="18" t="n">
        <v>0</v>
      </c>
      <c r="K86" s="18" t="n">
        <v>11</v>
      </c>
    </row>
    <row r="87" customFormat="false" ht="15.75" hidden="false" customHeight="false" outlineLevel="0" collapsed="false">
      <c r="B87" s="18" t="s">
        <v>124</v>
      </c>
      <c r="C87" s="14" t="str">
        <f aca="false">IF(B87="","",IFERROR(INDEX('CLM &amp; IM Mapping'!$B$2:$B$270,MATCH(TRIM(B87),'CLM &amp; IM Mapping'!$A$2:$A$270,0)),"Not Mapped"))</f>
        <v>Akshay P</v>
      </c>
      <c r="D87" s="14" t="str">
        <f aca="false">IF(B87="","",IFERROR(INDEX('CLM &amp; IM Mapping'!$C$2:$C$270,MATCH(TRIM(B87),'CLM &amp; IM Mapping'!$A$2:$A$270,0)),"Not Mapped"))</f>
        <v>Srittam Dhal</v>
      </c>
      <c r="E87" s="18"/>
      <c r="F87" s="18"/>
      <c r="G87" s="18" t="n">
        <v>8</v>
      </c>
      <c r="H87" s="18" t="n">
        <v>2</v>
      </c>
      <c r="I87" s="18" t="n">
        <v>10</v>
      </c>
      <c r="J87" s="18" t="n">
        <v>0</v>
      </c>
      <c r="K87" s="18" t="n">
        <v>10</v>
      </c>
    </row>
    <row r="88" customFormat="false" ht="15.75" hidden="false" customHeight="false" outlineLevel="0" collapsed="false">
      <c r="B88" s="18" t="s">
        <v>104</v>
      </c>
      <c r="C88" s="14" t="str">
        <f aca="false">IF(B88="","",IFERROR(INDEX('CLM &amp; IM Mapping'!$B$2:$B$270,MATCH(TRIM(B88),'CLM &amp; IM Mapping'!$A$2:$A$270,0)),"Not Mapped"))</f>
        <v>Vijay M</v>
      </c>
      <c r="D88" s="14" t="str">
        <f aca="false">IF(B88="","",IFERROR(INDEX('CLM &amp; IM Mapping'!$C$2:$C$270,MATCH(TRIM(B88),'CLM &amp; IM Mapping'!$A$2:$A$270,0)),"Not Mapped"))</f>
        <v>Kantha Kumar</v>
      </c>
      <c r="E88" s="18"/>
      <c r="F88" s="18" t="n">
        <v>9</v>
      </c>
      <c r="G88" s="18" t="n">
        <v>1</v>
      </c>
      <c r="H88" s="18"/>
      <c r="I88" s="18" t="n">
        <v>10</v>
      </c>
      <c r="J88" s="18" t="n">
        <v>0</v>
      </c>
      <c r="K88" s="18" t="n">
        <v>10</v>
      </c>
    </row>
    <row r="89" customFormat="false" ht="15.75" hidden="false" customHeight="false" outlineLevel="0" collapsed="false">
      <c r="B89" s="18" t="s">
        <v>103</v>
      </c>
      <c r="C89" s="14" t="str">
        <f aca="false">IF(B89="","",IFERROR(INDEX('CLM &amp; IM Mapping'!$B$2:$B$270,MATCH(TRIM(B89),'CLM &amp; IM Mapping'!$A$2:$A$270,0)),"Not Mapped"))</f>
        <v>Suhas N</v>
      </c>
      <c r="D89" s="14" t="str">
        <f aca="false">IF(B89="","",IFERROR(INDEX('CLM &amp; IM Mapping'!$C$2:$C$270,MATCH(TRIM(B89),'CLM &amp; IM Mapping'!$A$2:$A$270,0)),"Not Mapped"))</f>
        <v>Aravind S</v>
      </c>
      <c r="E89" s="18"/>
      <c r="F89" s="18"/>
      <c r="G89" s="18" t="n">
        <v>10</v>
      </c>
      <c r="H89" s="18"/>
      <c r="I89" s="18" t="n">
        <v>0</v>
      </c>
      <c r="J89" s="18" t="n">
        <v>10</v>
      </c>
      <c r="K89" s="18" t="n">
        <v>10</v>
      </c>
    </row>
    <row r="90" customFormat="false" ht="15.75" hidden="false" customHeight="false" outlineLevel="0" collapsed="false">
      <c r="B90" s="18" t="s">
        <v>212</v>
      </c>
      <c r="C90" s="14" t="str">
        <f aca="false">IF(B90="","",IFERROR(INDEX('CLM &amp; IM Mapping'!$B$2:$B$270,MATCH(TRIM(B90),'CLM &amp; IM Mapping'!$A$2:$A$270,0)),"Not Mapped"))</f>
        <v>Narasimhamurthy R</v>
      </c>
      <c r="D90" s="14" t="str">
        <f aca="false">IF(B90="","",IFERROR(INDEX('CLM &amp; IM Mapping'!$C$2:$C$270,MATCH(TRIM(B90),'CLM &amp; IM Mapping'!$A$2:$A$270,0)),"Not Mapped"))</f>
        <v>Kishor K</v>
      </c>
      <c r="E90" s="18"/>
      <c r="F90" s="18"/>
      <c r="G90" s="18" t="n">
        <v>8</v>
      </c>
      <c r="H90" s="18" t="n">
        <v>1</v>
      </c>
      <c r="I90" s="18" t="n">
        <v>0</v>
      </c>
      <c r="J90" s="18" t="n">
        <v>9</v>
      </c>
      <c r="K90" s="18" t="n">
        <v>9</v>
      </c>
    </row>
    <row r="91" customFormat="false" ht="15.75" hidden="false" customHeight="false" outlineLevel="0" collapsed="false">
      <c r="B91" s="18" t="s">
        <v>271</v>
      </c>
      <c r="C91" s="14" t="str">
        <f aca="false">IF(B91="","",IFERROR(INDEX('CLM &amp; IM Mapping'!$B$2:$B$270,MATCH(TRIM(B91),'CLM &amp; IM Mapping'!$A$2:$A$270,0)),"Not Mapped"))</f>
        <v>Ashwath S</v>
      </c>
      <c r="D91" s="14" t="str">
        <f aca="false">IF(B91="","",IFERROR(INDEX('CLM &amp; IM Mapping'!$C$2:$C$270,MATCH(TRIM(B91),'CLM &amp; IM Mapping'!$A$2:$A$270,0)),"Not Mapped"))</f>
        <v>Kantha Kumar</v>
      </c>
      <c r="E91" s="18"/>
      <c r="F91" s="18"/>
      <c r="G91" s="18" t="n">
        <v>9</v>
      </c>
      <c r="H91" s="18"/>
      <c r="I91" s="18" t="n">
        <v>2</v>
      </c>
      <c r="J91" s="18" t="n">
        <v>7</v>
      </c>
      <c r="K91" s="18" t="n">
        <v>9</v>
      </c>
    </row>
    <row r="92" customFormat="false" ht="15.75" hidden="false" customHeight="false" outlineLevel="0" collapsed="false">
      <c r="B92" s="18" t="s">
        <v>252</v>
      </c>
      <c r="C92" s="14" t="str">
        <f aca="false">IF(B92="","",IFERROR(INDEX('CLM &amp; IM Mapping'!$B$2:$B$270,MATCH(TRIM(B92),'CLM &amp; IM Mapping'!$A$2:$A$270,0)),"Not Mapped"))</f>
        <v>Akshay P</v>
      </c>
      <c r="D92" s="14" t="str">
        <f aca="false">IF(B92="","",IFERROR(INDEX('CLM &amp; IM Mapping'!$C$2:$C$270,MATCH(TRIM(B92),'CLM &amp; IM Mapping'!$A$2:$A$270,0)),"Not Mapped"))</f>
        <v>Srittam Dhal</v>
      </c>
      <c r="E92" s="18"/>
      <c r="F92" s="18" t="n">
        <v>8</v>
      </c>
      <c r="G92" s="18"/>
      <c r="H92" s="18" t="n">
        <v>1</v>
      </c>
      <c r="I92" s="18" t="n">
        <v>9</v>
      </c>
      <c r="J92" s="18" t="n">
        <v>0</v>
      </c>
      <c r="K92" s="18" t="n">
        <v>9</v>
      </c>
    </row>
    <row r="93" customFormat="false" ht="15.75" hidden="false" customHeight="false" outlineLevel="0" collapsed="false">
      <c r="B93" s="18" t="s">
        <v>68</v>
      </c>
      <c r="C93" s="14" t="str">
        <f aca="false">IF(B93="","",IFERROR(INDEX('CLM &amp; IM Mapping'!$B$2:$B$270,MATCH(TRIM(B93),'CLM &amp; IM Mapping'!$A$2:$A$270,0)),"Not Mapped"))</f>
        <v>Silambarasan E</v>
      </c>
      <c r="D93" s="14" t="str">
        <f aca="false">IF(B93="","",IFERROR(INDEX('CLM &amp; IM Mapping'!$C$2:$C$270,MATCH(TRIM(B93),'CLM &amp; IM Mapping'!$A$2:$A$270,0)),"Not Mapped"))</f>
        <v>Arivind S</v>
      </c>
      <c r="E93" s="18"/>
      <c r="F93" s="18"/>
      <c r="G93" s="18" t="n">
        <v>8</v>
      </c>
      <c r="H93" s="18" t="n">
        <v>1</v>
      </c>
      <c r="I93" s="18" t="n">
        <v>9</v>
      </c>
      <c r="J93" s="18" t="n">
        <v>0</v>
      </c>
      <c r="K93" s="18" t="n">
        <v>9</v>
      </c>
    </row>
    <row r="94" customFormat="false" ht="15.75" hidden="false" customHeight="false" outlineLevel="0" collapsed="false">
      <c r="B94" s="18" t="s">
        <v>141</v>
      </c>
      <c r="C94" s="14" t="str">
        <f aca="false">IF(B94="","",IFERROR(INDEX('CLM &amp; IM Mapping'!$B$2:$B$270,MATCH(TRIM(B94),'CLM &amp; IM Mapping'!$A$2:$A$270,0)),"Not Mapped"))</f>
        <v>Rizwan Ahmed</v>
      </c>
      <c r="D94" s="14" t="str">
        <f aca="false">IF(B94="","",IFERROR(INDEX('CLM &amp; IM Mapping'!$C$2:$C$270,MATCH(TRIM(B94),'CLM &amp; IM Mapping'!$A$2:$A$270,0)),"Not Mapped"))</f>
        <v>Un Mapped</v>
      </c>
      <c r="E94" s="18"/>
      <c r="F94" s="18"/>
      <c r="G94" s="18" t="n">
        <v>7</v>
      </c>
      <c r="H94" s="18" t="n">
        <v>2</v>
      </c>
      <c r="I94" s="18" t="n">
        <v>0</v>
      </c>
      <c r="J94" s="18" t="n">
        <v>9</v>
      </c>
      <c r="K94" s="18" t="n">
        <v>9</v>
      </c>
    </row>
    <row r="95" customFormat="false" ht="15.75" hidden="false" customHeight="false" outlineLevel="0" collapsed="false">
      <c r="B95" s="18" t="s">
        <v>152</v>
      </c>
      <c r="C95" s="14" t="str">
        <f aca="false">IF(B95="","",IFERROR(INDEX('CLM &amp; IM Mapping'!$B$2:$B$270,MATCH(TRIM(B95),'CLM &amp; IM Mapping'!$A$2:$A$270,0)),"Not Mapped"))</f>
        <v>John Britto</v>
      </c>
      <c r="D95" s="14" t="str">
        <f aca="false">IF(B95="","",IFERROR(INDEX('CLM &amp; IM Mapping'!$C$2:$C$270,MATCH(TRIM(B95),'CLM &amp; IM Mapping'!$A$2:$A$270,0)),"Not Mapped"))</f>
        <v>Aravind S</v>
      </c>
      <c r="E95" s="18"/>
      <c r="F95" s="18"/>
      <c r="G95" s="18" t="n">
        <v>8</v>
      </c>
      <c r="H95" s="18"/>
      <c r="I95" s="18" t="n">
        <v>8</v>
      </c>
      <c r="J95" s="18" t="n">
        <v>0</v>
      </c>
      <c r="K95" s="18" t="n">
        <v>8</v>
      </c>
    </row>
    <row r="96" customFormat="false" ht="15.75" hidden="false" customHeight="false" outlineLevel="0" collapsed="false">
      <c r="B96" s="18" t="s">
        <v>25</v>
      </c>
      <c r="C96" s="14" t="str">
        <f aca="false">IF(B96="","",IFERROR(INDEX('CLM &amp; IM Mapping'!$B$2:$B$270,MATCH(TRIM(B96),'CLM &amp; IM Mapping'!$A$2:$A$270,0)),"Not Mapped"))</f>
        <v>Sundaresh S</v>
      </c>
      <c r="D96" s="14" t="str">
        <f aca="false">IF(B96="","",IFERROR(INDEX('CLM &amp; IM Mapping'!$C$2:$C$270,MATCH(TRIM(B96),'CLM &amp; IM Mapping'!$A$2:$A$270,0)),"Not Mapped"))</f>
        <v>Un Mapped</v>
      </c>
      <c r="E96" s="18"/>
      <c r="F96" s="18"/>
      <c r="G96" s="18" t="n">
        <v>6</v>
      </c>
      <c r="H96" s="18" t="n">
        <v>1</v>
      </c>
      <c r="I96" s="18" t="n">
        <v>7</v>
      </c>
      <c r="J96" s="18" t="n">
        <v>0</v>
      </c>
      <c r="K96" s="18" t="n">
        <v>7</v>
      </c>
    </row>
    <row r="97" customFormat="false" ht="15.75" hidden="false" customHeight="false" outlineLevel="0" collapsed="false">
      <c r="B97" s="18" t="s">
        <v>137</v>
      </c>
      <c r="C97" s="14" t="str">
        <f aca="false">IF(B97="","",IFERROR(INDEX('CLM &amp; IM Mapping'!$B$2:$B$270,MATCH(TRIM(B97),'CLM &amp; IM Mapping'!$A$2:$A$270,0)),"Not Mapped"))</f>
        <v>Raghavendra Vernekar</v>
      </c>
      <c r="D97" s="14" t="str">
        <f aca="false">IF(B97="","",IFERROR(INDEX('CLM &amp; IM Mapping'!$C$2:$C$270,MATCH(TRIM(B97),'CLM &amp; IM Mapping'!$A$2:$A$270,0)),"Not Mapped"))</f>
        <v>Prakash BS</v>
      </c>
      <c r="E97" s="18" t="n">
        <v>6</v>
      </c>
      <c r="F97" s="18"/>
      <c r="G97" s="18" t="n">
        <v>1</v>
      </c>
      <c r="H97" s="18"/>
      <c r="I97" s="18" t="n">
        <v>0</v>
      </c>
      <c r="J97" s="18" t="n">
        <v>7</v>
      </c>
      <c r="K97" s="18" t="n">
        <v>7</v>
      </c>
    </row>
    <row r="98" customFormat="false" ht="15.75" hidden="false" customHeight="false" outlineLevel="0" collapsed="false">
      <c r="B98" s="18" t="s">
        <v>232</v>
      </c>
      <c r="C98" s="14" t="str">
        <f aca="false">IF(B98="","",IFERROR(INDEX('CLM &amp; IM Mapping'!$B$2:$B$270,MATCH(TRIM(B98),'CLM &amp; IM Mapping'!$A$2:$A$270,0)),"Not Mapped"))</f>
        <v>Sundaresh S</v>
      </c>
      <c r="D98" s="14" t="str">
        <f aca="false">IF(B98="","",IFERROR(INDEX('CLM &amp; IM Mapping'!$C$2:$C$270,MATCH(TRIM(B98),'CLM &amp; IM Mapping'!$A$2:$A$270,0)),"Not Mapped"))</f>
        <v>Un Mapped</v>
      </c>
      <c r="E98" s="18"/>
      <c r="F98" s="18"/>
      <c r="G98" s="18" t="n">
        <v>5</v>
      </c>
      <c r="H98" s="18" t="n">
        <v>2</v>
      </c>
      <c r="I98" s="18" t="n">
        <v>7</v>
      </c>
      <c r="J98" s="18" t="n">
        <v>0</v>
      </c>
      <c r="K98" s="18" t="n">
        <v>7</v>
      </c>
    </row>
    <row r="99" customFormat="false" ht="15.75" hidden="false" customHeight="false" outlineLevel="0" collapsed="false">
      <c r="B99" s="18" t="s">
        <v>177</v>
      </c>
      <c r="C99" s="14" t="str">
        <f aca="false">IF(B99="","",IFERROR(INDEX('CLM &amp; IM Mapping'!$B$2:$B$270,MATCH(TRIM(B99),'CLM &amp; IM Mapping'!$A$2:$A$270,0)),"Not Mapped"))</f>
        <v>Santhosha M</v>
      </c>
      <c r="D99" s="14" t="str">
        <f aca="false">IF(B99="","",IFERROR(INDEX('CLM &amp; IM Mapping'!$C$2:$C$270,MATCH(TRIM(B99),'CLM &amp; IM Mapping'!$A$2:$A$270,0)),"Not Mapped"))</f>
        <v>Aravind S</v>
      </c>
      <c r="E99" s="18"/>
      <c r="F99" s="18"/>
      <c r="G99" s="18" t="n">
        <v>5</v>
      </c>
      <c r="H99" s="18" t="n">
        <v>2</v>
      </c>
      <c r="I99" s="18" t="n">
        <v>7</v>
      </c>
      <c r="J99" s="18" t="n">
        <v>0</v>
      </c>
      <c r="K99" s="18" t="n">
        <v>7</v>
      </c>
    </row>
    <row r="100" customFormat="false" ht="15.75" hidden="false" customHeight="false" outlineLevel="0" collapsed="false">
      <c r="B100" s="18" t="s">
        <v>42</v>
      </c>
      <c r="C100" s="14" t="str">
        <f aca="false">IF(B100="","",IFERROR(INDEX('CLM &amp; IM Mapping'!$B$2:$B$270,MATCH(TRIM(B100),'CLM &amp; IM Mapping'!$A$2:$A$270,0)),"Not Mapped"))</f>
        <v>Vijay M</v>
      </c>
      <c r="D100" s="14" t="str">
        <f aca="false">IF(B100="","",IFERROR(INDEX('CLM &amp; IM Mapping'!$C$2:$C$270,MATCH(TRIM(B100),'CLM &amp; IM Mapping'!$A$2:$A$270,0)),"Not Mapped"))</f>
        <v>Kantha Kumar</v>
      </c>
      <c r="E100" s="18"/>
      <c r="F100" s="18"/>
      <c r="G100" s="18" t="n">
        <v>7</v>
      </c>
      <c r="H100" s="18"/>
      <c r="I100" s="18" t="n">
        <v>7</v>
      </c>
      <c r="J100" s="18" t="n">
        <v>0</v>
      </c>
      <c r="K100" s="18" t="n">
        <v>7</v>
      </c>
    </row>
    <row r="101" customFormat="false" ht="15.75" hidden="false" customHeight="false" outlineLevel="0" collapsed="false">
      <c r="B101" s="18" t="s">
        <v>60</v>
      </c>
      <c r="C101" s="14" t="str">
        <f aca="false">IF(B101="","",IFERROR(INDEX('CLM &amp; IM Mapping'!$B$2:$B$270,MATCH(TRIM(B101),'CLM &amp; IM Mapping'!$A$2:$A$270,0)),"Not Mapped"))</f>
        <v>Basil Scariya</v>
      </c>
      <c r="D101" s="14" t="str">
        <f aca="false">IF(B101="","",IFERROR(INDEX('CLM &amp; IM Mapping'!$C$2:$C$270,MATCH(TRIM(B101),'CLM &amp; IM Mapping'!$A$2:$A$270,0)),"Not Mapped"))</f>
        <v>Prakash BS</v>
      </c>
      <c r="E101" s="18"/>
      <c r="F101" s="18"/>
      <c r="G101" s="18" t="n">
        <v>4</v>
      </c>
      <c r="H101" s="18" t="n">
        <v>2</v>
      </c>
      <c r="I101" s="18" t="n">
        <v>6</v>
      </c>
      <c r="J101" s="18" t="n">
        <v>0</v>
      </c>
      <c r="K101" s="18" t="n">
        <v>6</v>
      </c>
    </row>
    <row r="102" customFormat="false" ht="15.75" hidden="false" customHeight="false" outlineLevel="0" collapsed="false">
      <c r="B102" s="18" t="s">
        <v>81</v>
      </c>
      <c r="C102" s="14" t="str">
        <f aca="false">IF(B102="","",IFERROR(INDEX('CLM &amp; IM Mapping'!$B$2:$B$270,MATCH(TRIM(B102),'CLM &amp; IM Mapping'!$A$2:$A$270,0)),"Not Mapped"))</f>
        <v>Sundaresh S</v>
      </c>
      <c r="D102" s="14" t="str">
        <f aca="false">IF(B102="","",IFERROR(INDEX('CLM &amp; IM Mapping'!$C$2:$C$270,MATCH(TRIM(B102),'CLM &amp; IM Mapping'!$A$2:$A$270,0)),"Not Mapped"))</f>
        <v>Un Mapped</v>
      </c>
      <c r="E102" s="18"/>
      <c r="F102" s="18"/>
      <c r="G102" s="18" t="n">
        <v>6</v>
      </c>
      <c r="H102" s="18"/>
      <c r="I102" s="18" t="n">
        <v>0</v>
      </c>
      <c r="J102" s="18" t="n">
        <v>6</v>
      </c>
      <c r="K102" s="18" t="n">
        <v>6</v>
      </c>
    </row>
    <row r="103" customFormat="false" ht="15.75" hidden="false" customHeight="false" outlineLevel="0" collapsed="false">
      <c r="B103" s="18" t="s">
        <v>98</v>
      </c>
      <c r="C103" s="14" t="str">
        <f aca="false">IF(B103="","",IFERROR(INDEX('CLM &amp; IM Mapping'!$B$2:$B$270,MATCH(TRIM(B103),'CLM &amp; IM Mapping'!$A$2:$A$270,0)),"Not Mapped"))</f>
        <v>Silambarasan E</v>
      </c>
      <c r="D103" s="14" t="str">
        <f aca="false">IF(B103="","",IFERROR(INDEX('CLM &amp; IM Mapping'!$C$2:$C$270,MATCH(TRIM(B103),'CLM &amp; IM Mapping'!$A$2:$A$270,0)),"Not Mapped"))</f>
        <v>Arivind S</v>
      </c>
      <c r="E103" s="18"/>
      <c r="F103" s="18"/>
      <c r="G103" s="18" t="n">
        <v>6</v>
      </c>
      <c r="H103" s="18"/>
      <c r="I103" s="18" t="n">
        <v>0</v>
      </c>
      <c r="J103" s="18" t="n">
        <v>6</v>
      </c>
      <c r="K103" s="18" t="n">
        <v>6</v>
      </c>
    </row>
    <row r="104" customFormat="false" ht="15.75" hidden="false" customHeight="false" outlineLevel="0" collapsed="false">
      <c r="B104" s="18" t="s">
        <v>127</v>
      </c>
      <c r="C104" s="14" t="str">
        <f aca="false">IF(B104="","",IFERROR(INDEX('CLM &amp; IM Mapping'!$B$2:$B$270,MATCH(TRIM(B104),'CLM &amp; IM Mapping'!$A$2:$A$270,0)),"Not Mapped"))</f>
        <v>Rizwan Ahmed</v>
      </c>
      <c r="D104" s="14" t="str">
        <f aca="false">IF(B104="","",IFERROR(INDEX('CLM &amp; IM Mapping'!$C$2:$C$270,MATCH(TRIM(B104),'CLM &amp; IM Mapping'!$A$2:$A$270,0)),"Not Mapped"))</f>
        <v>Un Mapped</v>
      </c>
      <c r="E104" s="18"/>
      <c r="F104" s="18"/>
      <c r="G104" s="18" t="n">
        <v>4</v>
      </c>
      <c r="H104" s="18" t="n">
        <v>2</v>
      </c>
      <c r="I104" s="18" t="n">
        <v>6</v>
      </c>
      <c r="J104" s="18" t="n">
        <v>0</v>
      </c>
      <c r="K104" s="18" t="n">
        <v>6</v>
      </c>
    </row>
    <row r="105" customFormat="false" ht="15.75" hidden="false" customHeight="false" outlineLevel="0" collapsed="false">
      <c r="B105" s="18" t="s">
        <v>151</v>
      </c>
      <c r="C105" s="14" t="str">
        <f aca="false">IF(B105="","",IFERROR(INDEX('CLM &amp; IM Mapping'!$B$2:$B$270,MATCH(TRIM(B105),'CLM &amp; IM Mapping'!$A$2:$A$270,0)),"Not Mapped"))</f>
        <v>Manjunatha V</v>
      </c>
      <c r="D105" s="14" t="str">
        <f aca="false">IF(B105="","",IFERROR(INDEX('CLM &amp; IM Mapping'!$C$2:$C$270,MATCH(TRIM(B105),'CLM &amp; IM Mapping'!$A$2:$A$270,0)),"Not Mapped"))</f>
        <v>Un Mapped</v>
      </c>
      <c r="E105" s="18"/>
      <c r="F105" s="18"/>
      <c r="G105" s="18" t="n">
        <v>4</v>
      </c>
      <c r="H105" s="18" t="n">
        <v>2</v>
      </c>
      <c r="I105" s="18" t="n">
        <v>6</v>
      </c>
      <c r="J105" s="18" t="n">
        <v>0</v>
      </c>
      <c r="K105" s="18" t="n">
        <v>6</v>
      </c>
    </row>
    <row r="106" customFormat="false" ht="15.75" hidden="false" customHeight="false" outlineLevel="0" collapsed="false">
      <c r="B106" s="18" t="s">
        <v>69</v>
      </c>
      <c r="C106" s="14" t="str">
        <f aca="false">IF(B106="","",IFERROR(INDEX('CLM &amp; IM Mapping'!$B$2:$B$270,MATCH(TRIM(B106),'CLM &amp; IM Mapping'!$A$2:$A$270,0)),"Not Mapped"))</f>
        <v>Akshay P</v>
      </c>
      <c r="D106" s="14" t="str">
        <f aca="false">IF(B106="","",IFERROR(INDEX('CLM &amp; IM Mapping'!$C$2:$C$270,MATCH(TRIM(B106),'CLM &amp; IM Mapping'!$A$2:$A$270,0)),"Not Mapped"))</f>
        <v>Srittam Dhal</v>
      </c>
      <c r="E106" s="18"/>
      <c r="F106" s="18"/>
      <c r="G106" s="18" t="n">
        <v>5</v>
      </c>
      <c r="H106" s="18"/>
      <c r="I106" s="18" t="n">
        <v>5</v>
      </c>
      <c r="J106" s="18" t="n">
        <v>0</v>
      </c>
      <c r="K106" s="18" t="n">
        <v>5</v>
      </c>
    </row>
    <row r="107" customFormat="false" ht="15.75" hidden="false" customHeight="false" outlineLevel="0" collapsed="false">
      <c r="B107" s="18" t="s">
        <v>248</v>
      </c>
      <c r="C107" s="14" t="str">
        <f aca="false">IF(B107="","",IFERROR(INDEX('CLM &amp; IM Mapping'!$B$2:$B$270,MATCH(TRIM(B107),'CLM &amp; IM Mapping'!$A$2:$A$270,0)),"Not Mapped"))</f>
        <v>Sundaresh S</v>
      </c>
      <c r="D107" s="14" t="str">
        <f aca="false">IF(B107="","",IFERROR(INDEX('CLM &amp; IM Mapping'!$C$2:$C$270,MATCH(TRIM(B107),'CLM &amp; IM Mapping'!$A$2:$A$270,0)),"Not Mapped"))</f>
        <v>Un Mapped</v>
      </c>
      <c r="E107" s="18"/>
      <c r="F107" s="18"/>
      <c r="G107" s="18" t="n">
        <v>1</v>
      </c>
      <c r="H107" s="18" t="n">
        <v>4</v>
      </c>
      <c r="I107" s="18" t="n">
        <v>5</v>
      </c>
      <c r="J107" s="18" t="n">
        <v>0</v>
      </c>
      <c r="K107" s="18" t="n">
        <v>5</v>
      </c>
    </row>
    <row r="108" customFormat="false" ht="15.75" hidden="false" customHeight="false" outlineLevel="0" collapsed="false">
      <c r="B108" s="18" t="s">
        <v>278</v>
      </c>
      <c r="C108" s="14" t="str">
        <f aca="false">IF(B108="","",IFERROR(INDEX('CLM &amp; IM Mapping'!$B$2:$B$270,MATCH(TRIM(B108),'CLM &amp; IM Mapping'!$A$2:$A$270,0)),"Not Mapped"))</f>
        <v>Adhavan Subramani</v>
      </c>
      <c r="D108" s="14" t="str">
        <f aca="false">IF(B108="","",IFERROR(INDEX('CLM &amp; IM Mapping'!$C$2:$C$270,MATCH(TRIM(B108),'CLM &amp; IM Mapping'!$A$2:$A$270,0)),"Not Mapped"))</f>
        <v>Mohammed Akbar</v>
      </c>
      <c r="E108" s="18"/>
      <c r="F108" s="18"/>
      <c r="G108" s="18" t="n">
        <v>5</v>
      </c>
      <c r="H108" s="18"/>
      <c r="I108" s="18" t="n">
        <v>5</v>
      </c>
      <c r="J108" s="18" t="n">
        <v>0</v>
      </c>
      <c r="K108" s="18" t="n">
        <v>5</v>
      </c>
    </row>
    <row r="109" customFormat="false" ht="15.75" hidden="false" customHeight="false" outlineLevel="0" collapsed="false">
      <c r="B109" s="18" t="s">
        <v>55</v>
      </c>
      <c r="C109" s="14" t="str">
        <f aca="false">IF(B109="","",IFERROR(INDEX('CLM &amp; IM Mapping'!$B$2:$B$270,MATCH(TRIM(B109),'CLM &amp; IM Mapping'!$A$2:$A$270,0)),"Not Mapped"))</f>
        <v>Suhas N</v>
      </c>
      <c r="D109" s="14" t="str">
        <f aca="false">IF(B109="","",IFERROR(INDEX('CLM &amp; IM Mapping'!$C$2:$C$270,MATCH(TRIM(B109),'CLM &amp; IM Mapping'!$A$2:$A$270,0)),"Not Mapped"))</f>
        <v>Aravind S</v>
      </c>
      <c r="E109" s="18"/>
      <c r="F109" s="18"/>
      <c r="G109" s="18" t="n">
        <v>1</v>
      </c>
      <c r="H109" s="18" t="n">
        <v>3</v>
      </c>
      <c r="I109" s="18" t="n">
        <v>4</v>
      </c>
      <c r="J109" s="18" t="n">
        <v>0</v>
      </c>
      <c r="K109" s="18" t="n">
        <v>4</v>
      </c>
    </row>
    <row r="110" customFormat="false" ht="15.75" hidden="false" customHeight="false" outlineLevel="0" collapsed="false">
      <c r="B110" s="18" t="s">
        <v>286</v>
      </c>
      <c r="C110" s="14" t="str">
        <f aca="false">IF(B110="","",IFERROR(INDEX('CLM &amp; IM Mapping'!$B$2:$B$270,MATCH(TRIM(B110),'CLM &amp; IM Mapping'!$A$2:$A$270,0)),"Not Mapped"))</f>
        <v>Not Mapped</v>
      </c>
      <c r="D110" s="14" t="str">
        <f aca="false">IF(B110="","",IFERROR(INDEX('CLM &amp; IM Mapping'!$C$2:$C$270,MATCH(TRIM(B110),'CLM &amp; IM Mapping'!$A$2:$A$270,0)),"Not Mapped"))</f>
        <v>Not Mapped</v>
      </c>
      <c r="E110" s="18"/>
      <c r="F110" s="18"/>
      <c r="G110" s="18" t="n">
        <v>3</v>
      </c>
      <c r="H110" s="18" t="n">
        <v>1</v>
      </c>
      <c r="I110" s="18" t="n">
        <v>4</v>
      </c>
      <c r="J110" s="18" t="n">
        <v>0</v>
      </c>
      <c r="K110" s="18" t="n">
        <v>4</v>
      </c>
    </row>
    <row r="111" customFormat="false" ht="15.75" hidden="false" customHeight="false" outlineLevel="0" collapsed="false">
      <c r="B111" s="18" t="s">
        <v>78</v>
      </c>
      <c r="C111" s="14" t="str">
        <f aca="false">IF(B111="","",IFERROR(INDEX('CLM &amp; IM Mapping'!$B$2:$B$270,MATCH(TRIM(B111),'CLM &amp; IM Mapping'!$A$2:$A$270,0)),"Not Mapped"))</f>
        <v>Raghavendra Vernekar</v>
      </c>
      <c r="D111" s="14" t="str">
        <f aca="false">IF(B111="","",IFERROR(INDEX('CLM &amp; IM Mapping'!$C$2:$C$270,MATCH(TRIM(B111),'CLM &amp; IM Mapping'!$A$2:$A$270,0)),"Not Mapped"))</f>
        <v>Prakash BS</v>
      </c>
      <c r="E111" s="18"/>
      <c r="F111" s="18"/>
      <c r="G111" s="18" t="n">
        <v>4</v>
      </c>
      <c r="H111" s="18"/>
      <c r="I111" s="18" t="n">
        <v>4</v>
      </c>
      <c r="J111" s="18" t="n">
        <v>0</v>
      </c>
      <c r="K111" s="18" t="n">
        <v>4</v>
      </c>
    </row>
    <row r="112" customFormat="false" ht="15.75" hidden="false" customHeight="false" outlineLevel="0" collapsed="false">
      <c r="B112" s="18" t="s">
        <v>172</v>
      </c>
      <c r="C112" s="14" t="str">
        <f aca="false">IF(B112="","",IFERROR(INDEX('CLM &amp; IM Mapping'!$B$2:$B$270,MATCH(TRIM(B112),'CLM &amp; IM Mapping'!$A$2:$A$270,0)),"Not Mapped"))</f>
        <v>Santhosha M</v>
      </c>
      <c r="D112" s="14" t="str">
        <f aca="false">IF(B112="","",IFERROR(INDEX('CLM &amp; IM Mapping'!$C$2:$C$270,MATCH(TRIM(B112),'CLM &amp; IM Mapping'!$A$2:$A$270,0)),"Not Mapped"))</f>
        <v>Aravind S</v>
      </c>
      <c r="E112" s="18"/>
      <c r="F112" s="18"/>
      <c r="G112" s="18" t="n">
        <v>3</v>
      </c>
      <c r="H112" s="18" t="n">
        <v>1</v>
      </c>
      <c r="I112" s="18" t="n">
        <v>0</v>
      </c>
      <c r="J112" s="18" t="n">
        <v>4</v>
      </c>
      <c r="K112" s="18" t="n">
        <v>4</v>
      </c>
    </row>
    <row r="113" customFormat="false" ht="15.75" hidden="false" customHeight="false" outlineLevel="0" collapsed="false">
      <c r="B113" s="18" t="s">
        <v>203</v>
      </c>
      <c r="C113" s="14" t="str">
        <f aca="false">IF(B113="","",IFERROR(INDEX('CLM &amp; IM Mapping'!$B$2:$B$270,MATCH(TRIM(B113),'CLM &amp; IM Mapping'!$A$2:$A$270,0)),"Not Mapped"))</f>
        <v>Suhas N</v>
      </c>
      <c r="D113" s="14" t="str">
        <f aca="false">IF(B113="","",IFERROR(INDEX('CLM &amp; IM Mapping'!$C$2:$C$270,MATCH(TRIM(B113),'CLM &amp; IM Mapping'!$A$2:$A$270,0)),"Not Mapped"))</f>
        <v>Aravind S</v>
      </c>
      <c r="E113" s="18"/>
      <c r="F113" s="18"/>
      <c r="G113" s="18"/>
      <c r="H113" s="18" t="n">
        <v>3</v>
      </c>
      <c r="I113" s="18" t="n">
        <v>0</v>
      </c>
      <c r="J113" s="18" t="n">
        <v>3</v>
      </c>
      <c r="K113" s="18" t="n">
        <v>3</v>
      </c>
    </row>
    <row r="114" customFormat="false" ht="15.75" hidden="false" customHeight="false" outlineLevel="0" collapsed="false">
      <c r="B114" s="18" t="s">
        <v>146</v>
      </c>
      <c r="C114" s="14" t="str">
        <f aca="false">IF(B114="","",IFERROR(INDEX('CLM &amp; IM Mapping'!$B$2:$B$270,MATCH(TRIM(B114),'CLM &amp; IM Mapping'!$A$2:$A$270,0)),"Not Mapped"))</f>
        <v>Basil Scariya</v>
      </c>
      <c r="D114" s="14" t="str">
        <f aca="false">IF(B114="","",IFERROR(INDEX('CLM &amp; IM Mapping'!$C$2:$C$270,MATCH(TRIM(B114),'CLM &amp; IM Mapping'!$A$2:$A$270,0)),"Not Mapped"))</f>
        <v>Prakash BS</v>
      </c>
      <c r="E114" s="18"/>
      <c r="F114" s="18"/>
      <c r="G114" s="18"/>
      <c r="H114" s="18" t="n">
        <v>3</v>
      </c>
      <c r="I114" s="18" t="n">
        <v>0</v>
      </c>
      <c r="J114" s="18" t="n">
        <v>3</v>
      </c>
      <c r="K114" s="18" t="n">
        <v>3</v>
      </c>
    </row>
    <row r="115" customFormat="false" ht="15.75" hidden="false" customHeight="false" outlineLevel="0" collapsed="false">
      <c r="B115" s="18" t="s">
        <v>140</v>
      </c>
      <c r="C115" s="14" t="str">
        <f aca="false">IF(B115="","",IFERROR(INDEX('CLM &amp; IM Mapping'!$B$2:$B$270,MATCH(TRIM(B115),'CLM &amp; IM Mapping'!$A$2:$A$270,0)),"Not Mapped"))</f>
        <v>Mohaideen DH</v>
      </c>
      <c r="D115" s="14" t="str">
        <f aca="false">IF(B115="","",IFERROR(INDEX('CLM &amp; IM Mapping'!$C$2:$C$270,MATCH(TRIM(B115),'CLM &amp; IM Mapping'!$A$2:$A$270,0)),"Not Mapped"))</f>
        <v>Mohammed Akbar</v>
      </c>
      <c r="E115" s="18"/>
      <c r="F115" s="18"/>
      <c r="G115" s="18" t="n">
        <v>3</v>
      </c>
      <c r="H115" s="18"/>
      <c r="I115" s="18" t="n">
        <v>3</v>
      </c>
      <c r="J115" s="18" t="n">
        <v>0</v>
      </c>
      <c r="K115" s="18" t="n">
        <v>3</v>
      </c>
    </row>
    <row r="116" customFormat="false" ht="15.75" hidden="false" customHeight="false" outlineLevel="0" collapsed="false">
      <c r="B116" s="18" t="s">
        <v>163</v>
      </c>
      <c r="C116" s="14" t="str">
        <f aca="false">IF(B116="","",IFERROR(INDEX('CLM &amp; IM Mapping'!$B$2:$B$270,MATCH(TRIM(B116),'CLM &amp; IM Mapping'!$A$2:$A$270,0)),"Not Mapped"))</f>
        <v>Suhas N</v>
      </c>
      <c r="D116" s="14" t="str">
        <f aca="false">IF(B116="","",IFERROR(INDEX('CLM &amp; IM Mapping'!$C$2:$C$270,MATCH(TRIM(B116),'CLM &amp; IM Mapping'!$A$2:$A$270,0)),"Not Mapped"))</f>
        <v>Aravind S</v>
      </c>
      <c r="E116" s="18"/>
      <c r="F116" s="18"/>
      <c r="G116" s="18" t="n">
        <v>3</v>
      </c>
      <c r="H116" s="18"/>
      <c r="I116" s="18" t="n">
        <v>3</v>
      </c>
      <c r="J116" s="18" t="n">
        <v>0</v>
      </c>
      <c r="K116" s="18" t="n">
        <v>3</v>
      </c>
    </row>
    <row r="117" customFormat="false" ht="15.75" hidden="false" customHeight="false" outlineLevel="0" collapsed="false">
      <c r="B117" s="18" t="s">
        <v>165</v>
      </c>
      <c r="C117" s="14" t="str">
        <f aca="false">IF(B117="","",IFERROR(INDEX('CLM &amp; IM Mapping'!$B$2:$B$270,MATCH(TRIM(B117),'CLM &amp; IM Mapping'!$A$2:$A$270,0)),"Not Mapped"))</f>
        <v>Akshay P</v>
      </c>
      <c r="D117" s="14" t="str">
        <f aca="false">IF(B117="","",IFERROR(INDEX('CLM &amp; IM Mapping'!$C$2:$C$270,MATCH(TRIM(B117),'CLM &amp; IM Mapping'!$A$2:$A$270,0)),"Not Mapped"))</f>
        <v>Srittam Dhal</v>
      </c>
      <c r="E117" s="18"/>
      <c r="F117" s="18"/>
      <c r="G117" s="18"/>
      <c r="H117" s="18" t="n">
        <v>2</v>
      </c>
      <c r="I117" s="18" t="n">
        <v>2</v>
      </c>
      <c r="J117" s="18" t="n">
        <v>0</v>
      </c>
      <c r="K117" s="18" t="n">
        <v>2</v>
      </c>
    </row>
    <row r="118" customFormat="false" ht="15.75" hidden="false" customHeight="false" outlineLevel="0" collapsed="false">
      <c r="B118" s="18" t="s">
        <v>242</v>
      </c>
      <c r="C118" s="14" t="str">
        <f aca="false">IF(B118="","",IFERROR(INDEX('CLM &amp; IM Mapping'!$B$2:$B$270,MATCH(TRIM(B118),'CLM &amp; IM Mapping'!$A$2:$A$270,0)),"Not Mapped"))</f>
        <v>Ashwath S</v>
      </c>
      <c r="D118" s="14" t="str">
        <f aca="false">IF(B118="","",IFERROR(INDEX('CLM &amp; IM Mapping'!$C$2:$C$270,MATCH(TRIM(B118),'CLM &amp; IM Mapping'!$A$2:$A$270,0)),"Not Mapped"))</f>
        <v>Kantha Kumar</v>
      </c>
      <c r="E118" s="18"/>
      <c r="F118" s="18"/>
      <c r="G118" s="18" t="n">
        <v>2</v>
      </c>
      <c r="H118" s="18"/>
      <c r="I118" s="18" t="n">
        <v>2</v>
      </c>
      <c r="J118" s="18" t="n">
        <v>0</v>
      </c>
      <c r="K118" s="18" t="n">
        <v>2</v>
      </c>
    </row>
    <row r="119" customFormat="false" ht="15.75" hidden="false" customHeight="false" outlineLevel="0" collapsed="false">
      <c r="B119" s="18" t="s">
        <v>222</v>
      </c>
      <c r="C119" s="14" t="str">
        <f aca="false">IF(B119="","",IFERROR(INDEX('CLM &amp; IM Mapping'!$B$2:$B$270,MATCH(TRIM(B119),'CLM &amp; IM Mapping'!$A$2:$A$270,0)),"Not Mapped"))</f>
        <v>Sundaresh S</v>
      </c>
      <c r="D119" s="14" t="str">
        <f aca="false">IF(B119="","",IFERROR(INDEX('CLM &amp; IM Mapping'!$C$2:$C$270,MATCH(TRIM(B119),'CLM &amp; IM Mapping'!$A$2:$A$270,0)),"Not Mapped"))</f>
        <v>Un Mapped</v>
      </c>
      <c r="E119" s="18"/>
      <c r="F119" s="18"/>
      <c r="G119" s="18" t="n">
        <v>2</v>
      </c>
      <c r="H119" s="18"/>
      <c r="I119" s="18" t="n">
        <v>2</v>
      </c>
      <c r="J119" s="18" t="n">
        <v>0</v>
      </c>
      <c r="K119" s="18" t="n">
        <v>2</v>
      </c>
    </row>
    <row r="120" customFormat="false" ht="15.75" hidden="false" customHeight="false" outlineLevel="0" collapsed="false">
      <c r="B120" s="18" t="s">
        <v>40</v>
      </c>
      <c r="C120" s="14" t="str">
        <f aca="false">IF(B120="","",IFERROR(INDEX('CLM &amp; IM Mapping'!$B$2:$B$270,MATCH(TRIM(B120),'CLM &amp; IM Mapping'!$A$2:$A$270,0)),"Not Mapped"))</f>
        <v>Narasimhamurthy R</v>
      </c>
      <c r="D120" s="14" t="str">
        <f aca="false">IF(B120="","",IFERROR(INDEX('CLM &amp; IM Mapping'!$C$2:$C$270,MATCH(TRIM(B120),'CLM &amp; IM Mapping'!$A$2:$A$270,0)),"Not Mapped"))</f>
        <v>Kishor K</v>
      </c>
      <c r="E120" s="18"/>
      <c r="F120" s="18"/>
      <c r="G120" s="18"/>
      <c r="H120" s="18" t="n">
        <v>2</v>
      </c>
      <c r="I120" s="18" t="n">
        <v>1</v>
      </c>
      <c r="J120" s="18" t="n">
        <v>1</v>
      </c>
      <c r="K120" s="18" t="n">
        <v>2</v>
      </c>
    </row>
    <row r="121" customFormat="false" ht="15.75" hidden="false" customHeight="false" outlineLevel="0" collapsed="false">
      <c r="B121" s="18" t="s">
        <v>227</v>
      </c>
      <c r="C121" s="14" t="str">
        <f aca="false">IF(B121="","",IFERROR(INDEX('CLM &amp; IM Mapping'!$B$2:$B$270,MATCH(TRIM(B121),'CLM &amp; IM Mapping'!$A$2:$A$270,0)),"Not Mapped"))</f>
        <v>Mohaideen DH</v>
      </c>
      <c r="D121" s="14" t="str">
        <f aca="false">IF(B121="","",IFERROR(INDEX('CLM &amp; IM Mapping'!$C$2:$C$270,MATCH(TRIM(B121),'CLM &amp; IM Mapping'!$A$2:$A$270,0)),"Not Mapped"))</f>
        <v>Mohammed Akbar</v>
      </c>
      <c r="E121" s="18"/>
      <c r="F121" s="18"/>
      <c r="G121" s="18"/>
      <c r="H121" s="18" t="n">
        <v>2</v>
      </c>
      <c r="I121" s="18" t="n">
        <v>0</v>
      </c>
      <c r="J121" s="18" t="n">
        <v>2</v>
      </c>
      <c r="K121" s="18" t="n">
        <v>2</v>
      </c>
    </row>
    <row r="122" customFormat="false" ht="15.75" hidden="false" customHeight="false" outlineLevel="0" collapsed="false">
      <c r="B122" s="18" t="s">
        <v>215</v>
      </c>
      <c r="C122" s="14" t="str">
        <f aca="false">IF(B122="","",IFERROR(INDEX('CLM &amp; IM Mapping'!$B$2:$B$270,MATCH(TRIM(B122),'CLM &amp; IM Mapping'!$A$2:$A$270,0)),"Not Mapped"))</f>
        <v>Girish N</v>
      </c>
      <c r="D122" s="14" t="str">
        <f aca="false">IF(B122="","",IFERROR(INDEX('CLM &amp; IM Mapping'!$C$2:$C$270,MATCH(TRIM(B122),'CLM &amp; IM Mapping'!$A$2:$A$270,0)),"Not Mapped"))</f>
        <v>Un Mapped</v>
      </c>
      <c r="E122" s="18"/>
      <c r="F122" s="18"/>
      <c r="G122" s="18" t="n">
        <v>1</v>
      </c>
      <c r="H122" s="18" t="n">
        <v>1</v>
      </c>
      <c r="I122" s="18" t="n">
        <v>2</v>
      </c>
      <c r="J122" s="18" t="n">
        <v>0</v>
      </c>
      <c r="K122" s="18" t="n">
        <v>2</v>
      </c>
    </row>
    <row r="123" customFormat="false" ht="15.75" hidden="false" customHeight="false" outlineLevel="0" collapsed="false">
      <c r="B123" s="18" t="s">
        <v>229</v>
      </c>
      <c r="C123" s="14" t="str">
        <f aca="false">IF(B123="","",IFERROR(INDEX('CLM &amp; IM Mapping'!$B$2:$B$270,MATCH(TRIM(B123),'CLM &amp; IM Mapping'!$A$2:$A$270,0)),"Not Mapped"))</f>
        <v>Bangareppa CS</v>
      </c>
      <c r="D123" s="14" t="str">
        <f aca="false">IF(B123="","",IFERROR(INDEX('CLM &amp; IM Mapping'!$C$2:$C$270,MATCH(TRIM(B123),'CLM &amp; IM Mapping'!$A$2:$A$270,0)),"Not Mapped"))</f>
        <v>Kishor K</v>
      </c>
      <c r="E123" s="18"/>
      <c r="F123" s="18"/>
      <c r="G123" s="18"/>
      <c r="H123" s="18" t="n">
        <v>2</v>
      </c>
      <c r="I123" s="18" t="n">
        <v>2</v>
      </c>
      <c r="J123" s="18" t="n">
        <v>0</v>
      </c>
      <c r="K123" s="18" t="n">
        <v>2</v>
      </c>
    </row>
    <row r="124" customFormat="false" ht="15.75" hidden="false" customHeight="false" outlineLevel="0" collapsed="false">
      <c r="B124" s="18" t="s">
        <v>187</v>
      </c>
      <c r="C124" s="14" t="str">
        <f aca="false">IF(B124="","",IFERROR(INDEX('CLM &amp; IM Mapping'!$B$2:$B$270,MATCH(TRIM(B124),'CLM &amp; IM Mapping'!$A$2:$A$270,0)),"Not Mapped"))</f>
        <v>Akshay P</v>
      </c>
      <c r="D124" s="14" t="str">
        <f aca="false">IF(B124="","",IFERROR(INDEX('CLM &amp; IM Mapping'!$C$2:$C$270,MATCH(TRIM(B124),'CLM &amp; IM Mapping'!$A$2:$A$270,0)),"Not Mapped"))</f>
        <v>Srittam Dhal</v>
      </c>
      <c r="E124" s="18"/>
      <c r="F124" s="18"/>
      <c r="G124" s="18"/>
      <c r="H124" s="18" t="n">
        <v>2</v>
      </c>
      <c r="I124" s="18" t="n">
        <v>2</v>
      </c>
      <c r="J124" s="18" t="n">
        <v>0</v>
      </c>
      <c r="K124" s="18" t="n">
        <v>2</v>
      </c>
    </row>
    <row r="125" customFormat="false" ht="15.75" hidden="false" customHeight="false" outlineLevel="0" collapsed="false">
      <c r="B125" s="18" t="s">
        <v>32</v>
      </c>
      <c r="C125" s="14" t="str">
        <f aca="false">IF(B125="","",IFERROR(INDEX('CLM &amp; IM Mapping'!$B$2:$B$270,MATCH(TRIM(B125),'CLM &amp; IM Mapping'!$A$2:$A$270,0)),"Not Mapped"))</f>
        <v>Santhosha M</v>
      </c>
      <c r="D125" s="14" t="str">
        <f aca="false">IF(B125="","",IFERROR(INDEX('CLM &amp; IM Mapping'!$C$2:$C$270,MATCH(TRIM(B125),'CLM &amp; IM Mapping'!$A$2:$A$270,0)),"Not Mapped"))</f>
        <v>Aravind S</v>
      </c>
      <c r="E125" s="18"/>
      <c r="F125" s="18"/>
      <c r="G125" s="18"/>
      <c r="H125" s="18" t="n">
        <v>2</v>
      </c>
      <c r="I125" s="18" t="n">
        <v>2</v>
      </c>
      <c r="J125" s="18" t="n">
        <v>0</v>
      </c>
      <c r="K125" s="18" t="n">
        <v>2</v>
      </c>
    </row>
    <row r="126" customFormat="false" ht="15.75" hidden="false" customHeight="false" outlineLevel="0" collapsed="false">
      <c r="B126" s="18" t="s">
        <v>253</v>
      </c>
      <c r="C126" s="14" t="str">
        <f aca="false">IF(B126="","",IFERROR(INDEX('CLM &amp; IM Mapping'!$B$2:$B$270,MATCH(TRIM(B126),'CLM &amp; IM Mapping'!$A$2:$A$270,0)),"Not Mapped"))</f>
        <v>Girish N</v>
      </c>
      <c r="D126" s="14" t="str">
        <f aca="false">IF(B126="","",IFERROR(INDEX('CLM &amp; IM Mapping'!$C$2:$C$270,MATCH(TRIM(B126),'CLM &amp; IM Mapping'!$A$2:$A$270,0)),"Not Mapped"))</f>
        <v>Un Mapped</v>
      </c>
      <c r="E126" s="18"/>
      <c r="F126" s="18"/>
      <c r="G126" s="18" t="n">
        <v>2</v>
      </c>
      <c r="H126" s="18"/>
      <c r="I126" s="18" t="n">
        <v>2</v>
      </c>
      <c r="J126" s="18" t="n">
        <v>0</v>
      </c>
      <c r="K126" s="18" t="n">
        <v>2</v>
      </c>
    </row>
    <row r="127" customFormat="false" ht="15.75" hidden="false" customHeight="false" outlineLevel="0" collapsed="false">
      <c r="B127" s="18" t="s">
        <v>167</v>
      </c>
      <c r="C127" s="14" t="str">
        <f aca="false">IF(B127="","",IFERROR(INDEX('CLM &amp; IM Mapping'!$B$2:$B$270,MATCH(TRIM(B127),'CLM &amp; IM Mapping'!$A$2:$A$270,0)),"Not Mapped"))</f>
        <v>Rizwan Ahmed</v>
      </c>
      <c r="D127" s="14" t="str">
        <f aca="false">IF(B127="","",IFERROR(INDEX('CLM &amp; IM Mapping'!$C$2:$C$270,MATCH(TRIM(B127),'CLM &amp; IM Mapping'!$A$2:$A$270,0)),"Not Mapped"))</f>
        <v>Un Mapped</v>
      </c>
      <c r="E127" s="18"/>
      <c r="F127" s="18"/>
      <c r="G127" s="18" t="n">
        <v>1</v>
      </c>
      <c r="H127" s="18" t="n">
        <v>1</v>
      </c>
      <c r="I127" s="18" t="n">
        <v>2</v>
      </c>
      <c r="J127" s="18" t="n">
        <v>0</v>
      </c>
      <c r="K127" s="18" t="n">
        <v>2</v>
      </c>
    </row>
    <row r="128" customFormat="false" ht="15.75" hidden="false" customHeight="false" outlineLevel="0" collapsed="false">
      <c r="B128" s="18" t="s">
        <v>216</v>
      </c>
      <c r="C128" s="14" t="str">
        <f aca="false">IF(B128="","",IFERROR(INDEX('CLM &amp; IM Mapping'!$B$2:$B$270,MATCH(TRIM(B128),'CLM &amp; IM Mapping'!$A$2:$A$270,0)),"Not Mapped"))</f>
        <v>Saddam Hussain</v>
      </c>
      <c r="D128" s="14" t="str">
        <f aca="false">IF(B128="","",IFERROR(INDEX('CLM &amp; IM Mapping'!$C$2:$C$270,MATCH(TRIM(B128),'CLM &amp; IM Mapping'!$A$2:$A$270,0)),"Not Mapped"))</f>
        <v>Un Mapped</v>
      </c>
      <c r="E128" s="18"/>
      <c r="F128" s="18"/>
      <c r="G128" s="18"/>
      <c r="H128" s="18" t="n">
        <v>2</v>
      </c>
      <c r="I128" s="18" t="n">
        <v>2</v>
      </c>
      <c r="J128" s="18" t="n">
        <v>0</v>
      </c>
      <c r="K128" s="18" t="n">
        <v>2</v>
      </c>
    </row>
    <row r="129" customFormat="false" ht="15.75" hidden="false" customHeight="false" outlineLevel="0" collapsed="false">
      <c r="B129" s="18" t="s">
        <v>287</v>
      </c>
      <c r="C129" s="14" t="str">
        <f aca="false">IF(B129="","",IFERROR(INDEX('CLM &amp; IM Mapping'!$B$2:$B$270,MATCH(TRIM(B129),'CLM &amp; IM Mapping'!$A$2:$A$270,0)),"Not Mapped"))</f>
        <v>Not Mapped</v>
      </c>
      <c r="D129" s="14" t="str">
        <f aca="false">IF(B129="","",IFERROR(INDEX('CLM &amp; IM Mapping'!$C$2:$C$270,MATCH(TRIM(B129),'CLM &amp; IM Mapping'!$A$2:$A$270,0)),"Not Mapped"))</f>
        <v>Not Mapped</v>
      </c>
      <c r="E129" s="18"/>
      <c r="F129" s="18"/>
      <c r="G129" s="18" t="n">
        <v>1</v>
      </c>
      <c r="H129" s="18" t="n">
        <v>1</v>
      </c>
      <c r="I129" s="18" t="n">
        <v>2</v>
      </c>
      <c r="J129" s="18" t="n">
        <v>0</v>
      </c>
      <c r="K129" s="18" t="n">
        <v>2</v>
      </c>
    </row>
    <row r="130" customFormat="false" ht="15.75" hidden="false" customHeight="false" outlineLevel="0" collapsed="false">
      <c r="B130" s="18" t="s">
        <v>191</v>
      </c>
      <c r="C130" s="14" t="str">
        <f aca="false">IF(B130="","",IFERROR(INDEX('CLM &amp; IM Mapping'!$B$2:$B$270,MATCH(TRIM(B130),'CLM &amp; IM Mapping'!$A$2:$A$270,0)),"Not Mapped"))</f>
        <v>Raghavendra Vernekar</v>
      </c>
      <c r="D130" s="14" t="str">
        <f aca="false">IF(B130="","",IFERROR(INDEX('CLM &amp; IM Mapping'!$C$2:$C$270,MATCH(TRIM(B130),'CLM &amp; IM Mapping'!$A$2:$A$270,0)),"Not Mapped"))</f>
        <v>Prakash BS</v>
      </c>
      <c r="E130" s="18"/>
      <c r="F130" s="18"/>
      <c r="G130" s="18" t="n">
        <v>1</v>
      </c>
      <c r="H130" s="18" t="n">
        <v>1</v>
      </c>
      <c r="I130" s="18" t="n">
        <v>0</v>
      </c>
      <c r="J130" s="18" t="n">
        <v>2</v>
      </c>
      <c r="K130" s="18" t="n">
        <v>2</v>
      </c>
    </row>
    <row r="131" customFormat="false" ht="15.75" hidden="false" customHeight="false" outlineLevel="0" collapsed="false">
      <c r="B131" s="18" t="s">
        <v>173</v>
      </c>
      <c r="C131" s="14" t="str">
        <f aca="false">IF(B131="","",IFERROR(INDEX('CLM &amp; IM Mapping'!$B$2:$B$270,MATCH(TRIM(B131),'CLM &amp; IM Mapping'!$A$2:$A$270,0)),"Not Mapped"))</f>
        <v>Saddam Hussain</v>
      </c>
      <c r="D131" s="14" t="str">
        <f aca="false">IF(B131="","",IFERROR(INDEX('CLM &amp; IM Mapping'!$C$2:$C$270,MATCH(TRIM(B131),'CLM &amp; IM Mapping'!$A$2:$A$270,0)),"Not Mapped"))</f>
        <v>Un Mapped</v>
      </c>
      <c r="E131" s="18"/>
      <c r="F131" s="18"/>
      <c r="G131" s="18"/>
      <c r="H131" s="18" t="n">
        <v>1</v>
      </c>
      <c r="I131" s="18" t="n">
        <v>1</v>
      </c>
      <c r="J131" s="18" t="n">
        <v>0</v>
      </c>
      <c r="K131" s="18" t="n">
        <v>1</v>
      </c>
    </row>
    <row r="132" customFormat="false" ht="15.75" hidden="false" customHeight="false" outlineLevel="0" collapsed="false">
      <c r="B132" s="18" t="s">
        <v>208</v>
      </c>
      <c r="C132" s="14" t="str">
        <f aca="false">IF(B132="","",IFERROR(INDEX('CLM &amp; IM Mapping'!$B$2:$B$270,MATCH(TRIM(B132),'CLM &amp; IM Mapping'!$A$2:$A$270,0)),"Not Mapped"))</f>
        <v>Bangareppa CS</v>
      </c>
      <c r="D132" s="14" t="str">
        <f aca="false">IF(B132="","",IFERROR(INDEX('CLM &amp; IM Mapping'!$C$2:$C$270,MATCH(TRIM(B132),'CLM &amp; IM Mapping'!$A$2:$A$270,0)),"Not Mapped"))</f>
        <v>Kishor K</v>
      </c>
      <c r="E132" s="18"/>
      <c r="F132" s="18"/>
      <c r="G132" s="18" t="n">
        <v>1</v>
      </c>
      <c r="H132" s="18"/>
      <c r="I132" s="18" t="n">
        <v>1</v>
      </c>
      <c r="J132" s="18" t="n">
        <v>0</v>
      </c>
      <c r="K132" s="18" t="n">
        <v>1</v>
      </c>
    </row>
    <row r="133" customFormat="false" ht="15.75" hidden="false" customHeight="false" outlineLevel="0" collapsed="false">
      <c r="B133" s="18" t="s">
        <v>28</v>
      </c>
      <c r="C133" s="14" t="str">
        <f aca="false">IF(B133="","",IFERROR(INDEX('CLM &amp; IM Mapping'!$B$2:$B$270,MATCH(TRIM(B133),'CLM &amp; IM Mapping'!$A$2:$A$270,0)),"Not Mapped"))</f>
        <v>Ravishankar gowda</v>
      </c>
      <c r="D133" s="14" t="str">
        <f aca="false">IF(B133="","",IFERROR(INDEX('CLM &amp; IM Mapping'!$C$2:$C$270,MATCH(TRIM(B133),'CLM &amp; IM Mapping'!$A$2:$A$270,0)),"Not Mapped"))</f>
        <v>Kishor K</v>
      </c>
      <c r="E133" s="18"/>
      <c r="F133" s="18"/>
      <c r="G133" s="18"/>
      <c r="H133" s="18" t="n">
        <v>1</v>
      </c>
      <c r="I133" s="18" t="n">
        <v>1</v>
      </c>
      <c r="J133" s="18" t="n">
        <v>0</v>
      </c>
      <c r="K133" s="18" t="n">
        <v>1</v>
      </c>
    </row>
    <row r="134" customFormat="false" ht="15.75" hidden="false" customHeight="false" outlineLevel="0" collapsed="false">
      <c r="B134" s="18" t="s">
        <v>41</v>
      </c>
      <c r="C134" s="14" t="str">
        <f aca="false">IF(B134="","",IFERROR(INDEX('CLM &amp; IM Mapping'!$B$2:$B$270,MATCH(TRIM(B134),'CLM &amp; IM Mapping'!$A$2:$A$270,0)),"Not Mapped"))</f>
        <v>Silambarasan E</v>
      </c>
      <c r="D134" s="14" t="str">
        <f aca="false">IF(B134="","",IFERROR(INDEX('CLM &amp; IM Mapping'!$C$2:$C$270,MATCH(TRIM(B134),'CLM &amp; IM Mapping'!$A$2:$A$270,0)),"Not Mapped"))</f>
        <v>Arivind S</v>
      </c>
      <c r="E134" s="18"/>
      <c r="F134" s="18"/>
      <c r="G134" s="18"/>
      <c r="H134" s="18" t="n">
        <v>1</v>
      </c>
      <c r="I134" s="18" t="n">
        <v>1</v>
      </c>
      <c r="J134" s="18" t="n">
        <v>0</v>
      </c>
      <c r="K134" s="18" t="n">
        <v>1</v>
      </c>
    </row>
    <row r="135" customFormat="false" ht="15.75" hidden="false" customHeight="false" outlineLevel="0" collapsed="false">
      <c r="B135" s="18" t="s">
        <v>116</v>
      </c>
      <c r="C135" s="14" t="str">
        <f aca="false">IF(B135="","",IFERROR(INDEX('CLM &amp; IM Mapping'!$B$2:$B$270,MATCH(TRIM(B135),'CLM &amp; IM Mapping'!$A$2:$A$270,0)),"Not Mapped"))</f>
        <v>Raghavendra Vernekar</v>
      </c>
      <c r="D135" s="14" t="str">
        <f aca="false">IF(B135="","",IFERROR(INDEX('CLM &amp; IM Mapping'!$C$2:$C$270,MATCH(TRIM(B135),'CLM &amp; IM Mapping'!$A$2:$A$270,0)),"Not Mapped"))</f>
        <v>Prakash BS</v>
      </c>
      <c r="E135" s="18"/>
      <c r="F135" s="18"/>
      <c r="G135" s="18" t="n">
        <v>1</v>
      </c>
      <c r="H135" s="18"/>
      <c r="I135" s="18" t="n">
        <v>0</v>
      </c>
      <c r="J135" s="18" t="n">
        <v>1</v>
      </c>
      <c r="K135" s="18" t="n">
        <v>1</v>
      </c>
    </row>
    <row r="136" customFormat="false" ht="15.75" hidden="false" customHeight="false" outlineLevel="0" collapsed="false">
      <c r="B136" s="18" t="s">
        <v>64</v>
      </c>
      <c r="C136" s="14" t="str">
        <f aca="false">IF(B136="","",IFERROR(INDEX('CLM &amp; IM Mapping'!$B$2:$B$270,MATCH(TRIM(B136),'CLM &amp; IM Mapping'!$A$2:$A$270,0)),"Not Mapped"))</f>
        <v>Akshay P</v>
      </c>
      <c r="D136" s="14" t="str">
        <f aca="false">IF(B136="","",IFERROR(INDEX('CLM &amp; IM Mapping'!$C$2:$C$270,MATCH(TRIM(B136),'CLM &amp; IM Mapping'!$A$2:$A$270,0)),"Not Mapped"))</f>
        <v>Srittam Dhal</v>
      </c>
      <c r="E136" s="18"/>
      <c r="F136" s="18"/>
      <c r="G136" s="18"/>
      <c r="H136" s="18" t="n">
        <v>1</v>
      </c>
      <c r="I136" s="18" t="n">
        <v>1</v>
      </c>
      <c r="J136" s="18" t="n">
        <v>0</v>
      </c>
      <c r="K136" s="18" t="n">
        <v>1</v>
      </c>
    </row>
    <row r="137" customFormat="false" ht="15.75" hidden="false" customHeight="false" outlineLevel="0" collapsed="false">
      <c r="B137" s="18" t="s">
        <v>148</v>
      </c>
      <c r="C137" s="14" t="str">
        <f aca="false">IF(B137="","",IFERROR(INDEX('CLM &amp; IM Mapping'!$B$2:$B$270,MATCH(TRIM(B137),'CLM &amp; IM Mapping'!$A$2:$A$270,0)),"Not Mapped"))</f>
        <v>Santhosha M</v>
      </c>
      <c r="D137" s="14" t="str">
        <f aca="false">IF(B137="","",IFERROR(INDEX('CLM &amp; IM Mapping'!$C$2:$C$270,MATCH(TRIM(B137),'CLM &amp; IM Mapping'!$A$2:$A$270,0)),"Not Mapped"))</f>
        <v>Aravind S</v>
      </c>
      <c r="E137" s="18"/>
      <c r="F137" s="18"/>
      <c r="G137" s="18"/>
      <c r="H137" s="18" t="n">
        <v>1</v>
      </c>
      <c r="I137" s="18" t="n">
        <v>0</v>
      </c>
      <c r="J137" s="18" t="n">
        <v>1</v>
      </c>
      <c r="K137" s="18" t="n">
        <v>1</v>
      </c>
    </row>
    <row r="138" customFormat="false" ht="15.75" hidden="false" customHeight="false" outlineLevel="0" collapsed="false">
      <c r="B138" s="18" t="s">
        <v>218</v>
      </c>
      <c r="C138" s="14" t="str">
        <f aca="false">IF(B138="","",IFERROR(INDEX('CLM &amp; IM Mapping'!$B$2:$B$270,MATCH(TRIM(B138),'CLM &amp; IM Mapping'!$A$2:$A$270,0)),"Not Mapped"))</f>
        <v>Akshay P</v>
      </c>
      <c r="D138" s="14" t="str">
        <f aca="false">IF(B138="","",IFERROR(INDEX('CLM &amp; IM Mapping'!$C$2:$C$270,MATCH(TRIM(B138),'CLM &amp; IM Mapping'!$A$2:$A$270,0)),"Not Mapped"))</f>
        <v>Srittam Dhal</v>
      </c>
      <c r="E138" s="18"/>
      <c r="F138" s="18"/>
      <c r="G138" s="18" t="n">
        <v>1</v>
      </c>
      <c r="H138" s="18"/>
      <c r="I138" s="18" t="n">
        <v>1</v>
      </c>
      <c r="J138" s="18" t="n">
        <v>0</v>
      </c>
      <c r="K138" s="18" t="n">
        <v>1</v>
      </c>
    </row>
    <row r="139" customFormat="false" ht="15.75" hidden="false" customHeight="false" outlineLevel="0" collapsed="false">
      <c r="B139" s="18" t="s">
        <v>166</v>
      </c>
      <c r="C139" s="14" t="str">
        <f aca="false">IF(B139="","",IFERROR(INDEX('CLM &amp; IM Mapping'!$B$2:$B$270,MATCH(TRIM(B139),'CLM &amp; IM Mapping'!$A$2:$A$270,0)),"Not Mapped"))</f>
        <v>Sundaresh S</v>
      </c>
      <c r="D139" s="14" t="str">
        <f aca="false">IF(B139="","",IFERROR(INDEX('CLM &amp; IM Mapping'!$C$2:$C$270,MATCH(TRIM(B139),'CLM &amp; IM Mapping'!$A$2:$A$270,0)),"Not Mapped"))</f>
        <v>Un Mapped</v>
      </c>
      <c r="E139" s="18"/>
      <c r="F139" s="18"/>
      <c r="G139" s="18"/>
      <c r="H139" s="18" t="n">
        <v>1</v>
      </c>
      <c r="I139" s="18" t="n">
        <v>0</v>
      </c>
      <c r="J139" s="18" t="n">
        <v>1</v>
      </c>
      <c r="K139" s="18" t="n">
        <v>1</v>
      </c>
    </row>
    <row r="140" customFormat="false" ht="15.75" hidden="false" customHeight="false" outlineLevel="0" collapsed="false">
      <c r="B140" s="18" t="s">
        <v>150</v>
      </c>
      <c r="C140" s="14" t="str">
        <f aca="false">IF(B140="","",IFERROR(INDEX('CLM &amp; IM Mapping'!$B$2:$B$270,MATCH(TRIM(B140),'CLM &amp; IM Mapping'!$A$2:$A$270,0)),"Not Mapped"))</f>
        <v>Manoj Kj</v>
      </c>
      <c r="D140" s="14" t="str">
        <f aca="false">IF(B140="","",IFERROR(INDEX('CLM &amp; IM Mapping'!$C$2:$C$270,MATCH(TRIM(B140),'CLM &amp; IM Mapping'!$A$2:$A$270,0)),"Not Mapped"))</f>
        <v>Srittam Dhal</v>
      </c>
      <c r="E140" s="18"/>
      <c r="F140" s="18"/>
      <c r="G140" s="18"/>
      <c r="H140" s="18" t="n">
        <v>1</v>
      </c>
      <c r="I140" s="18" t="n">
        <v>1</v>
      </c>
      <c r="J140" s="18" t="n">
        <v>0</v>
      </c>
      <c r="K140" s="18" t="n">
        <v>1</v>
      </c>
    </row>
    <row r="141" customFormat="false" ht="15.75" hidden="false" customHeight="false" outlineLevel="0" collapsed="false">
      <c r="B141" s="18" t="s">
        <v>89</v>
      </c>
      <c r="C141" s="14" t="str">
        <f aca="false">IF(B141="","",IFERROR(INDEX('CLM &amp; IM Mapping'!$B$2:$B$270,MATCH(TRIM(B141),'CLM &amp; IM Mapping'!$A$2:$A$270,0)),"Not Mapped"))</f>
        <v>Vishnu V</v>
      </c>
      <c r="D141" s="14" t="str">
        <f aca="false">IF(B141="","",IFERROR(INDEX('CLM &amp; IM Mapping'!$C$2:$C$270,MATCH(TRIM(B141),'CLM &amp; IM Mapping'!$A$2:$A$270,0)),"Not Mapped"))</f>
        <v>Arivind S</v>
      </c>
      <c r="E141" s="18"/>
      <c r="F141" s="18"/>
      <c r="G141" s="18"/>
      <c r="H141" s="18" t="n">
        <v>1</v>
      </c>
      <c r="I141" s="18" t="n">
        <v>0</v>
      </c>
      <c r="J141" s="18" t="n">
        <v>1</v>
      </c>
      <c r="K141" s="18" t="n">
        <v>1</v>
      </c>
    </row>
    <row r="142" customFormat="false" ht="15.75" hidden="false" customHeight="false" outlineLevel="0" collapsed="false">
      <c r="B142" s="18" t="s">
        <v>94</v>
      </c>
      <c r="C142" s="14" t="str">
        <f aca="false">IF(B142="","",IFERROR(INDEX('CLM &amp; IM Mapping'!$B$2:$B$270,MATCH(TRIM(B142),'CLM &amp; IM Mapping'!$A$2:$A$270,0)),"Not Mapped"))</f>
        <v>Raghavendra Vernekar</v>
      </c>
      <c r="D142" s="14" t="str">
        <f aca="false">IF(B142="","",IFERROR(INDEX('CLM &amp; IM Mapping'!$C$2:$C$270,MATCH(TRIM(B142),'CLM &amp; IM Mapping'!$A$2:$A$270,0)),"Not Mapped"))</f>
        <v>Prakash BS</v>
      </c>
      <c r="E142" s="18"/>
      <c r="F142" s="18"/>
      <c r="G142" s="18"/>
      <c r="H142" s="18" t="n">
        <v>1</v>
      </c>
      <c r="I142" s="18" t="n">
        <v>0</v>
      </c>
      <c r="J142" s="18" t="n">
        <v>1</v>
      </c>
      <c r="K142" s="18" t="n">
        <v>1</v>
      </c>
    </row>
    <row r="143" customFormat="false" ht="15.75" hidden="false" customHeight="false" outlineLevel="0" collapsed="false">
      <c r="B143" s="18" t="s">
        <v>105</v>
      </c>
      <c r="C143" s="14" t="str">
        <f aca="false">IF(B143="","",IFERROR(INDEX('CLM &amp; IM Mapping'!$B$2:$B$270,MATCH(TRIM(B143),'CLM &amp; IM Mapping'!$A$2:$A$270,0)),"Not Mapped"))</f>
        <v>Vijay M</v>
      </c>
      <c r="D143" s="14" t="str">
        <f aca="false">IF(B143="","",IFERROR(INDEX('CLM &amp; IM Mapping'!$C$2:$C$270,MATCH(TRIM(B143),'CLM &amp; IM Mapping'!$A$2:$A$270,0)),"Not Mapped"))</f>
        <v>Kantha Kumar</v>
      </c>
      <c r="E143" s="18"/>
      <c r="F143" s="18"/>
      <c r="G143" s="18"/>
      <c r="H143" s="18" t="n">
        <v>1</v>
      </c>
      <c r="I143" s="18" t="n">
        <v>1</v>
      </c>
      <c r="J143" s="18" t="n">
        <v>0</v>
      </c>
      <c r="K143" s="18" t="n">
        <v>1</v>
      </c>
    </row>
    <row r="144" customFormat="false" ht="15.75" hidden="false" customHeight="false" outlineLevel="0" collapsed="false">
      <c r="B144" s="18" t="s">
        <v>249</v>
      </c>
      <c r="C144" s="14" t="str">
        <f aca="false">IF(B144="","",IFERROR(INDEX('CLM &amp; IM Mapping'!$B$2:$B$270,MATCH(TRIM(B144),'CLM &amp; IM Mapping'!$A$2:$A$270,0)),"Not Mapped"))</f>
        <v>Manoj Kj</v>
      </c>
      <c r="D144" s="14" t="str">
        <f aca="false">IF(B144="","",IFERROR(INDEX('CLM &amp; IM Mapping'!$C$2:$C$270,MATCH(TRIM(B144),'CLM &amp; IM Mapping'!$A$2:$A$270,0)),"Not Mapped"))</f>
        <v>Srittam Dhal</v>
      </c>
      <c r="E144" s="18"/>
      <c r="F144" s="18"/>
      <c r="G144" s="18"/>
      <c r="H144" s="18" t="n">
        <v>1</v>
      </c>
      <c r="I144" s="18" t="n">
        <v>1</v>
      </c>
      <c r="J144" s="18" t="n">
        <v>0</v>
      </c>
      <c r="K144" s="18" t="n">
        <v>1</v>
      </c>
    </row>
    <row r="145" customFormat="false" ht="15.75" hidden="false" customHeight="false" outlineLevel="0" collapsed="false">
      <c r="B145" s="18" t="s">
        <v>54</v>
      </c>
      <c r="C145" s="14" t="str">
        <f aca="false">IF(B145="","",IFERROR(INDEX('CLM &amp; IM Mapping'!$B$2:$B$270,MATCH(TRIM(B145),'CLM &amp; IM Mapping'!$A$2:$A$270,0)),"Not Mapped"))</f>
        <v>Manoj Kj</v>
      </c>
      <c r="D145" s="14" t="str">
        <f aca="false">IF(B145="","",IFERROR(INDEX('CLM &amp; IM Mapping'!$C$2:$C$270,MATCH(TRIM(B145),'CLM &amp; IM Mapping'!$A$2:$A$270,0)),"Not Mapped"))</f>
        <v>Srittam Dhal</v>
      </c>
      <c r="E145" s="18"/>
      <c r="F145" s="18"/>
      <c r="G145" s="18"/>
      <c r="H145" s="18" t="n">
        <v>1</v>
      </c>
      <c r="I145" s="18" t="n">
        <v>1</v>
      </c>
      <c r="J145" s="18" t="n">
        <v>0</v>
      </c>
      <c r="K145" s="18" t="n">
        <v>1</v>
      </c>
    </row>
    <row r="146" customFormat="false" ht="15.75" hidden="false" customHeight="false" outlineLevel="0" collapsed="false">
      <c r="B146" s="18" t="s">
        <v>135</v>
      </c>
      <c r="C146" s="14" t="str">
        <f aca="false">IF(B146="","",IFERROR(INDEX('CLM &amp; IM Mapping'!$B$2:$B$270,MATCH(TRIM(B146),'CLM &amp; IM Mapping'!$A$2:$A$270,0)),"Not Mapped"))</f>
        <v>John Britto</v>
      </c>
      <c r="D146" s="14" t="str">
        <f aca="false">IF(B146="","",IFERROR(INDEX('CLM &amp; IM Mapping'!$C$2:$C$270,MATCH(TRIM(B146),'CLM &amp; IM Mapping'!$A$2:$A$270,0)),"Not Mapped"))</f>
        <v>Aravind S</v>
      </c>
      <c r="E146" s="18"/>
      <c r="F146" s="18"/>
      <c r="G146" s="18" t="n">
        <v>1</v>
      </c>
      <c r="H146" s="18"/>
      <c r="I146" s="18" t="n">
        <v>1</v>
      </c>
      <c r="J146" s="18" t="n">
        <v>0</v>
      </c>
      <c r="K146" s="18" t="n">
        <v>1</v>
      </c>
    </row>
    <row r="147" customFormat="false" ht="15.75" hidden="false" customHeight="false" outlineLevel="0" collapsed="false">
      <c r="B147" s="18" t="s">
        <v>240</v>
      </c>
      <c r="C147" s="14" t="str">
        <f aca="false">IF(B147="","",IFERROR(INDEX('CLM &amp; IM Mapping'!$B$2:$B$270,MATCH(TRIM(B147),'CLM &amp; IM Mapping'!$A$2:$A$270,0)),"Not Mapped"))</f>
        <v>Richard Harris</v>
      </c>
      <c r="D147" s="14" t="str">
        <f aca="false">IF(B147="","",IFERROR(INDEX('CLM &amp; IM Mapping'!$C$2:$C$270,MATCH(TRIM(B147),'CLM &amp; IM Mapping'!$A$2:$A$270,0)),"Not Mapped"))</f>
        <v>Kantha Kumar</v>
      </c>
      <c r="E147" s="18"/>
      <c r="F147" s="18"/>
      <c r="G147" s="18" t="n">
        <v>1</v>
      </c>
      <c r="H147" s="18"/>
      <c r="I147" s="18" t="n">
        <v>1</v>
      </c>
      <c r="J147" s="18" t="n">
        <v>0</v>
      </c>
      <c r="K147" s="18" t="n">
        <v>1</v>
      </c>
    </row>
    <row r="148" customFormat="false" ht="15.75" hidden="false" customHeight="false" outlineLevel="0" collapsed="false">
      <c r="B148" s="18" t="s">
        <v>192</v>
      </c>
      <c r="C148" s="14" t="str">
        <f aca="false">IF(B148="","",IFERROR(INDEX('CLM &amp; IM Mapping'!$B$2:$B$270,MATCH(TRIM(B148),'CLM &amp; IM Mapping'!$A$2:$A$270,0)),"Not Mapped"))</f>
        <v>Raghavendra Vernekar</v>
      </c>
      <c r="D148" s="14" t="str">
        <f aca="false">IF(B148="","",IFERROR(INDEX('CLM &amp; IM Mapping'!$C$2:$C$270,MATCH(TRIM(B148),'CLM &amp; IM Mapping'!$A$2:$A$270,0)),"Not Mapped"))</f>
        <v>Prakash BS</v>
      </c>
      <c r="E148" s="18"/>
      <c r="F148" s="18"/>
      <c r="G148" s="18" t="n">
        <v>1</v>
      </c>
      <c r="H148" s="18"/>
      <c r="I148" s="18" t="n">
        <v>1</v>
      </c>
      <c r="J148" s="18" t="n">
        <v>0</v>
      </c>
      <c r="K148" s="18" t="n">
        <v>1</v>
      </c>
    </row>
    <row r="149" customFormat="false" ht="15.75" hidden="false" customHeight="false" outlineLevel="0" collapsed="false">
      <c r="B149" s="18" t="s">
        <v>109</v>
      </c>
      <c r="C149" s="14" t="str">
        <f aca="false">IF(B149="","",IFERROR(INDEX('CLM &amp; IM Mapping'!$B$2:$B$270,MATCH(TRIM(B149),'CLM &amp; IM Mapping'!$A$2:$A$270,0)),"Not Mapped"))</f>
        <v>Akshay P</v>
      </c>
      <c r="D149" s="14" t="str">
        <f aca="false">IF(B149="","",IFERROR(INDEX('CLM &amp; IM Mapping'!$C$2:$C$270,MATCH(TRIM(B149),'CLM &amp; IM Mapping'!$A$2:$A$270,0)),"Not Mapped"))</f>
        <v>Srittam Dhal</v>
      </c>
      <c r="E149" s="18"/>
      <c r="F149" s="18"/>
      <c r="G149" s="18"/>
      <c r="H149" s="18" t="n">
        <v>1</v>
      </c>
      <c r="I149" s="18" t="n">
        <v>1</v>
      </c>
      <c r="J149" s="18" t="n">
        <v>0</v>
      </c>
      <c r="K149" s="18" t="n">
        <v>1</v>
      </c>
    </row>
    <row r="150" customFormat="false" ht="15.75" hidden="false" customHeight="false" outlineLevel="0" collapsed="false">
      <c r="B150" s="18" t="s">
        <v>91</v>
      </c>
      <c r="C150" s="14" t="str">
        <f aca="false">IF(B150="","",IFERROR(INDEX('CLM &amp; IM Mapping'!$B$2:$B$270,MATCH(TRIM(B150),'CLM &amp; IM Mapping'!$A$2:$A$270,0)),"Not Mapped"))</f>
        <v>Manoj Kj</v>
      </c>
      <c r="D150" s="14" t="str">
        <f aca="false">IF(B150="","",IFERROR(INDEX('CLM &amp; IM Mapping'!$C$2:$C$270,MATCH(TRIM(B150),'CLM &amp; IM Mapping'!$A$2:$A$270,0)),"Not Mapped"))</f>
        <v>Srittam Dhal</v>
      </c>
      <c r="E150" s="18"/>
      <c r="F150" s="18"/>
      <c r="G150" s="18" t="n">
        <v>1</v>
      </c>
      <c r="H150" s="18"/>
      <c r="I150" s="18" t="n">
        <v>1</v>
      </c>
      <c r="J150" s="18" t="n">
        <v>0</v>
      </c>
      <c r="K150" s="18" t="n">
        <v>1</v>
      </c>
    </row>
    <row r="151" customFormat="false" ht="15.75" hidden="false" customHeight="false" outlineLevel="0" collapsed="false">
      <c r="B151" s="18" t="s">
        <v>115</v>
      </c>
      <c r="C151" s="14" t="str">
        <f aca="false">IF(B151="","",IFERROR(INDEX('CLM &amp; IM Mapping'!$B$2:$B$270,MATCH(TRIM(B151),'CLM &amp; IM Mapping'!$A$2:$A$270,0)),"Not Mapped"))</f>
        <v>Bangareppa CS</v>
      </c>
      <c r="D151" s="14" t="str">
        <f aca="false">IF(B151="","",IFERROR(INDEX('CLM &amp; IM Mapping'!$C$2:$C$270,MATCH(TRIM(B151),'CLM &amp; IM Mapping'!$A$2:$A$270,0)),"Not Mapped"))</f>
        <v>Kishor K</v>
      </c>
      <c r="E151" s="18"/>
      <c r="F151" s="18"/>
      <c r="G151" s="18"/>
      <c r="H151" s="18" t="n">
        <v>1</v>
      </c>
      <c r="I151" s="18" t="n">
        <v>0</v>
      </c>
      <c r="J151" s="18" t="n">
        <v>1</v>
      </c>
      <c r="K151" s="18" t="n">
        <v>1</v>
      </c>
    </row>
    <row r="152" customFormat="false" ht="15.75" hidden="false" customHeight="false" outlineLevel="0" collapsed="false">
      <c r="B152" s="30"/>
      <c r="E152" s="30"/>
      <c r="F152" s="30"/>
      <c r="G152" s="30"/>
      <c r="H152" s="30"/>
      <c r="I152" s="30"/>
      <c r="J152" s="30"/>
      <c r="K152" s="30"/>
    </row>
    <row r="153" customFormat="false" ht="15.75" hidden="false" customHeight="false" outlineLevel="0" collapsed="false">
      <c r="B153" s="30"/>
      <c r="E153" s="30"/>
      <c r="F153" s="30"/>
      <c r="G153" s="30"/>
      <c r="H153" s="30"/>
      <c r="I153" s="30"/>
      <c r="J153" s="30"/>
      <c r="K153" s="30"/>
    </row>
    <row r="154" customFormat="false" ht="15.75" hidden="false" customHeight="false" outlineLevel="0" collapsed="false">
      <c r="B154" s="30"/>
      <c r="E154" s="30"/>
      <c r="F154" s="30"/>
      <c r="G154" s="30"/>
      <c r="H154" s="30"/>
      <c r="I154" s="30"/>
      <c r="J154" s="30"/>
      <c r="K154" s="30"/>
    </row>
    <row r="155" customFormat="false" ht="15.75" hidden="false" customHeight="false" outlineLevel="0" collapsed="false">
      <c r="B155" s="30"/>
      <c r="E155" s="30"/>
      <c r="F155" s="30"/>
      <c r="G155" s="30"/>
      <c r="H155" s="30"/>
      <c r="I155" s="30"/>
      <c r="J155" s="30"/>
      <c r="K155" s="30"/>
    </row>
    <row r="156" customFormat="false" ht="15.75" hidden="false" customHeight="false" outlineLevel="0" collapsed="false">
      <c r="B156" s="30"/>
      <c r="E156" s="30"/>
      <c r="F156" s="30"/>
      <c r="G156" s="30"/>
      <c r="H156" s="30"/>
      <c r="I156" s="30"/>
      <c r="J156" s="30"/>
      <c r="K156" s="30"/>
    </row>
    <row r="157" customFormat="false" ht="15.75" hidden="false" customHeight="false" outlineLevel="0" collapsed="false">
      <c r="B157" s="30"/>
      <c r="E157" s="30"/>
      <c r="F157" s="30"/>
      <c r="G157" s="30"/>
      <c r="H157" s="30"/>
      <c r="I157" s="30"/>
      <c r="J157" s="30"/>
      <c r="K157" s="30"/>
    </row>
    <row r="158" customFormat="false" ht="15.75" hidden="false" customHeight="false" outlineLevel="0" collapsed="false">
      <c r="B158" s="30"/>
      <c r="E158" s="30"/>
      <c r="F158" s="30"/>
      <c r="G158" s="30"/>
      <c r="H158" s="30"/>
      <c r="I158" s="30"/>
      <c r="J158" s="30"/>
      <c r="K158" s="30"/>
    </row>
    <row r="159" customFormat="false" ht="15.75" hidden="false" customHeight="false" outlineLevel="0" collapsed="false">
      <c r="B159" s="30"/>
      <c r="E159" s="30"/>
      <c r="F159" s="30"/>
      <c r="G159" s="30"/>
      <c r="H159" s="30"/>
      <c r="I159" s="30"/>
      <c r="J159" s="30"/>
      <c r="K159" s="30"/>
    </row>
    <row r="160" customFormat="false" ht="15.75" hidden="false" customHeight="false" outlineLevel="0" collapsed="false">
      <c r="B160" s="30"/>
      <c r="E160" s="30"/>
      <c r="F160" s="30"/>
      <c r="G160" s="30"/>
      <c r="H160" s="30"/>
      <c r="I160" s="30"/>
      <c r="J160" s="30"/>
      <c r="K160" s="30"/>
    </row>
    <row r="161" customFormat="false" ht="15.75" hidden="false" customHeight="false" outlineLevel="0" collapsed="false">
      <c r="B161" s="30"/>
      <c r="E161" s="30"/>
      <c r="F161" s="30"/>
      <c r="G161" s="30"/>
      <c r="H161" s="30"/>
      <c r="I161" s="30"/>
      <c r="J161" s="30"/>
      <c r="K161" s="30"/>
    </row>
    <row r="162" customFormat="false" ht="15.75" hidden="false" customHeight="false" outlineLevel="0" collapsed="false">
      <c r="B162" s="30"/>
      <c r="E162" s="30"/>
      <c r="F162" s="30"/>
      <c r="G162" s="30"/>
      <c r="H162" s="30"/>
      <c r="I162" s="30"/>
      <c r="J162" s="30"/>
      <c r="K162" s="30"/>
    </row>
    <row r="163" customFormat="false" ht="15.75" hidden="false" customHeight="false" outlineLevel="0" collapsed="false">
      <c r="B163" s="30"/>
      <c r="E163" s="30"/>
      <c r="F163" s="30"/>
      <c r="G163" s="30"/>
      <c r="H163" s="30"/>
      <c r="I163" s="30"/>
      <c r="J163" s="30"/>
      <c r="K163" s="30"/>
    </row>
    <row r="164" customFormat="false" ht="15.75" hidden="false" customHeight="false" outlineLevel="0" collapsed="false">
      <c r="B164" s="30"/>
      <c r="E164" s="30"/>
      <c r="F164" s="30"/>
      <c r="G164" s="30"/>
      <c r="H164" s="30"/>
      <c r="I164" s="30"/>
      <c r="J164" s="30"/>
      <c r="K164" s="30"/>
    </row>
    <row r="165" customFormat="false" ht="15.75" hidden="false" customHeight="false" outlineLevel="0" collapsed="false">
      <c r="B165" s="30"/>
      <c r="E165" s="30"/>
      <c r="F165" s="30"/>
      <c r="G165" s="30"/>
      <c r="H165" s="30"/>
      <c r="I165" s="30"/>
      <c r="J165" s="30"/>
      <c r="K165" s="30"/>
    </row>
    <row r="166" customFormat="false" ht="15.75" hidden="false" customHeight="false" outlineLevel="0" collapsed="false">
      <c r="B166" s="30"/>
      <c r="E166" s="30"/>
      <c r="F166" s="30"/>
      <c r="G166" s="30"/>
      <c r="H166" s="30"/>
      <c r="I166" s="30"/>
      <c r="J166" s="30"/>
      <c r="K166" s="30"/>
    </row>
    <row r="167" customFormat="false" ht="15.75" hidden="false" customHeight="false" outlineLevel="0" collapsed="false">
      <c r="B167" s="30"/>
      <c r="E167" s="30"/>
      <c r="F167" s="30"/>
      <c r="G167" s="30"/>
      <c r="H167" s="30"/>
      <c r="I167" s="30"/>
      <c r="J167" s="30"/>
      <c r="K167" s="30"/>
    </row>
    <row r="168" customFormat="false" ht="15.75" hidden="false" customHeight="false" outlineLevel="0" collapsed="false">
      <c r="B168" s="30"/>
      <c r="E168" s="30"/>
      <c r="F168" s="30"/>
      <c r="G168" s="30"/>
      <c r="H168" s="30"/>
      <c r="I168" s="30"/>
      <c r="J168" s="30"/>
      <c r="K168" s="30"/>
    </row>
    <row r="169" customFormat="false" ht="15.75" hidden="false" customHeight="false" outlineLevel="0" collapsed="false">
      <c r="B169" s="30"/>
      <c r="E169" s="30"/>
      <c r="F169" s="30"/>
      <c r="G169" s="30"/>
      <c r="H169" s="30"/>
      <c r="I169" s="30"/>
      <c r="J169" s="30"/>
      <c r="K169" s="30"/>
    </row>
    <row r="170" customFormat="false" ht="15.75" hidden="false" customHeight="false" outlineLevel="0" collapsed="false">
      <c r="B170" s="30"/>
      <c r="E170" s="30"/>
      <c r="F170" s="30"/>
      <c r="G170" s="30"/>
      <c r="H170" s="30"/>
      <c r="I170" s="30"/>
      <c r="J170" s="30"/>
      <c r="K170" s="30"/>
    </row>
    <row r="171" customFormat="false" ht="15.75" hidden="false" customHeight="false" outlineLevel="0" collapsed="false">
      <c r="B171" s="30"/>
      <c r="E171" s="30"/>
      <c r="F171" s="30"/>
      <c r="G171" s="30"/>
      <c r="H171" s="30"/>
      <c r="I171" s="30"/>
      <c r="J171" s="30"/>
      <c r="K171" s="30"/>
    </row>
    <row r="172" customFormat="false" ht="15.75" hidden="false" customHeight="false" outlineLevel="0" collapsed="false">
      <c r="B172" s="30"/>
      <c r="E172" s="30"/>
      <c r="F172" s="30"/>
      <c r="G172" s="30"/>
      <c r="H172" s="30"/>
      <c r="I172" s="30"/>
      <c r="J172" s="30"/>
      <c r="K172" s="30"/>
    </row>
    <row r="173" customFormat="false" ht="15.75" hidden="false" customHeight="false" outlineLevel="0" collapsed="false">
      <c r="B173" s="30"/>
      <c r="E173" s="30"/>
      <c r="F173" s="30"/>
      <c r="G173" s="30"/>
      <c r="H173" s="30"/>
      <c r="I173" s="30"/>
      <c r="J173" s="30"/>
      <c r="K173" s="30"/>
    </row>
    <row r="174" customFormat="false" ht="15.75" hidden="false" customHeight="false" outlineLevel="0" collapsed="false">
      <c r="B174" s="30"/>
      <c r="E174" s="30"/>
      <c r="F174" s="30"/>
      <c r="G174" s="30"/>
      <c r="H174" s="30"/>
      <c r="I174" s="30"/>
      <c r="J174" s="30"/>
      <c r="K174" s="30"/>
    </row>
    <row r="175" customFormat="false" ht="15.75" hidden="false" customHeight="false" outlineLevel="0" collapsed="false">
      <c r="B175" s="30"/>
      <c r="E175" s="30"/>
      <c r="F175" s="30"/>
      <c r="G175" s="30"/>
      <c r="H175" s="30"/>
      <c r="I175" s="30"/>
      <c r="J175" s="30"/>
      <c r="K175" s="30"/>
    </row>
    <row r="176" customFormat="false" ht="15.75" hidden="false" customHeight="false" outlineLevel="0" collapsed="false">
      <c r="B176" s="30"/>
      <c r="E176" s="30"/>
      <c r="F176" s="30"/>
      <c r="G176" s="30"/>
      <c r="H176" s="30"/>
      <c r="I176" s="30"/>
      <c r="J176" s="30"/>
      <c r="K176" s="30"/>
    </row>
    <row r="177" customFormat="false" ht="15.75" hidden="false" customHeight="false" outlineLevel="0" collapsed="false">
      <c r="B177" s="30"/>
      <c r="E177" s="30"/>
      <c r="F177" s="30"/>
      <c r="G177" s="30"/>
      <c r="H177" s="30"/>
      <c r="I177" s="30"/>
      <c r="J177" s="30"/>
      <c r="K177" s="30"/>
    </row>
    <row r="178" customFormat="false" ht="15.75" hidden="false" customHeight="false" outlineLevel="0" collapsed="false">
      <c r="B178" s="30"/>
      <c r="E178" s="30"/>
      <c r="F178" s="30"/>
      <c r="G178" s="30"/>
      <c r="H178" s="30"/>
      <c r="I178" s="30"/>
      <c r="J178" s="30"/>
      <c r="K178" s="30"/>
    </row>
    <row r="179" customFormat="false" ht="15.75" hidden="false" customHeight="false" outlineLevel="0" collapsed="false">
      <c r="B179" s="30"/>
      <c r="E179" s="30"/>
      <c r="F179" s="30"/>
      <c r="G179" s="30"/>
      <c r="H179" s="30"/>
      <c r="I179" s="30"/>
      <c r="J179" s="30"/>
      <c r="K179" s="30"/>
    </row>
    <row r="180" customFormat="false" ht="15.75" hidden="false" customHeight="false" outlineLevel="0" collapsed="false">
      <c r="B180" s="30"/>
      <c r="E180" s="30"/>
      <c r="F180" s="30"/>
      <c r="G180" s="30"/>
      <c r="H180" s="30"/>
      <c r="I180" s="30"/>
      <c r="J180" s="30"/>
      <c r="K180" s="30"/>
    </row>
    <row r="181" customFormat="false" ht="15.75" hidden="false" customHeight="false" outlineLevel="0" collapsed="false">
      <c r="B181" s="30"/>
      <c r="E181" s="30"/>
      <c r="F181" s="30"/>
      <c r="G181" s="30"/>
      <c r="H181" s="30"/>
      <c r="I181" s="30"/>
      <c r="J181" s="30"/>
      <c r="K181" s="30"/>
    </row>
    <row r="182" customFormat="false" ht="15.75" hidden="false" customHeight="false" outlineLevel="0" collapsed="false">
      <c r="B182" s="30"/>
      <c r="E182" s="30"/>
      <c r="F182" s="30"/>
      <c r="G182" s="30"/>
      <c r="H182" s="30"/>
      <c r="I182" s="30"/>
      <c r="J182" s="30"/>
      <c r="K182" s="30"/>
    </row>
    <row r="183" customFormat="false" ht="15.75" hidden="false" customHeight="false" outlineLevel="0" collapsed="false">
      <c r="B183" s="30"/>
      <c r="E183" s="30"/>
      <c r="F183" s="30"/>
      <c r="G183" s="30"/>
      <c r="H183" s="30"/>
      <c r="I183" s="30"/>
      <c r="J183" s="30"/>
      <c r="K183" s="30"/>
    </row>
    <row r="184" customFormat="false" ht="15.75" hidden="false" customHeight="false" outlineLevel="0" collapsed="false">
      <c r="B184" s="30"/>
      <c r="E184" s="30"/>
      <c r="F184" s="30"/>
      <c r="G184" s="30"/>
      <c r="H184" s="30"/>
      <c r="I184" s="30"/>
      <c r="J184" s="30"/>
      <c r="K184" s="30"/>
    </row>
    <row r="185" customFormat="false" ht="15.75" hidden="false" customHeight="false" outlineLevel="0" collapsed="false">
      <c r="B185" s="30"/>
      <c r="E185" s="30"/>
      <c r="F185" s="30"/>
      <c r="G185" s="30"/>
      <c r="H185" s="30"/>
      <c r="I185" s="30"/>
      <c r="J185" s="30"/>
      <c r="K185" s="30"/>
    </row>
    <row r="186" customFormat="false" ht="15.75" hidden="false" customHeight="false" outlineLevel="0" collapsed="false">
      <c r="B186" s="30"/>
      <c r="E186" s="30"/>
      <c r="F186" s="30"/>
      <c r="G186" s="30"/>
      <c r="H186" s="30"/>
      <c r="I186" s="30"/>
      <c r="J186" s="30"/>
      <c r="K186" s="30"/>
    </row>
    <row r="187" customFormat="false" ht="15.75" hidden="false" customHeight="false" outlineLevel="0" collapsed="false">
      <c r="B187" s="30"/>
      <c r="E187" s="30"/>
      <c r="F187" s="30"/>
      <c r="G187" s="30"/>
      <c r="H187" s="30"/>
      <c r="I187" s="30"/>
      <c r="J187" s="30"/>
      <c r="K187" s="30"/>
    </row>
    <row r="188" customFormat="false" ht="15.75" hidden="false" customHeight="false" outlineLevel="0" collapsed="false">
      <c r="B188" s="30"/>
      <c r="E188" s="30"/>
      <c r="F188" s="30"/>
      <c r="G188" s="30"/>
      <c r="H188" s="30"/>
      <c r="I188" s="30"/>
      <c r="J188" s="30"/>
      <c r="K188" s="30"/>
    </row>
    <row r="189" customFormat="false" ht="15.75" hidden="false" customHeight="false" outlineLevel="0" collapsed="false">
      <c r="B189" s="30"/>
      <c r="E189" s="30"/>
      <c r="F189" s="30"/>
      <c r="G189" s="30"/>
      <c r="H189" s="30"/>
      <c r="I189" s="30"/>
      <c r="J189" s="30"/>
      <c r="K189" s="30"/>
    </row>
    <row r="190" customFormat="false" ht="15.75" hidden="false" customHeight="false" outlineLevel="0" collapsed="false">
      <c r="B190" s="30"/>
      <c r="E190" s="30"/>
      <c r="F190" s="30"/>
      <c r="G190" s="30"/>
      <c r="H190" s="30"/>
      <c r="I190" s="30"/>
      <c r="J190" s="30"/>
      <c r="K190" s="30"/>
    </row>
    <row r="191" customFormat="false" ht="15.75" hidden="false" customHeight="false" outlineLevel="0" collapsed="false">
      <c r="B191" s="30"/>
      <c r="E191" s="30"/>
      <c r="F191" s="30"/>
      <c r="G191" s="30"/>
      <c r="H191" s="30"/>
      <c r="I191" s="30"/>
      <c r="J191" s="30"/>
      <c r="K191" s="30"/>
    </row>
    <row r="192" customFormat="false" ht="15.75" hidden="false" customHeight="false" outlineLevel="0" collapsed="false">
      <c r="B192" s="30"/>
      <c r="E192" s="30"/>
      <c r="F192" s="30"/>
      <c r="G192" s="30"/>
      <c r="H192" s="30"/>
      <c r="I192" s="30"/>
      <c r="J192" s="30"/>
      <c r="K192" s="30"/>
    </row>
    <row r="193" customFormat="false" ht="15.75" hidden="false" customHeight="false" outlineLevel="0" collapsed="false">
      <c r="B193" s="30"/>
      <c r="E193" s="30"/>
      <c r="F193" s="30"/>
      <c r="G193" s="30"/>
      <c r="H193" s="30"/>
      <c r="I193" s="30"/>
      <c r="J193" s="30"/>
      <c r="K193" s="30"/>
    </row>
    <row r="194" customFormat="false" ht="15.75" hidden="false" customHeight="false" outlineLevel="0" collapsed="false">
      <c r="B194" s="30"/>
      <c r="E194" s="30"/>
      <c r="F194" s="30"/>
      <c r="G194" s="30"/>
      <c r="H194" s="30"/>
      <c r="I194" s="30"/>
      <c r="J194" s="30"/>
      <c r="K194" s="30"/>
    </row>
    <row r="195" customFormat="false" ht="15.75" hidden="false" customHeight="false" outlineLevel="0" collapsed="false">
      <c r="B195" s="30"/>
      <c r="E195" s="30"/>
      <c r="F195" s="30"/>
      <c r="G195" s="30"/>
      <c r="H195" s="30"/>
      <c r="I195" s="30"/>
      <c r="J195" s="30"/>
      <c r="K195" s="30"/>
    </row>
    <row r="196" customFormat="false" ht="15.75" hidden="false" customHeight="false" outlineLevel="0" collapsed="false">
      <c r="B196" s="30"/>
      <c r="E196" s="30"/>
      <c r="F196" s="30"/>
      <c r="G196" s="30"/>
      <c r="H196" s="30"/>
      <c r="I196" s="30"/>
      <c r="J196" s="30"/>
      <c r="K196" s="30"/>
    </row>
    <row r="197" customFormat="false" ht="15.75" hidden="false" customHeight="false" outlineLevel="0" collapsed="false">
      <c r="B197" s="30"/>
      <c r="E197" s="30"/>
      <c r="F197" s="30"/>
      <c r="G197" s="30"/>
      <c r="H197" s="30"/>
      <c r="I197" s="30"/>
      <c r="J197" s="30"/>
      <c r="K197" s="30"/>
    </row>
    <row r="198" customFormat="false" ht="15.75" hidden="false" customHeight="false" outlineLevel="0" collapsed="false">
      <c r="B198" s="30"/>
      <c r="E198" s="30"/>
      <c r="F198" s="30"/>
      <c r="G198" s="30"/>
      <c r="H198" s="30"/>
      <c r="I198" s="30"/>
      <c r="J198" s="30"/>
      <c r="K198" s="30"/>
    </row>
    <row r="199" customFormat="false" ht="15.75" hidden="false" customHeight="false" outlineLevel="0" collapsed="false">
      <c r="B199" s="30"/>
      <c r="E199" s="30"/>
      <c r="F199" s="30"/>
      <c r="G199" s="30"/>
      <c r="H199" s="30"/>
      <c r="I199" s="30"/>
      <c r="J199" s="30"/>
      <c r="K199" s="30"/>
    </row>
    <row r="200" customFormat="false" ht="15.75" hidden="false" customHeight="false" outlineLevel="0" collapsed="false">
      <c r="B200" s="30"/>
      <c r="E200" s="30"/>
      <c r="F200" s="30"/>
      <c r="G200" s="30"/>
      <c r="H200" s="30"/>
      <c r="I200" s="30"/>
      <c r="J200" s="30"/>
      <c r="K200" s="30"/>
    </row>
    <row r="201" customFormat="false" ht="15.75" hidden="false" customHeight="false" outlineLevel="0" collapsed="false">
      <c r="B201" s="30"/>
      <c r="E201" s="30"/>
      <c r="F201" s="30"/>
      <c r="G201" s="30"/>
      <c r="H201" s="30"/>
      <c r="I201" s="30"/>
      <c r="J201" s="30"/>
      <c r="K201" s="30"/>
    </row>
    <row r="202" customFormat="false" ht="15.75" hidden="false" customHeight="false" outlineLevel="0" collapsed="false">
      <c r="B202" s="30"/>
      <c r="E202" s="30"/>
      <c r="F202" s="30"/>
      <c r="G202" s="30"/>
      <c r="H202" s="30"/>
      <c r="I202" s="30"/>
      <c r="J202" s="30"/>
      <c r="K202" s="30"/>
    </row>
    <row r="203" customFormat="false" ht="15.75" hidden="false" customHeight="false" outlineLevel="0" collapsed="false">
      <c r="B203" s="30"/>
      <c r="E203" s="30"/>
      <c r="F203" s="30"/>
      <c r="G203" s="30"/>
      <c r="H203" s="30"/>
      <c r="I203" s="30"/>
      <c r="J203" s="30"/>
      <c r="K203" s="30"/>
    </row>
    <row r="204" customFormat="false" ht="15.75" hidden="false" customHeight="false" outlineLevel="0" collapsed="false">
      <c r="B204" s="30"/>
      <c r="E204" s="30"/>
      <c r="F204" s="30"/>
      <c r="G204" s="30"/>
      <c r="H204" s="30"/>
      <c r="I204" s="30"/>
      <c r="J204" s="30"/>
      <c r="K204" s="30"/>
    </row>
    <row r="205" customFormat="false" ht="15.75" hidden="false" customHeight="false" outlineLevel="0" collapsed="false">
      <c r="B205" s="30"/>
      <c r="E205" s="30"/>
      <c r="F205" s="30"/>
      <c r="G205" s="30"/>
      <c r="H205" s="30"/>
      <c r="I205" s="30"/>
      <c r="J205" s="30"/>
      <c r="K205" s="30"/>
    </row>
    <row r="206" customFormat="false" ht="15.75" hidden="false" customHeight="false" outlineLevel="0" collapsed="false">
      <c r="B206" s="30"/>
      <c r="E206" s="30"/>
      <c r="F206" s="30"/>
      <c r="G206" s="30"/>
      <c r="H206" s="30"/>
      <c r="I206" s="30"/>
      <c r="J206" s="30"/>
      <c r="K206" s="30"/>
    </row>
    <row r="207" customFormat="false" ht="15.75" hidden="false" customHeight="false" outlineLevel="0" collapsed="false">
      <c r="B207" s="30"/>
      <c r="E207" s="30"/>
      <c r="F207" s="30"/>
      <c r="G207" s="30"/>
      <c r="H207" s="30"/>
      <c r="I207" s="30"/>
      <c r="J207" s="30"/>
      <c r="K207" s="30"/>
    </row>
    <row r="208" customFormat="false" ht="15.75" hidden="false" customHeight="false" outlineLevel="0" collapsed="false">
      <c r="B208" s="30"/>
      <c r="E208" s="30"/>
      <c r="F208" s="30"/>
      <c r="G208" s="30"/>
      <c r="H208" s="30"/>
      <c r="I208" s="30"/>
      <c r="J208" s="30"/>
      <c r="K208" s="30"/>
    </row>
    <row r="209" customFormat="false" ht="15.75" hidden="false" customHeight="false" outlineLevel="0" collapsed="false">
      <c r="B209" s="30"/>
      <c r="E209" s="30"/>
      <c r="F209" s="30"/>
      <c r="G209" s="30"/>
      <c r="H209" s="30"/>
      <c r="I209" s="30"/>
      <c r="J209" s="30"/>
      <c r="K209" s="30"/>
    </row>
    <row r="210" customFormat="false" ht="15.75" hidden="false" customHeight="false" outlineLevel="0" collapsed="false">
      <c r="B210" s="30"/>
      <c r="E210" s="30"/>
      <c r="F210" s="30"/>
      <c r="G210" s="30"/>
      <c r="H210" s="30"/>
      <c r="I210" s="30"/>
      <c r="J210" s="30"/>
      <c r="K210" s="30"/>
    </row>
    <row r="211" customFormat="false" ht="15.75" hidden="false" customHeight="false" outlineLevel="0" collapsed="false">
      <c r="B211" s="30"/>
      <c r="E211" s="30"/>
      <c r="F211" s="30"/>
      <c r="G211" s="30"/>
      <c r="H211" s="30"/>
      <c r="I211" s="30"/>
      <c r="J211" s="30"/>
      <c r="K211" s="30"/>
    </row>
    <row r="212" customFormat="false" ht="15.75" hidden="false" customHeight="false" outlineLevel="0" collapsed="false">
      <c r="B212" s="30"/>
      <c r="E212" s="30"/>
      <c r="F212" s="30"/>
      <c r="G212" s="30"/>
      <c r="H212" s="30"/>
      <c r="I212" s="30"/>
      <c r="J212" s="30"/>
      <c r="K212" s="30"/>
    </row>
    <row r="213" customFormat="false" ht="15.75" hidden="false" customHeight="false" outlineLevel="0" collapsed="false">
      <c r="B213" s="30"/>
      <c r="E213" s="30"/>
      <c r="F213" s="30"/>
      <c r="G213" s="30"/>
      <c r="H213" s="30"/>
      <c r="I213" s="30"/>
      <c r="J213" s="30"/>
      <c r="K213" s="30"/>
    </row>
    <row r="214" customFormat="false" ht="15.75" hidden="false" customHeight="false" outlineLevel="0" collapsed="false">
      <c r="B214" s="30"/>
      <c r="E214" s="30"/>
      <c r="F214" s="30"/>
      <c r="G214" s="30"/>
      <c r="H214" s="30"/>
      <c r="I214" s="30"/>
      <c r="J214" s="30"/>
      <c r="K214" s="30"/>
    </row>
    <row r="215" customFormat="false" ht="15.75" hidden="false" customHeight="false" outlineLevel="0" collapsed="false">
      <c r="B215" s="30"/>
      <c r="E215" s="30"/>
      <c r="F215" s="30"/>
      <c r="G215" s="30"/>
      <c r="H215" s="30"/>
      <c r="I215" s="30"/>
      <c r="J215" s="30"/>
      <c r="K215" s="30"/>
    </row>
    <row r="216" customFormat="false" ht="15.75" hidden="false" customHeight="false" outlineLevel="0" collapsed="false">
      <c r="B216" s="30"/>
      <c r="E216" s="30"/>
      <c r="F216" s="30"/>
      <c r="G216" s="30"/>
      <c r="H216" s="30"/>
      <c r="I216" s="30"/>
      <c r="J216" s="30"/>
      <c r="K216" s="30"/>
    </row>
    <row r="217" customFormat="false" ht="15.75" hidden="false" customHeight="false" outlineLevel="0" collapsed="false">
      <c r="B217" s="30"/>
      <c r="E217" s="30"/>
      <c r="F217" s="30"/>
      <c r="G217" s="30"/>
      <c r="H217" s="30"/>
      <c r="I217" s="30"/>
      <c r="J217" s="30"/>
      <c r="K217" s="30"/>
    </row>
    <row r="218" customFormat="false" ht="15.75" hidden="false" customHeight="false" outlineLevel="0" collapsed="false">
      <c r="B218" s="30"/>
      <c r="E218" s="30"/>
      <c r="F218" s="30"/>
      <c r="G218" s="30"/>
      <c r="H218" s="30"/>
      <c r="I218" s="30"/>
      <c r="J218" s="30"/>
      <c r="K218" s="30"/>
    </row>
    <row r="219" customFormat="false" ht="15.75" hidden="false" customHeight="false" outlineLevel="0" collapsed="false">
      <c r="B219" s="30"/>
      <c r="E219" s="30"/>
      <c r="F219" s="30"/>
      <c r="G219" s="30"/>
      <c r="H219" s="30"/>
      <c r="I219" s="30"/>
      <c r="J219" s="30"/>
      <c r="K219" s="30"/>
    </row>
    <row r="220" customFormat="false" ht="15.75" hidden="false" customHeight="false" outlineLevel="0" collapsed="false">
      <c r="B220" s="30"/>
      <c r="E220" s="30"/>
      <c r="F220" s="30"/>
      <c r="G220" s="30"/>
      <c r="H220" s="30"/>
      <c r="I220" s="30"/>
      <c r="J220" s="30"/>
      <c r="K220" s="30"/>
    </row>
    <row r="221" customFormat="false" ht="15.75" hidden="false" customHeight="false" outlineLevel="0" collapsed="false">
      <c r="B221" s="30"/>
      <c r="E221" s="30"/>
      <c r="F221" s="30"/>
      <c r="G221" s="30"/>
      <c r="H221" s="30"/>
      <c r="I221" s="30"/>
      <c r="J221" s="30"/>
      <c r="K221" s="30"/>
    </row>
    <row r="222" customFormat="false" ht="15.75" hidden="false" customHeight="false" outlineLevel="0" collapsed="false">
      <c r="B222" s="30"/>
      <c r="E222" s="30"/>
      <c r="F222" s="30"/>
      <c r="G222" s="30"/>
      <c r="H222" s="30"/>
      <c r="I222" s="30"/>
      <c r="J222" s="30"/>
      <c r="K222" s="30"/>
    </row>
    <row r="223" customFormat="false" ht="15.75" hidden="false" customHeight="false" outlineLevel="0" collapsed="false">
      <c r="B223" s="30"/>
      <c r="E223" s="30"/>
      <c r="F223" s="30"/>
      <c r="G223" s="30"/>
      <c r="H223" s="30"/>
      <c r="I223" s="30"/>
      <c r="J223" s="30"/>
      <c r="K223" s="30"/>
    </row>
    <row r="224" customFormat="false" ht="15.75" hidden="false" customHeight="false" outlineLevel="0" collapsed="false">
      <c r="B224" s="30"/>
      <c r="E224" s="30"/>
      <c r="F224" s="30"/>
      <c r="G224" s="30"/>
      <c r="H224" s="30"/>
      <c r="I224" s="30"/>
      <c r="J224" s="30"/>
      <c r="K224" s="30"/>
    </row>
    <row r="225" customFormat="false" ht="15.75" hidden="false" customHeight="false" outlineLevel="0" collapsed="false">
      <c r="B225" s="30"/>
      <c r="E225" s="30"/>
      <c r="F225" s="30"/>
      <c r="G225" s="30"/>
      <c r="H225" s="30"/>
      <c r="I225" s="30"/>
      <c r="J225" s="30"/>
      <c r="K225" s="30"/>
    </row>
    <row r="226" customFormat="false" ht="15.75" hidden="false" customHeight="false" outlineLevel="0" collapsed="false">
      <c r="B226" s="30"/>
      <c r="E226" s="30"/>
      <c r="F226" s="30"/>
      <c r="G226" s="30"/>
      <c r="H226" s="30"/>
      <c r="I226" s="30"/>
      <c r="J226" s="30"/>
      <c r="K226" s="30"/>
    </row>
    <row r="227" customFormat="false" ht="15.75" hidden="false" customHeight="false" outlineLevel="0" collapsed="false">
      <c r="B227" s="30"/>
      <c r="E227" s="30"/>
      <c r="F227" s="30"/>
      <c r="G227" s="30"/>
      <c r="H227" s="30"/>
      <c r="I227" s="30"/>
      <c r="J227" s="30"/>
      <c r="K227" s="30"/>
    </row>
    <row r="228" customFormat="false" ht="15.75" hidden="false" customHeight="false" outlineLevel="0" collapsed="false">
      <c r="B228" s="30"/>
      <c r="E228" s="30"/>
      <c r="F228" s="30"/>
      <c r="G228" s="30"/>
      <c r="H228" s="30"/>
      <c r="I228" s="30"/>
      <c r="J228" s="30"/>
      <c r="K228" s="30"/>
    </row>
    <row r="229" customFormat="false" ht="15.75" hidden="false" customHeight="false" outlineLevel="0" collapsed="false">
      <c r="B229" s="30"/>
      <c r="E229" s="30"/>
      <c r="F229" s="30"/>
      <c r="G229" s="30"/>
      <c r="H229" s="30"/>
      <c r="I229" s="30"/>
      <c r="J229" s="30"/>
      <c r="K229" s="30"/>
    </row>
    <row r="230" customFormat="false" ht="15.75" hidden="false" customHeight="false" outlineLevel="0" collapsed="false">
      <c r="B230" s="30"/>
      <c r="E230" s="30"/>
      <c r="F230" s="30"/>
      <c r="G230" s="30"/>
      <c r="H230" s="30"/>
      <c r="I230" s="30"/>
      <c r="J230" s="30"/>
      <c r="K230" s="30"/>
    </row>
    <row r="231" customFormat="false" ht="15.75" hidden="false" customHeight="false" outlineLevel="0" collapsed="false">
      <c r="B231" s="30"/>
      <c r="E231" s="30"/>
      <c r="F231" s="30"/>
      <c r="G231" s="30"/>
      <c r="H231" s="30"/>
      <c r="I231" s="30"/>
      <c r="J231" s="30"/>
      <c r="K231" s="30"/>
    </row>
    <row r="232" customFormat="false" ht="15.75" hidden="false" customHeight="false" outlineLevel="0" collapsed="false">
      <c r="B232" s="30"/>
      <c r="E232" s="30"/>
      <c r="F232" s="30"/>
      <c r="G232" s="30"/>
      <c r="H232" s="30"/>
      <c r="I232" s="30"/>
      <c r="J232" s="30"/>
      <c r="K232" s="30"/>
    </row>
    <row r="233" customFormat="false" ht="15.75" hidden="false" customHeight="false" outlineLevel="0" collapsed="false">
      <c r="B233" s="30"/>
      <c r="E233" s="30"/>
      <c r="F233" s="30"/>
      <c r="G233" s="30"/>
      <c r="H233" s="30"/>
      <c r="I233" s="30"/>
      <c r="J233" s="30"/>
      <c r="K233" s="30"/>
    </row>
    <row r="234" customFormat="false" ht="15.75" hidden="false" customHeight="false" outlineLevel="0" collapsed="false">
      <c r="B234" s="30"/>
      <c r="E234" s="30"/>
      <c r="F234" s="30"/>
      <c r="G234" s="30"/>
      <c r="H234" s="30"/>
      <c r="I234" s="30"/>
      <c r="J234" s="30"/>
      <c r="K234" s="30"/>
    </row>
    <row r="235" customFormat="false" ht="15.75" hidden="false" customHeight="false" outlineLevel="0" collapsed="false">
      <c r="B235" s="30"/>
      <c r="E235" s="30"/>
      <c r="F235" s="30"/>
      <c r="G235" s="30"/>
      <c r="H235" s="30"/>
      <c r="I235" s="30"/>
      <c r="J235" s="30"/>
      <c r="K235" s="30"/>
    </row>
    <row r="236" customFormat="false" ht="15.75" hidden="false" customHeight="false" outlineLevel="0" collapsed="false">
      <c r="B236" s="30"/>
      <c r="E236" s="30"/>
      <c r="F236" s="30"/>
      <c r="G236" s="30"/>
      <c r="H236" s="30"/>
      <c r="I236" s="30"/>
      <c r="J236" s="30"/>
      <c r="K236" s="30"/>
    </row>
    <row r="237" customFormat="false" ht="15.75" hidden="false" customHeight="false" outlineLevel="0" collapsed="false">
      <c r="B237" s="30"/>
      <c r="E237" s="30"/>
      <c r="F237" s="30"/>
      <c r="G237" s="30"/>
      <c r="H237" s="30"/>
      <c r="I237" s="30"/>
      <c r="J237" s="30"/>
      <c r="K237" s="30"/>
    </row>
    <row r="238" customFormat="false" ht="15.75" hidden="false" customHeight="false" outlineLevel="0" collapsed="false">
      <c r="B238" s="30"/>
      <c r="E238" s="30"/>
      <c r="F238" s="30"/>
      <c r="G238" s="30"/>
      <c r="H238" s="30"/>
      <c r="I238" s="30"/>
      <c r="J238" s="30"/>
      <c r="K238" s="30"/>
    </row>
    <row r="239" customFormat="false" ht="15.75" hidden="false" customHeight="false" outlineLevel="0" collapsed="false">
      <c r="B239" s="30"/>
      <c r="E239" s="30"/>
      <c r="F239" s="30"/>
      <c r="G239" s="30"/>
      <c r="H239" s="30"/>
      <c r="I239" s="30"/>
      <c r="J239" s="30"/>
      <c r="K239" s="30"/>
    </row>
    <row r="240" customFormat="false" ht="15.75" hidden="false" customHeight="false" outlineLevel="0" collapsed="false">
      <c r="B240" s="30"/>
      <c r="E240" s="30"/>
      <c r="F240" s="30"/>
      <c r="G240" s="30"/>
      <c r="H240" s="30"/>
      <c r="I240" s="30"/>
      <c r="J240" s="30"/>
      <c r="K240" s="30"/>
    </row>
    <row r="241" customFormat="false" ht="15.75" hidden="false" customHeight="false" outlineLevel="0" collapsed="false">
      <c r="B241" s="30"/>
      <c r="E241" s="30"/>
      <c r="F241" s="30"/>
      <c r="G241" s="30"/>
      <c r="H241" s="30"/>
      <c r="I241" s="30"/>
      <c r="J241" s="30"/>
      <c r="K241" s="30"/>
    </row>
    <row r="242" customFormat="false" ht="15.75" hidden="false" customHeight="false" outlineLevel="0" collapsed="false">
      <c r="B242" s="30"/>
      <c r="E242" s="30"/>
      <c r="F242" s="30"/>
      <c r="G242" s="30"/>
      <c r="H242" s="30"/>
      <c r="I242" s="30"/>
      <c r="J242" s="30"/>
      <c r="K242" s="30"/>
    </row>
    <row r="243" customFormat="false" ht="15.75" hidden="false" customHeight="false" outlineLevel="0" collapsed="false">
      <c r="B243" s="30"/>
      <c r="E243" s="30"/>
      <c r="F243" s="30"/>
      <c r="G243" s="30"/>
      <c r="H243" s="30"/>
      <c r="I243" s="30"/>
      <c r="J243" s="30"/>
      <c r="K243" s="30"/>
    </row>
    <row r="244" customFormat="false" ht="15.75" hidden="false" customHeight="false" outlineLevel="0" collapsed="false">
      <c r="B244" s="30"/>
      <c r="E244" s="30"/>
      <c r="F244" s="30"/>
      <c r="G244" s="30"/>
      <c r="H244" s="30"/>
      <c r="I244" s="30"/>
      <c r="J244" s="30"/>
      <c r="K244" s="30"/>
    </row>
    <row r="245" customFormat="false" ht="15.75" hidden="false" customHeight="false" outlineLevel="0" collapsed="false">
      <c r="B245" s="30"/>
      <c r="E245" s="30"/>
      <c r="F245" s="30"/>
      <c r="G245" s="30"/>
      <c r="H245" s="30"/>
      <c r="I245" s="30"/>
      <c r="J245" s="30"/>
      <c r="K245" s="30"/>
    </row>
    <row r="246" customFormat="false" ht="15.75" hidden="false" customHeight="false" outlineLevel="0" collapsed="false">
      <c r="B246" s="30"/>
      <c r="E246" s="30"/>
      <c r="F246" s="30"/>
      <c r="G246" s="30"/>
      <c r="H246" s="30"/>
      <c r="I246" s="30"/>
      <c r="J246" s="30"/>
      <c r="K246" s="30"/>
    </row>
    <row r="247" customFormat="false" ht="15.75" hidden="false" customHeight="false" outlineLevel="0" collapsed="false">
      <c r="B247" s="30"/>
      <c r="E247" s="30"/>
      <c r="F247" s="30"/>
      <c r="G247" s="30"/>
      <c r="H247" s="30"/>
      <c r="I247" s="30"/>
      <c r="J247" s="30"/>
      <c r="K247" s="30"/>
    </row>
    <row r="248" customFormat="false" ht="15.75" hidden="false" customHeight="false" outlineLevel="0" collapsed="false">
      <c r="B248" s="30"/>
      <c r="E248" s="30"/>
      <c r="F248" s="30"/>
      <c r="G248" s="30"/>
      <c r="H248" s="30"/>
      <c r="I248" s="30"/>
      <c r="J248" s="30"/>
      <c r="K248" s="30"/>
    </row>
    <row r="249" customFormat="false" ht="15.75" hidden="false" customHeight="false" outlineLevel="0" collapsed="false">
      <c r="B249" s="30"/>
      <c r="E249" s="30"/>
      <c r="F249" s="30"/>
      <c r="G249" s="30"/>
      <c r="H249" s="30"/>
      <c r="I249" s="30"/>
      <c r="J249" s="30"/>
      <c r="K249" s="30"/>
    </row>
    <row r="250" customFormat="false" ht="15.75" hidden="false" customHeight="false" outlineLevel="0" collapsed="false">
      <c r="B250" s="30"/>
      <c r="E250" s="30"/>
      <c r="F250" s="30"/>
      <c r="G250" s="30"/>
      <c r="H250" s="30"/>
      <c r="I250" s="30"/>
      <c r="J250" s="30"/>
      <c r="K250" s="30"/>
    </row>
    <row r="251" customFormat="false" ht="15.75" hidden="false" customHeight="false" outlineLevel="0" collapsed="false">
      <c r="B251" s="30"/>
      <c r="E251" s="30"/>
      <c r="F251" s="30"/>
      <c r="G251" s="30"/>
      <c r="H251" s="30"/>
      <c r="I251" s="30"/>
      <c r="J251" s="30"/>
      <c r="K251" s="30"/>
    </row>
    <row r="252" customFormat="false" ht="15.75" hidden="false" customHeight="false" outlineLevel="0" collapsed="false">
      <c r="B252" s="30"/>
      <c r="E252" s="30"/>
      <c r="F252" s="30"/>
      <c r="G252" s="30"/>
      <c r="H252" s="30"/>
      <c r="I252" s="30"/>
      <c r="J252" s="30"/>
      <c r="K252" s="30"/>
    </row>
    <row r="253" customFormat="false" ht="15.75" hidden="false" customHeight="false" outlineLevel="0" collapsed="false">
      <c r="B253" s="30"/>
      <c r="E253" s="30"/>
      <c r="F253" s="30"/>
      <c r="G253" s="30"/>
      <c r="H253" s="30"/>
      <c r="I253" s="30"/>
      <c r="J253" s="30"/>
      <c r="K253" s="30"/>
    </row>
    <row r="254" customFormat="false" ht="15.75" hidden="false" customHeight="false" outlineLevel="0" collapsed="false">
      <c r="B254" s="30"/>
      <c r="E254" s="30"/>
      <c r="F254" s="30"/>
      <c r="G254" s="30"/>
      <c r="H254" s="30"/>
      <c r="I254" s="30"/>
      <c r="J254" s="30"/>
      <c r="K254" s="30"/>
    </row>
    <row r="255" customFormat="false" ht="15.75" hidden="false" customHeight="false" outlineLevel="0" collapsed="false">
      <c r="B255" s="30"/>
      <c r="E255" s="30"/>
      <c r="F255" s="30"/>
      <c r="G255" s="30"/>
      <c r="H255" s="30"/>
      <c r="I255" s="30"/>
      <c r="J255" s="30"/>
      <c r="K255" s="30"/>
    </row>
    <row r="256" customFormat="false" ht="15.75" hidden="false" customHeight="false" outlineLevel="0" collapsed="false">
      <c r="B256" s="30"/>
      <c r="E256" s="30"/>
      <c r="F256" s="30"/>
      <c r="G256" s="30"/>
      <c r="H256" s="30"/>
      <c r="I256" s="30"/>
      <c r="J256" s="30"/>
      <c r="K256" s="30"/>
    </row>
    <row r="257" customFormat="false" ht="15.75" hidden="false" customHeight="false" outlineLevel="0" collapsed="false">
      <c r="B257" s="30"/>
      <c r="E257" s="30"/>
      <c r="F257" s="30"/>
      <c r="G257" s="30"/>
      <c r="H257" s="30"/>
      <c r="I257" s="30"/>
      <c r="J257" s="30"/>
      <c r="K257" s="30"/>
    </row>
    <row r="258" customFormat="false" ht="15.75" hidden="false" customHeight="false" outlineLevel="0" collapsed="false">
      <c r="B258" s="30"/>
      <c r="E258" s="30"/>
      <c r="F258" s="30"/>
      <c r="G258" s="30"/>
      <c r="H258" s="30"/>
      <c r="I258" s="30"/>
      <c r="J258" s="30"/>
      <c r="K258" s="30"/>
    </row>
    <row r="259" customFormat="false" ht="15.75" hidden="false" customHeight="false" outlineLevel="0" collapsed="false">
      <c r="B259" s="30"/>
      <c r="E259" s="30"/>
      <c r="F259" s="30"/>
      <c r="G259" s="30"/>
      <c r="H259" s="30"/>
      <c r="I259" s="30"/>
      <c r="J259" s="30"/>
      <c r="K259" s="30"/>
    </row>
    <row r="260" customFormat="false" ht="15.75" hidden="false" customHeight="false" outlineLevel="0" collapsed="false">
      <c r="B260" s="30"/>
      <c r="E260" s="30"/>
      <c r="F260" s="30"/>
      <c r="G260" s="30"/>
      <c r="H260" s="30"/>
      <c r="I260" s="30"/>
      <c r="J260" s="30"/>
      <c r="K260" s="30"/>
    </row>
    <row r="261" customFormat="false" ht="15.75" hidden="false" customHeight="false" outlineLevel="0" collapsed="false">
      <c r="B261" s="30"/>
      <c r="E261" s="30"/>
      <c r="F261" s="30"/>
      <c r="G261" s="30"/>
      <c r="H261" s="30"/>
      <c r="I261" s="30"/>
      <c r="J261" s="30"/>
      <c r="K261" s="30"/>
    </row>
    <row r="262" customFormat="false" ht="15.75" hidden="false" customHeight="false" outlineLevel="0" collapsed="false">
      <c r="B262" s="30"/>
      <c r="E262" s="30"/>
      <c r="F262" s="30"/>
      <c r="G262" s="30"/>
      <c r="H262" s="30"/>
      <c r="I262" s="30"/>
      <c r="J262" s="30"/>
      <c r="K262" s="30"/>
    </row>
    <row r="263" customFormat="false" ht="15.75" hidden="false" customHeight="false" outlineLevel="0" collapsed="false">
      <c r="B263" s="30"/>
      <c r="E263" s="30"/>
      <c r="F263" s="30"/>
      <c r="G263" s="30"/>
      <c r="H263" s="30"/>
      <c r="I263" s="30"/>
      <c r="J263" s="30"/>
      <c r="K263" s="30"/>
    </row>
    <row r="264" customFormat="false" ht="15.75" hidden="false" customHeight="false" outlineLevel="0" collapsed="false">
      <c r="B264" s="30"/>
      <c r="E264" s="30"/>
      <c r="F264" s="30"/>
      <c r="G264" s="30"/>
      <c r="H264" s="30"/>
      <c r="I264" s="30"/>
      <c r="J264" s="30"/>
      <c r="K264" s="30"/>
    </row>
    <row r="265" customFormat="false" ht="15.75" hidden="false" customHeight="false" outlineLevel="0" collapsed="false">
      <c r="B265" s="30"/>
      <c r="E265" s="30"/>
      <c r="F265" s="30"/>
      <c r="G265" s="30"/>
      <c r="H265" s="30"/>
      <c r="I265" s="30"/>
      <c r="J265" s="30"/>
      <c r="K265" s="30"/>
    </row>
    <row r="266" customFormat="false" ht="15.75" hidden="false" customHeight="false" outlineLevel="0" collapsed="false">
      <c r="B266" s="30"/>
      <c r="E266" s="30"/>
      <c r="F266" s="30"/>
      <c r="G266" s="30"/>
      <c r="H266" s="30"/>
      <c r="I266" s="30"/>
      <c r="J266" s="30"/>
      <c r="K266" s="30"/>
    </row>
    <row r="267" customFormat="false" ht="15.75" hidden="false" customHeight="false" outlineLevel="0" collapsed="false">
      <c r="B267" s="30"/>
      <c r="E267" s="30"/>
      <c r="F267" s="30"/>
      <c r="G267" s="30"/>
      <c r="H267" s="30"/>
      <c r="I267" s="30"/>
      <c r="J267" s="30"/>
      <c r="K267" s="30"/>
    </row>
    <row r="268" customFormat="false" ht="15.75" hidden="false" customHeight="false" outlineLevel="0" collapsed="false">
      <c r="B268" s="30"/>
      <c r="E268" s="30"/>
      <c r="F268" s="30"/>
      <c r="G268" s="30"/>
      <c r="H268" s="30"/>
      <c r="I268" s="30"/>
      <c r="J268" s="30"/>
      <c r="K268" s="30"/>
    </row>
    <row r="269" customFormat="false" ht="15.75" hidden="false" customHeight="false" outlineLevel="0" collapsed="false">
      <c r="B269" s="30"/>
      <c r="E269" s="30"/>
      <c r="F269" s="30"/>
      <c r="G269" s="30"/>
      <c r="H269" s="30"/>
      <c r="I269" s="30"/>
      <c r="J269" s="30"/>
      <c r="K269" s="30"/>
    </row>
    <row r="270" customFormat="false" ht="15.75" hidden="false" customHeight="false" outlineLevel="0" collapsed="false">
      <c r="B270" s="30"/>
      <c r="E270" s="30"/>
      <c r="F270" s="30"/>
      <c r="G270" s="30"/>
      <c r="H270" s="30"/>
      <c r="I270" s="30"/>
      <c r="J270" s="30"/>
      <c r="K270" s="30"/>
    </row>
    <row r="271" customFormat="false" ht="15.75" hidden="false" customHeight="false" outlineLevel="0" collapsed="false">
      <c r="B271" s="30"/>
      <c r="E271" s="30"/>
      <c r="F271" s="30"/>
      <c r="G271" s="30"/>
      <c r="H271" s="30"/>
      <c r="I271" s="30"/>
      <c r="J271" s="30"/>
      <c r="K271" s="30"/>
    </row>
    <row r="272" customFormat="false" ht="15.75" hidden="false" customHeight="false" outlineLevel="0" collapsed="false">
      <c r="B272" s="30"/>
      <c r="E272" s="30"/>
      <c r="F272" s="30"/>
      <c r="G272" s="30"/>
      <c r="H272" s="30"/>
      <c r="I272" s="30"/>
      <c r="J272" s="30"/>
      <c r="K272" s="30"/>
    </row>
    <row r="273" customFormat="false" ht="15.75" hidden="false" customHeight="false" outlineLevel="0" collapsed="false">
      <c r="B273" s="30"/>
      <c r="E273" s="30"/>
      <c r="F273" s="30"/>
      <c r="G273" s="30"/>
      <c r="H273" s="30"/>
      <c r="I273" s="30"/>
      <c r="J273" s="30"/>
      <c r="K273" s="30"/>
    </row>
    <row r="274" customFormat="false" ht="15.75" hidden="false" customHeight="false" outlineLevel="0" collapsed="false">
      <c r="B274" s="30"/>
      <c r="E274" s="30"/>
      <c r="F274" s="30"/>
      <c r="G274" s="30"/>
      <c r="H274" s="30"/>
      <c r="I274" s="30"/>
      <c r="J274" s="30"/>
      <c r="K274" s="30"/>
    </row>
    <row r="275" customFormat="false" ht="15.75" hidden="false" customHeight="false" outlineLevel="0" collapsed="false">
      <c r="B275" s="30"/>
      <c r="E275" s="30"/>
      <c r="F275" s="30"/>
      <c r="G275" s="30"/>
      <c r="H275" s="30"/>
      <c r="I275" s="30"/>
      <c r="J275" s="30"/>
      <c r="K275" s="30"/>
    </row>
    <row r="276" customFormat="false" ht="15.75" hidden="false" customHeight="false" outlineLevel="0" collapsed="false">
      <c r="B276" s="30"/>
      <c r="E276" s="30"/>
      <c r="F276" s="30"/>
      <c r="G276" s="30"/>
      <c r="H276" s="30"/>
      <c r="I276" s="30"/>
      <c r="J276" s="30"/>
      <c r="K276" s="30"/>
    </row>
    <row r="277" customFormat="false" ht="15.75" hidden="false" customHeight="false" outlineLevel="0" collapsed="false">
      <c r="B277" s="30"/>
      <c r="E277" s="30"/>
      <c r="F277" s="30"/>
      <c r="G277" s="30"/>
      <c r="H277" s="30"/>
      <c r="I277" s="30"/>
      <c r="J277" s="30"/>
      <c r="K277" s="30"/>
    </row>
    <row r="278" customFormat="false" ht="15.75" hidden="false" customHeight="false" outlineLevel="0" collapsed="false">
      <c r="B278" s="30"/>
      <c r="E278" s="30"/>
      <c r="F278" s="30"/>
      <c r="G278" s="30"/>
      <c r="H278" s="30"/>
      <c r="I278" s="30"/>
      <c r="J278" s="30"/>
      <c r="K278" s="30"/>
    </row>
    <row r="279" customFormat="false" ht="15.75" hidden="false" customHeight="false" outlineLevel="0" collapsed="false">
      <c r="B279" s="30"/>
      <c r="E279" s="30"/>
      <c r="F279" s="30"/>
      <c r="G279" s="30"/>
      <c r="H279" s="30"/>
      <c r="I279" s="30"/>
      <c r="J279" s="30"/>
      <c r="K279" s="30"/>
    </row>
    <row r="280" customFormat="false" ht="15.75" hidden="false" customHeight="false" outlineLevel="0" collapsed="false">
      <c r="B280" s="30"/>
      <c r="E280" s="30"/>
      <c r="F280" s="30"/>
      <c r="G280" s="30"/>
      <c r="H280" s="30"/>
      <c r="I280" s="30"/>
      <c r="J280" s="30"/>
      <c r="K280" s="30"/>
    </row>
    <row r="281" customFormat="false" ht="15.75" hidden="false" customHeight="false" outlineLevel="0" collapsed="false">
      <c r="B281" s="30"/>
      <c r="E281" s="30"/>
      <c r="F281" s="30"/>
      <c r="G281" s="30"/>
      <c r="H281" s="30"/>
      <c r="I281" s="30"/>
      <c r="J281" s="30"/>
      <c r="K281" s="30"/>
    </row>
    <row r="282" customFormat="false" ht="15.75" hidden="false" customHeight="false" outlineLevel="0" collapsed="false">
      <c r="B282" s="30"/>
      <c r="E282" s="30"/>
      <c r="F282" s="30"/>
      <c r="G282" s="30"/>
      <c r="H282" s="30"/>
      <c r="I282" s="30"/>
      <c r="J282" s="30"/>
      <c r="K282" s="30"/>
    </row>
    <row r="283" customFormat="false" ht="15.75" hidden="false" customHeight="false" outlineLevel="0" collapsed="false">
      <c r="B283" s="30"/>
      <c r="E283" s="30"/>
      <c r="F283" s="30"/>
      <c r="G283" s="30"/>
      <c r="H283" s="30"/>
      <c r="I283" s="30"/>
      <c r="J283" s="30"/>
      <c r="K283" s="30"/>
    </row>
    <row r="284" customFormat="false" ht="15.75" hidden="false" customHeight="false" outlineLevel="0" collapsed="false">
      <c r="B284" s="30"/>
      <c r="E284" s="30"/>
      <c r="F284" s="30"/>
      <c r="G284" s="30"/>
      <c r="H284" s="30"/>
      <c r="I284" s="30"/>
      <c r="J284" s="30"/>
      <c r="K284" s="30"/>
    </row>
    <row r="285" customFormat="false" ht="15.75" hidden="false" customHeight="false" outlineLevel="0" collapsed="false">
      <c r="B285" s="30"/>
      <c r="E285" s="30"/>
      <c r="F285" s="30"/>
      <c r="G285" s="30"/>
      <c r="H285" s="30"/>
      <c r="I285" s="30"/>
      <c r="J285" s="30"/>
      <c r="K285" s="30"/>
    </row>
    <row r="286" customFormat="false" ht="15.75" hidden="false" customHeight="false" outlineLevel="0" collapsed="false">
      <c r="B286" s="30"/>
      <c r="E286" s="30"/>
      <c r="F286" s="30"/>
      <c r="G286" s="30"/>
      <c r="H286" s="30"/>
      <c r="I286" s="30"/>
      <c r="J286" s="30"/>
      <c r="K286" s="30"/>
    </row>
    <row r="287" customFormat="false" ht="15.75" hidden="false" customHeight="false" outlineLevel="0" collapsed="false">
      <c r="B287" s="30"/>
      <c r="E287" s="30"/>
      <c r="F287" s="30"/>
      <c r="G287" s="30"/>
      <c r="H287" s="30"/>
      <c r="I287" s="30"/>
      <c r="J287" s="30"/>
      <c r="K287" s="30"/>
    </row>
    <row r="288" customFormat="false" ht="15.75" hidden="false" customHeight="false" outlineLevel="0" collapsed="false">
      <c r="B288" s="30"/>
      <c r="E288" s="30"/>
      <c r="F288" s="30"/>
      <c r="G288" s="30"/>
      <c r="H288" s="30"/>
      <c r="I288" s="30"/>
      <c r="J288" s="30"/>
      <c r="K288" s="30"/>
    </row>
    <row r="289" customFormat="false" ht="15.75" hidden="false" customHeight="false" outlineLevel="0" collapsed="false">
      <c r="B289" s="30"/>
      <c r="E289" s="30"/>
      <c r="F289" s="30"/>
      <c r="G289" s="30"/>
      <c r="H289" s="30"/>
      <c r="I289" s="30"/>
      <c r="J289" s="30"/>
      <c r="K289" s="30"/>
    </row>
    <row r="290" customFormat="false" ht="15.75" hidden="false" customHeight="false" outlineLevel="0" collapsed="false">
      <c r="B290" s="30"/>
      <c r="E290" s="30"/>
      <c r="F290" s="30"/>
      <c r="G290" s="30"/>
      <c r="H290" s="30"/>
      <c r="I290" s="30"/>
      <c r="J290" s="30"/>
      <c r="K290" s="30"/>
    </row>
    <row r="291" customFormat="false" ht="15.75" hidden="false" customHeight="false" outlineLevel="0" collapsed="false">
      <c r="B291" s="30"/>
      <c r="E291" s="30"/>
      <c r="F291" s="30"/>
      <c r="G291" s="30"/>
      <c r="H291" s="30"/>
      <c r="I291" s="30"/>
      <c r="J291" s="30"/>
      <c r="K291" s="30"/>
    </row>
    <row r="292" customFormat="false" ht="15.75" hidden="false" customHeight="false" outlineLevel="0" collapsed="false">
      <c r="B292" s="30"/>
      <c r="E292" s="30"/>
      <c r="F292" s="30"/>
      <c r="G292" s="30"/>
      <c r="H292" s="30"/>
      <c r="I292" s="30"/>
      <c r="J292" s="30"/>
      <c r="K292" s="30"/>
    </row>
    <row r="293" customFormat="false" ht="15.75" hidden="false" customHeight="false" outlineLevel="0" collapsed="false">
      <c r="B293" s="30"/>
      <c r="E293" s="30"/>
      <c r="F293" s="30"/>
      <c r="G293" s="30"/>
      <c r="H293" s="30"/>
      <c r="I293" s="30"/>
      <c r="J293" s="30"/>
      <c r="K293" s="30"/>
    </row>
    <row r="294" customFormat="false" ht="15.75" hidden="false" customHeight="false" outlineLevel="0" collapsed="false">
      <c r="B294" s="30"/>
      <c r="E294" s="30"/>
      <c r="F294" s="30"/>
      <c r="G294" s="30"/>
      <c r="H294" s="30"/>
      <c r="I294" s="30"/>
      <c r="J294" s="30"/>
      <c r="K294" s="30"/>
    </row>
    <row r="295" customFormat="false" ht="15.75" hidden="false" customHeight="false" outlineLevel="0" collapsed="false">
      <c r="B295" s="30"/>
      <c r="E295" s="30"/>
      <c r="F295" s="30"/>
      <c r="G295" s="30"/>
      <c r="H295" s="30"/>
      <c r="I295" s="30"/>
      <c r="J295" s="30"/>
      <c r="K295" s="30"/>
    </row>
    <row r="296" customFormat="false" ht="15.75" hidden="false" customHeight="false" outlineLevel="0" collapsed="false">
      <c r="B296" s="30"/>
      <c r="E296" s="30"/>
      <c r="F296" s="30"/>
      <c r="G296" s="30"/>
      <c r="H296" s="30"/>
      <c r="I296" s="30"/>
      <c r="J296" s="30"/>
      <c r="K296" s="30"/>
    </row>
    <row r="297" customFormat="false" ht="15.75" hidden="false" customHeight="false" outlineLevel="0" collapsed="false">
      <c r="B297" s="30"/>
      <c r="E297" s="30"/>
      <c r="F297" s="30"/>
      <c r="G297" s="30"/>
      <c r="H297" s="30"/>
      <c r="I297" s="30"/>
      <c r="J297" s="30"/>
      <c r="K297" s="30"/>
    </row>
    <row r="298" customFormat="false" ht="15.75" hidden="false" customHeight="false" outlineLevel="0" collapsed="false">
      <c r="B298" s="30"/>
      <c r="E298" s="30"/>
      <c r="F298" s="30"/>
      <c r="G298" s="30"/>
      <c r="H298" s="30"/>
      <c r="I298" s="30"/>
      <c r="J298" s="30"/>
      <c r="K298" s="30"/>
    </row>
    <row r="299" customFormat="false" ht="15.75" hidden="false" customHeight="false" outlineLevel="0" collapsed="false">
      <c r="B299" s="30"/>
      <c r="E299" s="30"/>
      <c r="F299" s="30"/>
      <c r="G299" s="30"/>
      <c r="H299" s="30"/>
      <c r="I299" s="30"/>
      <c r="J299" s="30"/>
      <c r="K299" s="30"/>
    </row>
    <row r="300" customFormat="false" ht="15.75" hidden="false" customHeight="false" outlineLevel="0" collapsed="false">
      <c r="B300" s="30"/>
      <c r="E300" s="30"/>
      <c r="F300" s="30"/>
      <c r="G300" s="30"/>
      <c r="H300" s="30"/>
      <c r="I300" s="30"/>
      <c r="J300" s="30"/>
      <c r="K300" s="30"/>
    </row>
    <row r="301" customFormat="false" ht="15.75" hidden="false" customHeight="false" outlineLevel="0" collapsed="false">
      <c r="B301" s="30"/>
      <c r="E301" s="30"/>
      <c r="F301" s="30"/>
      <c r="G301" s="30"/>
      <c r="H301" s="30"/>
      <c r="I301" s="30"/>
      <c r="J301" s="30"/>
      <c r="K301" s="30"/>
    </row>
    <row r="302" customFormat="false" ht="15.75" hidden="false" customHeight="false" outlineLevel="0" collapsed="false">
      <c r="B302" s="30"/>
      <c r="E302" s="30"/>
      <c r="F302" s="30"/>
      <c r="G302" s="30"/>
      <c r="H302" s="30"/>
      <c r="I302" s="30"/>
      <c r="J302" s="30"/>
      <c r="K302" s="30"/>
    </row>
    <row r="303" customFormat="false" ht="15.75" hidden="false" customHeight="false" outlineLevel="0" collapsed="false">
      <c r="B303" s="30"/>
      <c r="E303" s="30"/>
      <c r="F303" s="30"/>
      <c r="G303" s="30"/>
      <c r="H303" s="30"/>
      <c r="I303" s="30"/>
      <c r="J303" s="30"/>
      <c r="K303" s="30"/>
    </row>
    <row r="304" customFormat="false" ht="15.75" hidden="false" customHeight="false" outlineLevel="0" collapsed="false">
      <c r="B304" s="30"/>
      <c r="E304" s="30"/>
      <c r="F304" s="30"/>
      <c r="G304" s="30"/>
      <c r="H304" s="30"/>
      <c r="I304" s="30"/>
      <c r="J304" s="30"/>
      <c r="K304" s="30"/>
    </row>
    <row r="305" customFormat="false" ht="15.75" hidden="false" customHeight="false" outlineLevel="0" collapsed="false">
      <c r="B305" s="30"/>
      <c r="E305" s="30"/>
      <c r="F305" s="30"/>
      <c r="G305" s="30"/>
      <c r="H305" s="30"/>
      <c r="I305" s="30"/>
      <c r="J305" s="30"/>
      <c r="K305" s="30"/>
    </row>
    <row r="306" customFormat="false" ht="15.75" hidden="false" customHeight="false" outlineLevel="0" collapsed="false">
      <c r="B306" s="30"/>
      <c r="E306" s="30"/>
      <c r="F306" s="30"/>
      <c r="G306" s="30"/>
      <c r="H306" s="30"/>
      <c r="I306" s="30"/>
      <c r="J306" s="30"/>
      <c r="K306" s="30"/>
    </row>
    <row r="307" customFormat="false" ht="15.75" hidden="false" customHeight="false" outlineLevel="0" collapsed="false">
      <c r="B307" s="30"/>
      <c r="E307" s="30"/>
      <c r="F307" s="30"/>
      <c r="G307" s="30"/>
      <c r="H307" s="30"/>
      <c r="I307" s="30"/>
      <c r="J307" s="30"/>
      <c r="K307" s="30"/>
    </row>
    <row r="308" customFormat="false" ht="15.75" hidden="false" customHeight="false" outlineLevel="0" collapsed="false">
      <c r="B308" s="30"/>
      <c r="E308" s="30"/>
      <c r="F308" s="30"/>
      <c r="G308" s="30"/>
      <c r="H308" s="30"/>
      <c r="I308" s="30"/>
      <c r="J308" s="30"/>
      <c r="K308" s="30"/>
    </row>
    <row r="309" customFormat="false" ht="15.75" hidden="false" customHeight="false" outlineLevel="0" collapsed="false">
      <c r="B309" s="30"/>
      <c r="E309" s="30"/>
      <c r="F309" s="30"/>
      <c r="G309" s="30"/>
      <c r="H309" s="30"/>
      <c r="I309" s="30"/>
      <c r="J309" s="30"/>
      <c r="K309" s="30"/>
    </row>
    <row r="310" customFormat="false" ht="15.75" hidden="false" customHeight="false" outlineLevel="0" collapsed="false">
      <c r="B310" s="30"/>
      <c r="E310" s="30"/>
      <c r="F310" s="30"/>
      <c r="G310" s="30"/>
      <c r="H310" s="30"/>
      <c r="I310" s="30"/>
      <c r="J310" s="30"/>
      <c r="K310" s="30"/>
    </row>
    <row r="311" customFormat="false" ht="15.75" hidden="false" customHeight="false" outlineLevel="0" collapsed="false">
      <c r="B311" s="30"/>
      <c r="E311" s="30"/>
      <c r="F311" s="30"/>
      <c r="G311" s="30"/>
      <c r="H311" s="30"/>
      <c r="I311" s="30"/>
      <c r="J311" s="30"/>
      <c r="K311" s="30"/>
    </row>
    <row r="312" customFormat="false" ht="15.75" hidden="false" customHeight="false" outlineLevel="0" collapsed="false">
      <c r="B312" s="30"/>
      <c r="E312" s="30"/>
      <c r="F312" s="30"/>
      <c r="G312" s="30"/>
      <c r="H312" s="30"/>
      <c r="I312" s="30"/>
      <c r="J312" s="30"/>
      <c r="K312" s="30"/>
    </row>
    <row r="313" customFormat="false" ht="15.75" hidden="false" customHeight="false" outlineLevel="0" collapsed="false">
      <c r="B313" s="30"/>
      <c r="E313" s="30"/>
      <c r="F313" s="30"/>
      <c r="G313" s="30"/>
      <c r="H313" s="30"/>
      <c r="I313" s="30"/>
      <c r="J313" s="30"/>
      <c r="K313" s="30"/>
    </row>
    <row r="314" customFormat="false" ht="15.75" hidden="false" customHeight="false" outlineLevel="0" collapsed="false">
      <c r="B314" s="30"/>
      <c r="E314" s="30"/>
      <c r="F314" s="30"/>
      <c r="G314" s="30"/>
      <c r="H314" s="30"/>
      <c r="I314" s="30"/>
      <c r="J314" s="30"/>
      <c r="K314" s="30"/>
    </row>
    <row r="315" customFormat="false" ht="15.75" hidden="false" customHeight="false" outlineLevel="0" collapsed="false">
      <c r="B315" s="30"/>
      <c r="E315" s="30"/>
      <c r="F315" s="30"/>
      <c r="G315" s="30"/>
      <c r="H315" s="30"/>
      <c r="I315" s="30"/>
      <c r="J315" s="30"/>
      <c r="K315" s="30"/>
    </row>
    <row r="316" customFormat="false" ht="15.75" hidden="false" customHeight="false" outlineLevel="0" collapsed="false">
      <c r="B316" s="30"/>
      <c r="E316" s="30"/>
      <c r="F316" s="30"/>
      <c r="G316" s="30"/>
      <c r="H316" s="30"/>
      <c r="I316" s="30"/>
      <c r="J316" s="30"/>
      <c r="K316" s="30"/>
    </row>
    <row r="317" customFormat="false" ht="15.75" hidden="false" customHeight="false" outlineLevel="0" collapsed="false">
      <c r="B317" s="30"/>
      <c r="E317" s="30"/>
      <c r="F317" s="30"/>
      <c r="G317" s="30"/>
      <c r="H317" s="30"/>
      <c r="I317" s="30"/>
      <c r="J317" s="30"/>
      <c r="K317" s="30"/>
    </row>
    <row r="318" customFormat="false" ht="15.75" hidden="false" customHeight="false" outlineLevel="0" collapsed="false">
      <c r="B318" s="30"/>
      <c r="E318" s="30"/>
      <c r="F318" s="30"/>
      <c r="G318" s="30"/>
      <c r="H318" s="30"/>
      <c r="I318" s="30"/>
      <c r="J318" s="30"/>
      <c r="K318" s="30"/>
    </row>
    <row r="319" customFormat="false" ht="15.75" hidden="false" customHeight="false" outlineLevel="0" collapsed="false">
      <c r="B319" s="30"/>
      <c r="E319" s="30"/>
      <c r="F319" s="30"/>
      <c r="G319" s="30"/>
      <c r="H319" s="30"/>
      <c r="I319" s="30"/>
      <c r="J319" s="30"/>
      <c r="K319" s="30"/>
    </row>
    <row r="320" customFormat="false" ht="15.75" hidden="false" customHeight="false" outlineLevel="0" collapsed="false">
      <c r="B320" s="30"/>
      <c r="E320" s="30"/>
      <c r="F320" s="30"/>
      <c r="G320" s="30"/>
      <c r="H320" s="30"/>
      <c r="I320" s="30"/>
      <c r="J320" s="30"/>
      <c r="K320" s="30"/>
    </row>
    <row r="321" customFormat="false" ht="15.75" hidden="false" customHeight="false" outlineLevel="0" collapsed="false">
      <c r="B321" s="30"/>
      <c r="E321" s="30"/>
      <c r="F321" s="30"/>
      <c r="G321" s="30"/>
      <c r="H321" s="30"/>
      <c r="I321" s="30"/>
      <c r="J321" s="30"/>
      <c r="K321" s="30"/>
    </row>
    <row r="322" customFormat="false" ht="15.75" hidden="false" customHeight="false" outlineLevel="0" collapsed="false">
      <c r="B322" s="30"/>
      <c r="E322" s="30"/>
      <c r="F322" s="30"/>
      <c r="G322" s="30"/>
      <c r="H322" s="30"/>
      <c r="I322" s="30"/>
      <c r="J322" s="30"/>
      <c r="K322" s="30"/>
    </row>
    <row r="323" customFormat="false" ht="15.75" hidden="false" customHeight="false" outlineLevel="0" collapsed="false">
      <c r="B323" s="30"/>
      <c r="E323" s="30"/>
      <c r="F323" s="30"/>
      <c r="G323" s="30"/>
      <c r="H323" s="30"/>
      <c r="I323" s="30"/>
      <c r="J323" s="30"/>
      <c r="K323" s="30"/>
    </row>
    <row r="324" customFormat="false" ht="15.75" hidden="false" customHeight="false" outlineLevel="0" collapsed="false">
      <c r="B324" s="30"/>
      <c r="E324" s="30"/>
      <c r="F324" s="30"/>
      <c r="G324" s="30"/>
      <c r="H324" s="30"/>
      <c r="I324" s="30"/>
      <c r="J324" s="30"/>
      <c r="K324" s="30"/>
    </row>
    <row r="325" customFormat="false" ht="15.75" hidden="false" customHeight="false" outlineLevel="0" collapsed="false">
      <c r="B325" s="30"/>
      <c r="E325" s="30"/>
      <c r="F325" s="30"/>
      <c r="G325" s="30"/>
      <c r="H325" s="30"/>
      <c r="I325" s="30"/>
      <c r="J325" s="30"/>
      <c r="K325" s="30"/>
    </row>
    <row r="326" customFormat="false" ht="15.75" hidden="false" customHeight="false" outlineLevel="0" collapsed="false">
      <c r="B326" s="30"/>
      <c r="E326" s="30"/>
      <c r="F326" s="30"/>
      <c r="G326" s="30"/>
      <c r="H326" s="30"/>
      <c r="I326" s="30"/>
      <c r="J326" s="30"/>
      <c r="K326" s="30"/>
    </row>
    <row r="327" customFormat="false" ht="15.75" hidden="false" customHeight="false" outlineLevel="0" collapsed="false">
      <c r="B327" s="30"/>
      <c r="E327" s="30"/>
      <c r="F327" s="30"/>
      <c r="G327" s="30"/>
      <c r="H327" s="30"/>
      <c r="I327" s="30"/>
      <c r="J327" s="30"/>
      <c r="K327" s="30"/>
    </row>
    <row r="328" customFormat="false" ht="15.75" hidden="false" customHeight="false" outlineLevel="0" collapsed="false">
      <c r="B328" s="30"/>
      <c r="E328" s="30"/>
      <c r="F328" s="30"/>
      <c r="G328" s="30"/>
      <c r="H328" s="30"/>
      <c r="I328" s="30"/>
      <c r="J328" s="30"/>
      <c r="K328" s="30"/>
    </row>
    <row r="329" customFormat="false" ht="15.75" hidden="false" customHeight="false" outlineLevel="0" collapsed="false">
      <c r="B329" s="30"/>
      <c r="E329" s="30"/>
      <c r="F329" s="30"/>
      <c r="G329" s="30"/>
      <c r="H329" s="30"/>
      <c r="I329" s="30"/>
      <c r="J329" s="30"/>
      <c r="K329" s="30"/>
    </row>
    <row r="330" customFormat="false" ht="15.75" hidden="false" customHeight="false" outlineLevel="0" collapsed="false">
      <c r="B330" s="30"/>
      <c r="E330" s="30"/>
      <c r="F330" s="30"/>
      <c r="G330" s="30"/>
      <c r="H330" s="30"/>
      <c r="I330" s="30"/>
      <c r="J330" s="30"/>
      <c r="K330" s="30"/>
    </row>
    <row r="331" customFormat="false" ht="15.75" hidden="false" customHeight="false" outlineLevel="0" collapsed="false">
      <c r="B331" s="30"/>
      <c r="E331" s="30"/>
      <c r="F331" s="30"/>
      <c r="G331" s="30"/>
      <c r="H331" s="30"/>
      <c r="I331" s="30"/>
      <c r="J331" s="30"/>
      <c r="K331" s="30"/>
    </row>
    <row r="332" customFormat="false" ht="15.75" hidden="false" customHeight="false" outlineLevel="0" collapsed="false">
      <c r="B332" s="30"/>
      <c r="E332" s="30"/>
      <c r="F332" s="30"/>
      <c r="G332" s="30"/>
      <c r="H332" s="30"/>
      <c r="I332" s="30"/>
      <c r="J332" s="30"/>
      <c r="K332" s="30"/>
    </row>
    <row r="333" customFormat="false" ht="15.75" hidden="false" customHeight="false" outlineLevel="0" collapsed="false">
      <c r="B333" s="30"/>
      <c r="E333" s="30"/>
      <c r="F333" s="30"/>
      <c r="G333" s="30"/>
      <c r="H333" s="30"/>
      <c r="I333" s="30"/>
      <c r="J333" s="30"/>
      <c r="K333" s="30"/>
    </row>
    <row r="334" customFormat="false" ht="15.75" hidden="false" customHeight="false" outlineLevel="0" collapsed="false">
      <c r="B334" s="30"/>
      <c r="E334" s="30"/>
      <c r="F334" s="30"/>
      <c r="G334" s="30"/>
      <c r="H334" s="30"/>
      <c r="I334" s="30"/>
      <c r="J334" s="30"/>
      <c r="K334" s="30"/>
    </row>
    <row r="335" customFormat="false" ht="15.75" hidden="false" customHeight="false" outlineLevel="0" collapsed="false">
      <c r="B335" s="30"/>
      <c r="E335" s="30"/>
      <c r="F335" s="30"/>
      <c r="G335" s="30"/>
      <c r="H335" s="30"/>
      <c r="I335" s="30"/>
      <c r="J335" s="30"/>
      <c r="K335" s="30"/>
    </row>
    <row r="336" customFormat="false" ht="15.75" hidden="false" customHeight="false" outlineLevel="0" collapsed="false">
      <c r="B336" s="30"/>
      <c r="E336" s="30"/>
      <c r="F336" s="30"/>
      <c r="G336" s="30"/>
      <c r="H336" s="30"/>
      <c r="I336" s="30"/>
      <c r="J336" s="30"/>
      <c r="K336" s="30"/>
    </row>
    <row r="337" customFormat="false" ht="15.75" hidden="false" customHeight="false" outlineLevel="0" collapsed="false">
      <c r="B337" s="30"/>
      <c r="E337" s="30"/>
      <c r="F337" s="30"/>
      <c r="G337" s="30"/>
      <c r="H337" s="30"/>
      <c r="I337" s="30"/>
      <c r="J337" s="30"/>
      <c r="K337" s="30"/>
    </row>
    <row r="338" customFormat="false" ht="15.75" hidden="false" customHeight="false" outlineLevel="0" collapsed="false">
      <c r="B338" s="30"/>
      <c r="E338" s="30"/>
      <c r="F338" s="30"/>
      <c r="G338" s="30"/>
      <c r="H338" s="30"/>
      <c r="I338" s="30"/>
      <c r="J338" s="30"/>
      <c r="K338" s="30"/>
    </row>
    <row r="339" customFormat="false" ht="15.75" hidden="false" customHeight="false" outlineLevel="0" collapsed="false">
      <c r="B339" s="30"/>
      <c r="E339" s="30"/>
      <c r="F339" s="30"/>
      <c r="G339" s="30"/>
      <c r="H339" s="30"/>
      <c r="I339" s="30"/>
      <c r="J339" s="30"/>
      <c r="K339" s="30"/>
    </row>
    <row r="340" customFormat="false" ht="15.75" hidden="false" customHeight="false" outlineLevel="0" collapsed="false">
      <c r="B340" s="30"/>
      <c r="E340" s="30"/>
      <c r="F340" s="30"/>
      <c r="G340" s="30"/>
      <c r="H340" s="30"/>
      <c r="I340" s="30"/>
      <c r="J340" s="30"/>
      <c r="K340" s="30"/>
    </row>
    <row r="341" customFormat="false" ht="15.75" hidden="false" customHeight="false" outlineLevel="0" collapsed="false">
      <c r="B341" s="30"/>
      <c r="E341" s="30"/>
      <c r="F341" s="30"/>
      <c r="G341" s="30"/>
      <c r="H341" s="30"/>
      <c r="I341" s="30"/>
      <c r="J341" s="30"/>
      <c r="K341" s="30"/>
    </row>
    <row r="342" customFormat="false" ht="15.75" hidden="false" customHeight="false" outlineLevel="0" collapsed="false">
      <c r="B342" s="30"/>
      <c r="E342" s="30"/>
      <c r="F342" s="30"/>
      <c r="G342" s="30"/>
      <c r="H342" s="30"/>
      <c r="I342" s="30"/>
      <c r="J342" s="30"/>
      <c r="K342" s="30"/>
    </row>
    <row r="343" customFormat="false" ht="15.75" hidden="false" customHeight="false" outlineLevel="0" collapsed="false">
      <c r="B343" s="30"/>
      <c r="E343" s="30"/>
      <c r="F343" s="30"/>
      <c r="G343" s="30"/>
      <c r="H343" s="30"/>
      <c r="I343" s="30"/>
      <c r="J343" s="30"/>
      <c r="K343" s="30"/>
    </row>
    <row r="344" customFormat="false" ht="15.75" hidden="false" customHeight="false" outlineLevel="0" collapsed="false">
      <c r="B344" s="30"/>
      <c r="E344" s="30"/>
      <c r="F344" s="30"/>
      <c r="G344" s="30"/>
      <c r="H344" s="30"/>
      <c r="I344" s="30"/>
      <c r="J344" s="30"/>
      <c r="K344" s="30"/>
    </row>
    <row r="345" customFormat="false" ht="15.75" hidden="false" customHeight="false" outlineLevel="0" collapsed="false">
      <c r="B345" s="30"/>
      <c r="E345" s="30"/>
      <c r="F345" s="30"/>
      <c r="G345" s="30"/>
      <c r="H345" s="30"/>
      <c r="I345" s="30"/>
      <c r="J345" s="30"/>
      <c r="K345" s="30"/>
    </row>
    <row r="346" customFormat="false" ht="15.75" hidden="false" customHeight="false" outlineLevel="0" collapsed="false">
      <c r="B346" s="30"/>
      <c r="E346" s="30"/>
      <c r="F346" s="30"/>
      <c r="G346" s="30"/>
      <c r="H346" s="30"/>
      <c r="I346" s="30"/>
      <c r="J346" s="30"/>
      <c r="K346" s="30"/>
    </row>
    <row r="347" customFormat="false" ht="15.75" hidden="false" customHeight="false" outlineLevel="0" collapsed="false">
      <c r="B347" s="30"/>
      <c r="E347" s="30"/>
      <c r="F347" s="30"/>
      <c r="G347" s="30"/>
      <c r="H347" s="30"/>
      <c r="I347" s="30"/>
      <c r="J347" s="30"/>
      <c r="K347" s="30"/>
    </row>
    <row r="348" customFormat="false" ht="15.75" hidden="false" customHeight="false" outlineLevel="0" collapsed="false">
      <c r="B348" s="30"/>
      <c r="E348" s="30"/>
      <c r="F348" s="30"/>
      <c r="G348" s="30"/>
      <c r="H348" s="30"/>
      <c r="I348" s="30"/>
      <c r="J348" s="30"/>
      <c r="K348" s="30"/>
    </row>
    <row r="349" customFormat="false" ht="15.75" hidden="false" customHeight="false" outlineLevel="0" collapsed="false">
      <c r="B349" s="30"/>
      <c r="E349" s="30"/>
      <c r="F349" s="30"/>
      <c r="G349" s="30"/>
      <c r="H349" s="30"/>
      <c r="I349" s="30"/>
      <c r="J349" s="30"/>
      <c r="K349" s="30"/>
    </row>
    <row r="350" customFormat="false" ht="15.75" hidden="false" customHeight="false" outlineLevel="0" collapsed="false">
      <c r="B350" s="30"/>
      <c r="E350" s="30"/>
      <c r="F350" s="30"/>
      <c r="G350" s="30"/>
      <c r="H350" s="30"/>
      <c r="I350" s="30"/>
      <c r="J350" s="30"/>
      <c r="K350" s="30"/>
    </row>
    <row r="351" customFormat="false" ht="15.75" hidden="false" customHeight="false" outlineLevel="0" collapsed="false">
      <c r="B351" s="30"/>
      <c r="E351" s="30"/>
      <c r="F351" s="30"/>
      <c r="G351" s="30"/>
      <c r="H351" s="30"/>
      <c r="I351" s="30"/>
      <c r="J351" s="30"/>
      <c r="K351" s="30"/>
    </row>
    <row r="352" customFormat="false" ht="15.75" hidden="false" customHeight="false" outlineLevel="0" collapsed="false">
      <c r="B352" s="30"/>
      <c r="E352" s="30"/>
      <c r="F352" s="30"/>
      <c r="G352" s="30"/>
      <c r="H352" s="30"/>
      <c r="I352" s="30"/>
      <c r="J352" s="30"/>
      <c r="K352" s="30"/>
    </row>
    <row r="353" customFormat="false" ht="15.75" hidden="false" customHeight="false" outlineLevel="0" collapsed="false">
      <c r="B353" s="30"/>
      <c r="E353" s="30"/>
      <c r="F353" s="30"/>
      <c r="G353" s="30"/>
      <c r="H353" s="30"/>
      <c r="I353" s="30"/>
      <c r="J353" s="30"/>
      <c r="K353" s="30"/>
    </row>
    <row r="354" customFormat="false" ht="15.75" hidden="false" customHeight="false" outlineLevel="0" collapsed="false">
      <c r="B354" s="30"/>
      <c r="E354" s="30"/>
      <c r="F354" s="30"/>
      <c r="G354" s="30"/>
      <c r="H354" s="30"/>
      <c r="I354" s="30"/>
      <c r="J354" s="30"/>
      <c r="K354" s="30"/>
    </row>
    <row r="355" customFormat="false" ht="15.75" hidden="false" customHeight="false" outlineLevel="0" collapsed="false">
      <c r="B355" s="30"/>
      <c r="E355" s="30"/>
      <c r="F355" s="30"/>
      <c r="G355" s="30"/>
      <c r="H355" s="30"/>
      <c r="I355" s="30"/>
      <c r="J355" s="30"/>
      <c r="K355" s="30"/>
    </row>
    <row r="356" customFormat="false" ht="15.75" hidden="false" customHeight="false" outlineLevel="0" collapsed="false">
      <c r="B356" s="30"/>
      <c r="E356" s="30"/>
      <c r="F356" s="30"/>
      <c r="G356" s="30"/>
      <c r="H356" s="30"/>
      <c r="I356" s="30"/>
      <c r="J356" s="30"/>
      <c r="K356" s="30"/>
    </row>
    <row r="357" customFormat="false" ht="15.75" hidden="false" customHeight="false" outlineLevel="0" collapsed="false">
      <c r="B357" s="30"/>
      <c r="E357" s="30"/>
      <c r="F357" s="30"/>
      <c r="G357" s="30"/>
      <c r="H357" s="30"/>
      <c r="I357" s="30"/>
      <c r="J357" s="30"/>
      <c r="K357" s="30"/>
    </row>
    <row r="358" customFormat="false" ht="15.75" hidden="false" customHeight="false" outlineLevel="0" collapsed="false">
      <c r="B358" s="30"/>
      <c r="E358" s="30"/>
      <c r="F358" s="30"/>
      <c r="G358" s="30"/>
      <c r="H358" s="30"/>
      <c r="I358" s="30"/>
      <c r="J358" s="30"/>
      <c r="K358" s="30"/>
    </row>
    <row r="359" customFormat="false" ht="15.75" hidden="false" customHeight="false" outlineLevel="0" collapsed="false">
      <c r="B359" s="30"/>
      <c r="E359" s="30"/>
      <c r="F359" s="30"/>
      <c r="G359" s="30"/>
      <c r="H359" s="30"/>
      <c r="I359" s="30"/>
      <c r="J359" s="30"/>
      <c r="K359" s="30"/>
    </row>
    <row r="360" customFormat="false" ht="15.75" hidden="false" customHeight="false" outlineLevel="0" collapsed="false">
      <c r="B360" s="30"/>
      <c r="E360" s="30"/>
      <c r="F360" s="30"/>
      <c r="G360" s="30"/>
      <c r="H360" s="30"/>
      <c r="I360" s="30"/>
      <c r="J360" s="30"/>
      <c r="K360" s="30"/>
    </row>
    <row r="361" customFormat="false" ht="15.75" hidden="false" customHeight="false" outlineLevel="0" collapsed="false">
      <c r="B361" s="30"/>
      <c r="E361" s="30"/>
      <c r="F361" s="30"/>
      <c r="G361" s="30"/>
      <c r="H361" s="30"/>
      <c r="I361" s="30"/>
      <c r="J361" s="30"/>
      <c r="K361" s="30"/>
    </row>
    <row r="362" customFormat="false" ht="15.75" hidden="false" customHeight="false" outlineLevel="0" collapsed="false">
      <c r="B362" s="30"/>
      <c r="E362" s="30"/>
      <c r="F362" s="30"/>
      <c r="G362" s="30"/>
      <c r="H362" s="30"/>
      <c r="I362" s="30"/>
      <c r="J362" s="30"/>
      <c r="K362" s="30"/>
    </row>
    <row r="363" customFormat="false" ht="15.75" hidden="false" customHeight="false" outlineLevel="0" collapsed="false">
      <c r="B363" s="30"/>
      <c r="E363" s="30"/>
      <c r="F363" s="30"/>
      <c r="G363" s="30"/>
      <c r="H363" s="30"/>
      <c r="I363" s="30"/>
      <c r="J363" s="30"/>
      <c r="K363" s="30"/>
    </row>
    <row r="364" customFormat="false" ht="15.75" hidden="false" customHeight="false" outlineLevel="0" collapsed="false">
      <c r="B364" s="30"/>
      <c r="E364" s="30"/>
      <c r="F364" s="30"/>
      <c r="G364" s="30"/>
      <c r="H364" s="30"/>
      <c r="I364" s="30"/>
      <c r="J364" s="30"/>
      <c r="K364" s="30"/>
    </row>
    <row r="365" customFormat="false" ht="15.75" hidden="false" customHeight="false" outlineLevel="0" collapsed="false">
      <c r="B365" s="30"/>
      <c r="E365" s="30"/>
      <c r="F365" s="30"/>
      <c r="G365" s="30"/>
      <c r="H365" s="30"/>
      <c r="I365" s="30"/>
      <c r="J365" s="30"/>
      <c r="K365" s="30"/>
    </row>
    <row r="366" customFormat="false" ht="15.75" hidden="false" customHeight="false" outlineLevel="0" collapsed="false">
      <c r="B366" s="30"/>
      <c r="E366" s="30"/>
      <c r="F366" s="30"/>
      <c r="G366" s="30"/>
      <c r="H366" s="30"/>
      <c r="I366" s="30"/>
      <c r="J366" s="30"/>
      <c r="K366" s="30"/>
    </row>
    <row r="367" customFormat="false" ht="15.75" hidden="false" customHeight="false" outlineLevel="0" collapsed="false">
      <c r="B367" s="30"/>
      <c r="E367" s="30"/>
      <c r="F367" s="30"/>
      <c r="G367" s="30"/>
      <c r="H367" s="30"/>
      <c r="I367" s="30"/>
      <c r="J367" s="30"/>
      <c r="K367" s="30"/>
    </row>
    <row r="368" customFormat="false" ht="15.75" hidden="false" customHeight="false" outlineLevel="0" collapsed="false">
      <c r="B368" s="30"/>
      <c r="E368" s="30"/>
      <c r="F368" s="30"/>
      <c r="G368" s="30"/>
      <c r="H368" s="30"/>
      <c r="I368" s="30"/>
      <c r="J368" s="30"/>
      <c r="K368" s="30"/>
    </row>
    <row r="369" customFormat="false" ht="15.75" hidden="false" customHeight="false" outlineLevel="0" collapsed="false">
      <c r="B369" s="30"/>
      <c r="E369" s="30"/>
      <c r="F369" s="30"/>
      <c r="G369" s="30"/>
      <c r="H369" s="30"/>
      <c r="I369" s="30"/>
      <c r="J369" s="30"/>
      <c r="K369" s="30"/>
    </row>
    <row r="370" customFormat="false" ht="15.75" hidden="false" customHeight="false" outlineLevel="0" collapsed="false">
      <c r="B370" s="30"/>
      <c r="E370" s="30"/>
      <c r="F370" s="30"/>
      <c r="G370" s="30"/>
      <c r="H370" s="30"/>
      <c r="I370" s="30"/>
      <c r="J370" s="30"/>
      <c r="K370" s="30"/>
    </row>
    <row r="371" customFormat="false" ht="15.75" hidden="false" customHeight="false" outlineLevel="0" collapsed="false">
      <c r="B371" s="30"/>
      <c r="E371" s="30"/>
      <c r="F371" s="30"/>
      <c r="G371" s="30"/>
      <c r="H371" s="30"/>
      <c r="I371" s="30"/>
      <c r="J371" s="30"/>
      <c r="K371" s="30"/>
    </row>
    <row r="372" customFormat="false" ht="15.75" hidden="false" customHeight="false" outlineLevel="0" collapsed="false">
      <c r="B372" s="30"/>
      <c r="E372" s="30"/>
      <c r="F372" s="30"/>
      <c r="G372" s="30"/>
      <c r="H372" s="30"/>
      <c r="I372" s="30"/>
      <c r="J372" s="30"/>
      <c r="K372" s="30"/>
    </row>
    <row r="373" customFormat="false" ht="15.75" hidden="false" customHeight="false" outlineLevel="0" collapsed="false">
      <c r="B373" s="30"/>
      <c r="E373" s="30"/>
      <c r="F373" s="30"/>
      <c r="G373" s="30"/>
      <c r="H373" s="30"/>
      <c r="I373" s="30"/>
      <c r="J373" s="30"/>
      <c r="K373" s="30"/>
    </row>
    <row r="374" customFormat="false" ht="15.75" hidden="false" customHeight="false" outlineLevel="0" collapsed="false">
      <c r="B374" s="30"/>
      <c r="E374" s="30"/>
      <c r="F374" s="30"/>
      <c r="G374" s="30"/>
      <c r="H374" s="30"/>
      <c r="I374" s="30"/>
      <c r="J374" s="30"/>
      <c r="K374" s="30"/>
    </row>
    <row r="375" customFormat="false" ht="15.75" hidden="false" customHeight="false" outlineLevel="0" collapsed="false">
      <c r="B375" s="30"/>
      <c r="E375" s="30"/>
      <c r="F375" s="30"/>
      <c r="G375" s="30"/>
      <c r="H375" s="30"/>
      <c r="I375" s="30"/>
      <c r="J375" s="30"/>
      <c r="K375" s="30"/>
    </row>
    <row r="376" customFormat="false" ht="15.75" hidden="false" customHeight="false" outlineLevel="0" collapsed="false">
      <c r="B376" s="30"/>
      <c r="E376" s="30"/>
      <c r="F376" s="30"/>
      <c r="G376" s="30"/>
      <c r="H376" s="30"/>
      <c r="I376" s="30"/>
      <c r="J376" s="30"/>
      <c r="K376" s="30"/>
    </row>
    <row r="377" customFormat="false" ht="15.75" hidden="false" customHeight="false" outlineLevel="0" collapsed="false">
      <c r="B377" s="30"/>
      <c r="E377" s="30"/>
      <c r="F377" s="30"/>
      <c r="G377" s="30"/>
      <c r="H377" s="30"/>
      <c r="I377" s="30"/>
      <c r="J377" s="30"/>
      <c r="K377" s="30"/>
    </row>
    <row r="378" customFormat="false" ht="15.75" hidden="false" customHeight="false" outlineLevel="0" collapsed="false">
      <c r="B378" s="30"/>
      <c r="E378" s="30"/>
      <c r="F378" s="30"/>
      <c r="G378" s="30"/>
      <c r="H378" s="30"/>
      <c r="I378" s="30"/>
      <c r="J378" s="30"/>
      <c r="K378" s="30"/>
    </row>
    <row r="379" customFormat="false" ht="15.75" hidden="false" customHeight="false" outlineLevel="0" collapsed="false">
      <c r="B379" s="30"/>
      <c r="E379" s="30"/>
      <c r="F379" s="30"/>
      <c r="G379" s="30"/>
      <c r="H379" s="30"/>
      <c r="I379" s="30"/>
      <c r="J379" s="30"/>
      <c r="K379" s="30"/>
    </row>
    <row r="380" customFormat="false" ht="15.75" hidden="false" customHeight="false" outlineLevel="0" collapsed="false">
      <c r="B380" s="30"/>
      <c r="E380" s="30"/>
      <c r="F380" s="30"/>
      <c r="G380" s="30"/>
      <c r="H380" s="30"/>
      <c r="I380" s="30"/>
      <c r="J380" s="30"/>
      <c r="K380" s="30"/>
    </row>
    <row r="381" customFormat="false" ht="15.75" hidden="false" customHeight="false" outlineLevel="0" collapsed="false">
      <c r="B381" s="30"/>
      <c r="E381" s="30"/>
      <c r="F381" s="30"/>
      <c r="G381" s="30"/>
      <c r="H381" s="30"/>
      <c r="I381" s="30"/>
      <c r="J381" s="30"/>
      <c r="K381" s="30"/>
    </row>
    <row r="382" customFormat="false" ht="15.75" hidden="false" customHeight="false" outlineLevel="0" collapsed="false">
      <c r="B382" s="30"/>
      <c r="E382" s="30"/>
      <c r="F382" s="30"/>
      <c r="G382" s="30"/>
      <c r="H382" s="30"/>
      <c r="I382" s="30"/>
      <c r="J382" s="30"/>
      <c r="K382" s="30"/>
    </row>
    <row r="383" customFormat="false" ht="15.75" hidden="false" customHeight="false" outlineLevel="0" collapsed="false">
      <c r="B383" s="30"/>
      <c r="E383" s="30"/>
      <c r="F383" s="30"/>
      <c r="G383" s="30"/>
      <c r="H383" s="30"/>
      <c r="I383" s="30"/>
      <c r="J383" s="30"/>
      <c r="K383" s="30"/>
    </row>
    <row r="384" customFormat="false" ht="15.75" hidden="false" customHeight="false" outlineLevel="0" collapsed="false">
      <c r="B384" s="30"/>
      <c r="E384" s="30"/>
      <c r="F384" s="30"/>
      <c r="G384" s="30"/>
      <c r="H384" s="30"/>
      <c r="I384" s="30"/>
      <c r="J384" s="30"/>
      <c r="K384" s="30"/>
    </row>
    <row r="385" customFormat="false" ht="15.75" hidden="false" customHeight="false" outlineLevel="0" collapsed="false">
      <c r="B385" s="30"/>
      <c r="E385" s="30"/>
      <c r="F385" s="30"/>
      <c r="G385" s="30"/>
      <c r="H385" s="30"/>
      <c r="I385" s="30"/>
      <c r="J385" s="30"/>
      <c r="K385" s="30"/>
    </row>
    <row r="386" customFormat="false" ht="15.75" hidden="false" customHeight="false" outlineLevel="0" collapsed="false">
      <c r="B386" s="30"/>
      <c r="E386" s="30"/>
      <c r="F386" s="30"/>
      <c r="G386" s="30"/>
      <c r="H386" s="30"/>
      <c r="I386" s="30"/>
      <c r="J386" s="30"/>
      <c r="K386" s="30"/>
    </row>
    <row r="387" customFormat="false" ht="15.75" hidden="false" customHeight="false" outlineLevel="0" collapsed="false">
      <c r="B387" s="30"/>
      <c r="E387" s="30"/>
      <c r="F387" s="30"/>
      <c r="G387" s="30"/>
      <c r="H387" s="30"/>
      <c r="I387" s="30"/>
      <c r="J387" s="30"/>
      <c r="K387" s="30"/>
    </row>
    <row r="388" customFormat="false" ht="15.75" hidden="false" customHeight="false" outlineLevel="0" collapsed="false">
      <c r="B388" s="30"/>
      <c r="E388" s="30"/>
      <c r="F388" s="30"/>
      <c r="G388" s="30"/>
      <c r="H388" s="30"/>
      <c r="I388" s="30"/>
      <c r="J388" s="30"/>
      <c r="K388" s="30"/>
    </row>
    <row r="389" customFormat="false" ht="15.75" hidden="false" customHeight="false" outlineLevel="0" collapsed="false">
      <c r="B389" s="30"/>
      <c r="E389" s="30"/>
      <c r="F389" s="30"/>
      <c r="G389" s="30"/>
      <c r="H389" s="30"/>
      <c r="I389" s="30"/>
      <c r="J389" s="30"/>
      <c r="K389" s="30"/>
    </row>
    <row r="390" customFormat="false" ht="15.75" hidden="false" customHeight="false" outlineLevel="0" collapsed="false">
      <c r="B390" s="30"/>
      <c r="E390" s="30"/>
      <c r="F390" s="30"/>
      <c r="G390" s="30"/>
      <c r="H390" s="30"/>
      <c r="I390" s="30"/>
      <c r="J390" s="30"/>
      <c r="K390" s="30"/>
    </row>
    <row r="391" customFormat="false" ht="15.75" hidden="false" customHeight="false" outlineLevel="0" collapsed="false">
      <c r="B391" s="30"/>
      <c r="E391" s="30"/>
      <c r="F391" s="30"/>
      <c r="G391" s="30"/>
      <c r="H391" s="30"/>
      <c r="I391" s="30"/>
      <c r="J391" s="30"/>
      <c r="K391" s="30"/>
    </row>
    <row r="392" customFormat="false" ht="15.75" hidden="false" customHeight="false" outlineLevel="0" collapsed="false">
      <c r="B392" s="30"/>
      <c r="E392" s="30"/>
      <c r="F392" s="30"/>
      <c r="G392" s="30"/>
      <c r="H392" s="30"/>
      <c r="I392" s="30"/>
      <c r="J392" s="30"/>
      <c r="K392" s="30"/>
    </row>
    <row r="393" customFormat="false" ht="15.75" hidden="false" customHeight="false" outlineLevel="0" collapsed="false">
      <c r="B393" s="30"/>
      <c r="E393" s="30"/>
      <c r="F393" s="30"/>
      <c r="G393" s="30"/>
      <c r="H393" s="30"/>
      <c r="I393" s="30"/>
      <c r="J393" s="30"/>
      <c r="K393" s="30"/>
    </row>
    <row r="394" customFormat="false" ht="15.75" hidden="false" customHeight="false" outlineLevel="0" collapsed="false">
      <c r="B394" s="30"/>
      <c r="E394" s="30"/>
      <c r="F394" s="30"/>
      <c r="G394" s="30"/>
      <c r="H394" s="30"/>
      <c r="I394" s="30"/>
      <c r="J394" s="30"/>
      <c r="K394" s="30"/>
    </row>
    <row r="395" customFormat="false" ht="15.75" hidden="false" customHeight="false" outlineLevel="0" collapsed="false">
      <c r="B395" s="30"/>
      <c r="E395" s="30"/>
      <c r="F395" s="30"/>
      <c r="G395" s="30"/>
      <c r="H395" s="30"/>
      <c r="I395" s="30"/>
      <c r="J395" s="30"/>
      <c r="K395" s="30"/>
    </row>
    <row r="396" customFormat="false" ht="15.75" hidden="false" customHeight="false" outlineLevel="0" collapsed="false">
      <c r="B396" s="30"/>
      <c r="E396" s="30"/>
      <c r="F396" s="30"/>
      <c r="G396" s="30"/>
      <c r="H396" s="30"/>
      <c r="I396" s="30"/>
      <c r="J396" s="30"/>
      <c r="K396" s="30"/>
    </row>
    <row r="397" customFormat="false" ht="15.75" hidden="false" customHeight="false" outlineLevel="0" collapsed="false">
      <c r="B397" s="30"/>
      <c r="E397" s="30"/>
      <c r="F397" s="30"/>
      <c r="G397" s="30"/>
      <c r="H397" s="30"/>
      <c r="I397" s="30"/>
      <c r="J397" s="30"/>
      <c r="K397" s="30"/>
    </row>
    <row r="398" customFormat="false" ht="15.75" hidden="false" customHeight="false" outlineLevel="0" collapsed="false">
      <c r="B398" s="30"/>
      <c r="E398" s="30"/>
      <c r="F398" s="30"/>
      <c r="G398" s="30"/>
      <c r="H398" s="30"/>
      <c r="I398" s="30"/>
      <c r="J398" s="30"/>
      <c r="K398" s="30"/>
    </row>
    <row r="399" customFormat="false" ht="15.75" hidden="false" customHeight="false" outlineLevel="0" collapsed="false">
      <c r="B399" s="30"/>
      <c r="E399" s="30"/>
      <c r="F399" s="30"/>
      <c r="G399" s="30"/>
      <c r="H399" s="30"/>
      <c r="I399" s="30"/>
      <c r="J399" s="30"/>
      <c r="K399" s="30"/>
    </row>
    <row r="400" customFormat="false" ht="15.75" hidden="false" customHeight="false" outlineLevel="0" collapsed="false">
      <c r="B400" s="30"/>
      <c r="E400" s="30"/>
      <c r="F400" s="30"/>
      <c r="G400" s="30"/>
      <c r="H400" s="30"/>
      <c r="I400" s="30"/>
      <c r="J400" s="30"/>
      <c r="K400" s="30"/>
    </row>
    <row r="401" customFormat="false" ht="15.75" hidden="false" customHeight="false" outlineLevel="0" collapsed="false">
      <c r="B401" s="30"/>
      <c r="E401" s="30"/>
      <c r="F401" s="30"/>
      <c r="G401" s="30"/>
      <c r="H401" s="30"/>
      <c r="I401" s="30"/>
      <c r="J401" s="30"/>
      <c r="K401" s="30"/>
    </row>
    <row r="402" customFormat="false" ht="15.75" hidden="false" customHeight="false" outlineLevel="0" collapsed="false">
      <c r="B402" s="30"/>
      <c r="E402" s="30"/>
      <c r="F402" s="30"/>
      <c r="G402" s="30"/>
      <c r="H402" s="30"/>
      <c r="I402" s="30"/>
      <c r="J402" s="30"/>
      <c r="K402" s="30"/>
    </row>
    <row r="403" customFormat="false" ht="15.75" hidden="false" customHeight="false" outlineLevel="0" collapsed="false">
      <c r="B403" s="30"/>
      <c r="E403" s="30"/>
      <c r="F403" s="30"/>
      <c r="G403" s="30"/>
      <c r="H403" s="30"/>
      <c r="I403" s="30"/>
      <c r="J403" s="30"/>
      <c r="K403" s="30"/>
    </row>
    <row r="404" customFormat="false" ht="15.75" hidden="false" customHeight="false" outlineLevel="0" collapsed="false">
      <c r="B404" s="30"/>
      <c r="E404" s="30"/>
      <c r="F404" s="30"/>
      <c r="G404" s="30"/>
      <c r="H404" s="30"/>
      <c r="I404" s="30"/>
      <c r="J404" s="30"/>
      <c r="K404" s="30"/>
    </row>
    <row r="405" customFormat="false" ht="15.75" hidden="false" customHeight="false" outlineLevel="0" collapsed="false">
      <c r="B405" s="30"/>
      <c r="E405" s="30"/>
      <c r="F405" s="30"/>
      <c r="G405" s="30"/>
      <c r="H405" s="30"/>
      <c r="I405" s="30"/>
      <c r="J405" s="30"/>
      <c r="K405" s="30"/>
    </row>
    <row r="406" customFormat="false" ht="15.75" hidden="false" customHeight="false" outlineLevel="0" collapsed="false">
      <c r="B406" s="30"/>
      <c r="E406" s="30"/>
      <c r="F406" s="30"/>
      <c r="G406" s="30"/>
      <c r="H406" s="30"/>
      <c r="I406" s="30"/>
      <c r="J406" s="30"/>
      <c r="K406" s="30"/>
    </row>
    <row r="407" customFormat="false" ht="15.75" hidden="false" customHeight="false" outlineLevel="0" collapsed="false">
      <c r="B407" s="30"/>
      <c r="E407" s="30"/>
      <c r="F407" s="30"/>
      <c r="G407" s="30"/>
      <c r="H407" s="30"/>
      <c r="I407" s="30"/>
      <c r="J407" s="30"/>
      <c r="K407" s="30"/>
    </row>
    <row r="408" customFormat="false" ht="15.75" hidden="false" customHeight="false" outlineLevel="0" collapsed="false">
      <c r="B408" s="30"/>
      <c r="E408" s="30"/>
      <c r="F408" s="30"/>
      <c r="G408" s="30"/>
      <c r="H408" s="30"/>
      <c r="I408" s="30"/>
      <c r="J408" s="30"/>
      <c r="K408" s="30"/>
    </row>
    <row r="409" customFormat="false" ht="15.75" hidden="false" customHeight="false" outlineLevel="0" collapsed="false">
      <c r="B409" s="30"/>
      <c r="E409" s="30"/>
      <c r="F409" s="30"/>
      <c r="G409" s="30"/>
      <c r="H409" s="30"/>
      <c r="I409" s="30"/>
      <c r="J409" s="30"/>
      <c r="K409" s="30"/>
    </row>
    <row r="410" customFormat="false" ht="15.75" hidden="false" customHeight="false" outlineLevel="0" collapsed="false">
      <c r="B410" s="30"/>
      <c r="E410" s="30"/>
      <c r="F410" s="30"/>
      <c r="G410" s="30"/>
      <c r="H410" s="30"/>
      <c r="I410" s="30"/>
      <c r="J410" s="30"/>
      <c r="K410" s="30"/>
    </row>
    <row r="411" customFormat="false" ht="15.75" hidden="false" customHeight="false" outlineLevel="0" collapsed="false">
      <c r="B411" s="30"/>
      <c r="E411" s="30"/>
      <c r="F411" s="30"/>
      <c r="G411" s="30"/>
      <c r="H411" s="30"/>
      <c r="I411" s="30"/>
      <c r="J411" s="30"/>
      <c r="K411" s="30"/>
    </row>
    <row r="412" customFormat="false" ht="15.75" hidden="false" customHeight="false" outlineLevel="0" collapsed="false">
      <c r="B412" s="30"/>
      <c r="E412" s="30"/>
      <c r="F412" s="30"/>
      <c r="G412" s="30"/>
      <c r="H412" s="30"/>
      <c r="I412" s="30"/>
      <c r="J412" s="30"/>
      <c r="K412" s="30"/>
    </row>
    <row r="413" customFormat="false" ht="15.75" hidden="false" customHeight="false" outlineLevel="0" collapsed="false">
      <c r="B413" s="30"/>
      <c r="E413" s="30"/>
      <c r="F413" s="30"/>
      <c r="G413" s="30"/>
      <c r="H413" s="30"/>
      <c r="I413" s="30"/>
      <c r="J413" s="30"/>
      <c r="K413" s="30"/>
    </row>
    <row r="414" customFormat="false" ht="15.75" hidden="false" customHeight="false" outlineLevel="0" collapsed="false">
      <c r="B414" s="30"/>
      <c r="E414" s="30"/>
      <c r="F414" s="30"/>
      <c r="G414" s="30"/>
      <c r="H414" s="30"/>
      <c r="I414" s="30"/>
      <c r="J414" s="30"/>
      <c r="K414" s="30"/>
    </row>
    <row r="415" customFormat="false" ht="15.75" hidden="false" customHeight="false" outlineLevel="0" collapsed="false">
      <c r="B415" s="30"/>
      <c r="E415" s="30"/>
      <c r="F415" s="30"/>
      <c r="G415" s="30"/>
      <c r="H415" s="30"/>
      <c r="I415" s="30"/>
      <c r="J415" s="30"/>
      <c r="K415" s="30"/>
    </row>
    <row r="416" customFormat="false" ht="15.75" hidden="false" customHeight="false" outlineLevel="0" collapsed="false">
      <c r="B416" s="30"/>
      <c r="E416" s="30"/>
      <c r="F416" s="30"/>
      <c r="G416" s="30"/>
      <c r="H416" s="30"/>
      <c r="I416" s="30"/>
      <c r="J416" s="30"/>
      <c r="K416" s="30"/>
    </row>
    <row r="417" customFormat="false" ht="15.75" hidden="false" customHeight="false" outlineLevel="0" collapsed="false">
      <c r="B417" s="30"/>
      <c r="E417" s="30"/>
      <c r="F417" s="30"/>
      <c r="G417" s="30"/>
      <c r="H417" s="30"/>
      <c r="I417" s="30"/>
      <c r="J417" s="30"/>
      <c r="K417" s="30"/>
    </row>
    <row r="418" customFormat="false" ht="15.75" hidden="false" customHeight="false" outlineLevel="0" collapsed="false">
      <c r="B418" s="30"/>
      <c r="E418" s="30"/>
      <c r="F418" s="30"/>
      <c r="G418" s="30"/>
      <c r="H418" s="30"/>
      <c r="I418" s="30"/>
      <c r="J418" s="30"/>
      <c r="K418" s="30"/>
    </row>
    <row r="419" customFormat="false" ht="15.75" hidden="false" customHeight="false" outlineLevel="0" collapsed="false">
      <c r="B419" s="30"/>
      <c r="E419" s="30"/>
      <c r="F419" s="30"/>
      <c r="G419" s="30"/>
      <c r="H419" s="30"/>
      <c r="I419" s="30"/>
      <c r="J419" s="30"/>
      <c r="K419" s="30"/>
    </row>
    <row r="420" customFormat="false" ht="15.75" hidden="false" customHeight="false" outlineLevel="0" collapsed="false">
      <c r="B420" s="30"/>
      <c r="E420" s="30"/>
      <c r="F420" s="30"/>
      <c r="G420" s="30"/>
      <c r="H420" s="30"/>
      <c r="I420" s="30"/>
      <c r="J420" s="30"/>
      <c r="K420" s="30"/>
    </row>
    <row r="421" customFormat="false" ht="15.75" hidden="false" customHeight="false" outlineLevel="0" collapsed="false">
      <c r="B421" s="30"/>
      <c r="E421" s="30"/>
      <c r="F421" s="30"/>
      <c r="G421" s="30"/>
      <c r="H421" s="30"/>
      <c r="I421" s="30"/>
      <c r="J421" s="30"/>
      <c r="K421" s="30"/>
    </row>
    <row r="422" customFormat="false" ht="15.75" hidden="false" customHeight="false" outlineLevel="0" collapsed="false">
      <c r="B422" s="30"/>
      <c r="E422" s="30"/>
      <c r="F422" s="30"/>
      <c r="G422" s="30"/>
      <c r="H422" s="30"/>
      <c r="I422" s="30"/>
      <c r="J422" s="30"/>
      <c r="K422" s="30"/>
    </row>
    <row r="423" customFormat="false" ht="15.75" hidden="false" customHeight="false" outlineLevel="0" collapsed="false">
      <c r="B423" s="30"/>
      <c r="E423" s="30"/>
      <c r="F423" s="30"/>
      <c r="G423" s="30"/>
      <c r="H423" s="30"/>
      <c r="I423" s="30"/>
      <c r="J423" s="30"/>
      <c r="K423" s="30"/>
    </row>
    <row r="424" customFormat="false" ht="15.75" hidden="false" customHeight="false" outlineLevel="0" collapsed="false">
      <c r="B424" s="30"/>
      <c r="E424" s="30"/>
      <c r="F424" s="30"/>
      <c r="G424" s="30"/>
      <c r="H424" s="30"/>
      <c r="I424" s="30"/>
      <c r="J424" s="30"/>
      <c r="K424" s="30"/>
    </row>
    <row r="425" customFormat="false" ht="15.75" hidden="false" customHeight="false" outlineLevel="0" collapsed="false">
      <c r="B425" s="30"/>
      <c r="E425" s="30"/>
      <c r="F425" s="30"/>
      <c r="G425" s="30"/>
      <c r="H425" s="30"/>
      <c r="I425" s="30"/>
      <c r="J425" s="30"/>
      <c r="K425" s="30"/>
    </row>
    <row r="426" customFormat="false" ht="15.75" hidden="false" customHeight="false" outlineLevel="0" collapsed="false">
      <c r="B426" s="30"/>
      <c r="E426" s="30"/>
      <c r="F426" s="30"/>
      <c r="G426" s="30"/>
      <c r="H426" s="30"/>
      <c r="I426" s="30"/>
      <c r="J426" s="30"/>
      <c r="K426" s="30"/>
    </row>
    <row r="427" customFormat="false" ht="15.75" hidden="false" customHeight="false" outlineLevel="0" collapsed="false">
      <c r="B427" s="30"/>
      <c r="E427" s="30"/>
      <c r="F427" s="30"/>
      <c r="G427" s="30"/>
      <c r="H427" s="30"/>
      <c r="I427" s="30"/>
      <c r="J427" s="30"/>
      <c r="K427" s="30"/>
    </row>
    <row r="428" customFormat="false" ht="15.75" hidden="false" customHeight="false" outlineLevel="0" collapsed="false">
      <c r="B428" s="30"/>
      <c r="E428" s="30"/>
      <c r="F428" s="30"/>
      <c r="G428" s="30"/>
      <c r="H428" s="30"/>
      <c r="I428" s="30"/>
      <c r="J428" s="30"/>
      <c r="K428" s="30"/>
    </row>
    <row r="429" customFormat="false" ht="15.75" hidden="false" customHeight="false" outlineLevel="0" collapsed="false">
      <c r="B429" s="30"/>
      <c r="E429" s="30"/>
      <c r="F429" s="30"/>
      <c r="G429" s="30"/>
      <c r="H429" s="30"/>
      <c r="I429" s="30"/>
      <c r="J429" s="30"/>
      <c r="K429" s="30"/>
    </row>
    <row r="430" customFormat="false" ht="15.75" hidden="false" customHeight="false" outlineLevel="0" collapsed="false">
      <c r="B430" s="30"/>
      <c r="E430" s="30"/>
      <c r="F430" s="30"/>
      <c r="G430" s="30"/>
      <c r="H430" s="30"/>
      <c r="I430" s="30"/>
      <c r="J430" s="30"/>
      <c r="K430" s="30"/>
    </row>
    <row r="431" customFormat="false" ht="15.75" hidden="false" customHeight="false" outlineLevel="0" collapsed="false">
      <c r="B431" s="30"/>
      <c r="E431" s="30"/>
      <c r="F431" s="30"/>
      <c r="G431" s="30"/>
      <c r="H431" s="30"/>
      <c r="I431" s="30"/>
      <c r="J431" s="30"/>
      <c r="K431" s="30"/>
    </row>
    <row r="432" customFormat="false" ht="15.75" hidden="false" customHeight="false" outlineLevel="0" collapsed="false">
      <c r="B432" s="30"/>
      <c r="E432" s="30"/>
      <c r="F432" s="30"/>
      <c r="G432" s="30"/>
      <c r="H432" s="30"/>
      <c r="I432" s="30"/>
      <c r="J432" s="30"/>
      <c r="K432" s="30"/>
    </row>
    <row r="433" customFormat="false" ht="15.75" hidden="false" customHeight="false" outlineLevel="0" collapsed="false">
      <c r="B433" s="30"/>
      <c r="E433" s="30"/>
      <c r="F433" s="30"/>
      <c r="G433" s="30"/>
      <c r="H433" s="30"/>
      <c r="I433" s="30"/>
      <c r="J433" s="30"/>
      <c r="K433" s="30"/>
    </row>
    <row r="434" customFormat="false" ht="15.75" hidden="false" customHeight="false" outlineLevel="0" collapsed="false">
      <c r="B434" s="30"/>
      <c r="E434" s="30"/>
      <c r="F434" s="30"/>
      <c r="G434" s="30"/>
      <c r="H434" s="30"/>
      <c r="I434" s="30"/>
      <c r="J434" s="30"/>
      <c r="K434" s="30"/>
    </row>
    <row r="435" customFormat="false" ht="15.75" hidden="false" customHeight="false" outlineLevel="0" collapsed="false">
      <c r="B435" s="30"/>
      <c r="E435" s="30"/>
      <c r="F435" s="30"/>
      <c r="G435" s="30"/>
      <c r="H435" s="30"/>
      <c r="I435" s="30"/>
      <c r="J435" s="30"/>
      <c r="K435" s="30"/>
    </row>
    <row r="436" customFormat="false" ht="15.75" hidden="false" customHeight="false" outlineLevel="0" collapsed="false">
      <c r="B436" s="30"/>
      <c r="E436" s="30"/>
      <c r="F436" s="30"/>
      <c r="G436" s="30"/>
      <c r="H436" s="30"/>
      <c r="I436" s="30"/>
      <c r="J436" s="30"/>
      <c r="K436" s="30"/>
    </row>
    <row r="437" customFormat="false" ht="15.75" hidden="false" customHeight="false" outlineLevel="0" collapsed="false">
      <c r="B437" s="30"/>
      <c r="E437" s="30"/>
      <c r="F437" s="30"/>
      <c r="G437" s="30"/>
      <c r="H437" s="30"/>
      <c r="I437" s="30"/>
      <c r="J437" s="30"/>
      <c r="K437" s="30"/>
    </row>
    <row r="438" customFormat="false" ht="15.75" hidden="false" customHeight="false" outlineLevel="0" collapsed="false">
      <c r="B438" s="30"/>
      <c r="E438" s="30"/>
      <c r="F438" s="30"/>
      <c r="G438" s="30"/>
      <c r="H438" s="30"/>
      <c r="I438" s="30"/>
      <c r="J438" s="30"/>
      <c r="K438" s="30"/>
    </row>
    <row r="439" customFormat="false" ht="15.75" hidden="false" customHeight="false" outlineLevel="0" collapsed="false">
      <c r="B439" s="30"/>
      <c r="E439" s="30"/>
      <c r="F439" s="30"/>
      <c r="G439" s="30"/>
      <c r="H439" s="30"/>
      <c r="I439" s="30"/>
      <c r="J439" s="30"/>
      <c r="K439" s="30"/>
    </row>
    <row r="440" customFormat="false" ht="15.75" hidden="false" customHeight="false" outlineLevel="0" collapsed="false">
      <c r="B440" s="30"/>
      <c r="E440" s="30"/>
      <c r="F440" s="30"/>
      <c r="G440" s="30"/>
      <c r="H440" s="30"/>
      <c r="I440" s="30"/>
      <c r="J440" s="30"/>
      <c r="K440" s="30"/>
    </row>
    <row r="441" customFormat="false" ht="15.75" hidden="false" customHeight="false" outlineLevel="0" collapsed="false">
      <c r="B441" s="30"/>
      <c r="E441" s="30"/>
      <c r="F441" s="30"/>
      <c r="G441" s="30"/>
      <c r="H441" s="30"/>
      <c r="I441" s="30"/>
      <c r="J441" s="30"/>
      <c r="K441" s="30"/>
    </row>
    <row r="442" customFormat="false" ht="15.75" hidden="false" customHeight="false" outlineLevel="0" collapsed="false">
      <c r="B442" s="30"/>
      <c r="E442" s="30"/>
      <c r="F442" s="30"/>
      <c r="G442" s="30"/>
      <c r="H442" s="30"/>
      <c r="I442" s="30"/>
      <c r="J442" s="30"/>
      <c r="K442" s="30"/>
    </row>
    <row r="443" customFormat="false" ht="15.75" hidden="false" customHeight="false" outlineLevel="0" collapsed="false">
      <c r="B443" s="30"/>
      <c r="E443" s="30"/>
      <c r="F443" s="30"/>
      <c r="G443" s="30"/>
      <c r="H443" s="30"/>
      <c r="I443" s="30"/>
      <c r="J443" s="30"/>
      <c r="K443" s="30"/>
    </row>
    <row r="444" customFormat="false" ht="15.75" hidden="false" customHeight="false" outlineLevel="0" collapsed="false">
      <c r="B444" s="30"/>
      <c r="E444" s="30"/>
      <c r="F444" s="30"/>
      <c r="G444" s="30"/>
      <c r="H444" s="30"/>
      <c r="I444" s="30"/>
      <c r="J444" s="30"/>
      <c r="K444" s="30"/>
    </row>
    <row r="445" customFormat="false" ht="15.75" hidden="false" customHeight="false" outlineLevel="0" collapsed="false">
      <c r="B445" s="30"/>
      <c r="E445" s="30"/>
      <c r="F445" s="30"/>
      <c r="G445" s="30"/>
      <c r="H445" s="30"/>
      <c r="I445" s="30"/>
      <c r="J445" s="30"/>
      <c r="K445" s="30"/>
    </row>
    <row r="446" customFormat="false" ht="15.75" hidden="false" customHeight="false" outlineLevel="0" collapsed="false">
      <c r="B446" s="30"/>
      <c r="E446" s="30"/>
      <c r="F446" s="30"/>
      <c r="G446" s="30"/>
      <c r="H446" s="30"/>
      <c r="I446" s="30"/>
      <c r="J446" s="30"/>
      <c r="K446" s="30"/>
    </row>
    <row r="447" customFormat="false" ht="15.75" hidden="false" customHeight="false" outlineLevel="0" collapsed="false">
      <c r="B447" s="30"/>
      <c r="E447" s="30"/>
      <c r="F447" s="30"/>
      <c r="G447" s="30"/>
      <c r="H447" s="30"/>
      <c r="I447" s="30"/>
      <c r="J447" s="30"/>
      <c r="K447" s="30"/>
    </row>
    <row r="448" customFormat="false" ht="15.75" hidden="false" customHeight="false" outlineLevel="0" collapsed="false">
      <c r="B448" s="30"/>
      <c r="E448" s="30"/>
      <c r="F448" s="30"/>
      <c r="G448" s="30"/>
      <c r="H448" s="30"/>
      <c r="I448" s="30"/>
      <c r="J448" s="30"/>
      <c r="K448" s="30"/>
    </row>
    <row r="449" customFormat="false" ht="15.75" hidden="false" customHeight="false" outlineLevel="0" collapsed="false">
      <c r="B449" s="30"/>
      <c r="E449" s="30"/>
      <c r="F449" s="30"/>
      <c r="G449" s="30"/>
      <c r="H449" s="30"/>
      <c r="I449" s="30"/>
      <c r="J449" s="30"/>
      <c r="K449" s="30"/>
    </row>
    <row r="450" customFormat="false" ht="15.75" hidden="false" customHeight="false" outlineLevel="0" collapsed="false">
      <c r="B450" s="30"/>
      <c r="E450" s="30"/>
      <c r="F450" s="30"/>
      <c r="G450" s="30"/>
      <c r="H450" s="30"/>
      <c r="I450" s="30"/>
      <c r="J450" s="30"/>
      <c r="K450" s="30"/>
    </row>
    <row r="451" customFormat="false" ht="15.75" hidden="false" customHeight="false" outlineLevel="0" collapsed="false">
      <c r="B451" s="30"/>
      <c r="E451" s="30"/>
      <c r="F451" s="30"/>
      <c r="G451" s="30"/>
      <c r="H451" s="30"/>
      <c r="I451" s="30"/>
      <c r="J451" s="30"/>
      <c r="K451" s="30"/>
    </row>
    <row r="452" customFormat="false" ht="15.75" hidden="false" customHeight="false" outlineLevel="0" collapsed="false">
      <c r="B452" s="30"/>
      <c r="E452" s="30"/>
      <c r="F452" s="30"/>
      <c r="G452" s="30"/>
      <c r="H452" s="30"/>
      <c r="I452" s="30"/>
      <c r="J452" s="30"/>
      <c r="K452" s="30"/>
    </row>
    <row r="453" customFormat="false" ht="15.75" hidden="false" customHeight="false" outlineLevel="0" collapsed="false">
      <c r="B453" s="30"/>
      <c r="E453" s="30"/>
      <c r="F453" s="30"/>
      <c r="G453" s="30"/>
      <c r="H453" s="30"/>
      <c r="I453" s="30"/>
      <c r="J453" s="30"/>
      <c r="K453" s="30"/>
    </row>
    <row r="454" customFormat="false" ht="15.75" hidden="false" customHeight="false" outlineLevel="0" collapsed="false">
      <c r="B454" s="30"/>
      <c r="E454" s="30"/>
      <c r="F454" s="30"/>
      <c r="G454" s="30"/>
      <c r="H454" s="30"/>
      <c r="I454" s="30"/>
      <c r="J454" s="30"/>
      <c r="K454" s="30"/>
    </row>
    <row r="455" customFormat="false" ht="15.75" hidden="false" customHeight="false" outlineLevel="0" collapsed="false">
      <c r="B455" s="30"/>
      <c r="E455" s="30"/>
      <c r="F455" s="30"/>
      <c r="G455" s="30"/>
      <c r="H455" s="30"/>
      <c r="I455" s="30"/>
      <c r="J455" s="30"/>
      <c r="K455" s="30"/>
    </row>
    <row r="456" customFormat="false" ht="15.75" hidden="false" customHeight="false" outlineLevel="0" collapsed="false">
      <c r="B456" s="30"/>
      <c r="E456" s="30"/>
      <c r="F456" s="30"/>
      <c r="G456" s="30"/>
      <c r="H456" s="30"/>
      <c r="I456" s="30"/>
      <c r="J456" s="30"/>
      <c r="K456" s="30"/>
    </row>
    <row r="457" customFormat="false" ht="15.75" hidden="false" customHeight="false" outlineLevel="0" collapsed="false">
      <c r="B457" s="30"/>
      <c r="E457" s="30"/>
      <c r="F457" s="30"/>
      <c r="G457" s="30"/>
      <c r="H457" s="30"/>
      <c r="I457" s="30"/>
      <c r="J457" s="30"/>
      <c r="K457" s="30"/>
    </row>
    <row r="458" customFormat="false" ht="15.75" hidden="false" customHeight="false" outlineLevel="0" collapsed="false">
      <c r="B458" s="30"/>
      <c r="E458" s="30"/>
      <c r="F458" s="30"/>
      <c r="G458" s="30"/>
      <c r="H458" s="30"/>
      <c r="I458" s="30"/>
      <c r="J458" s="30"/>
      <c r="K458" s="30"/>
    </row>
    <row r="459" customFormat="false" ht="15.75" hidden="false" customHeight="false" outlineLevel="0" collapsed="false">
      <c r="B459" s="30"/>
      <c r="E459" s="30"/>
      <c r="F459" s="30"/>
      <c r="G459" s="30"/>
      <c r="H459" s="30"/>
      <c r="I459" s="30"/>
      <c r="J459" s="30"/>
      <c r="K459" s="30"/>
    </row>
    <row r="460" customFormat="false" ht="15.75" hidden="false" customHeight="false" outlineLevel="0" collapsed="false">
      <c r="B460" s="30"/>
      <c r="E460" s="30"/>
      <c r="F460" s="30"/>
      <c r="G460" s="30"/>
      <c r="H460" s="30"/>
      <c r="I460" s="30"/>
      <c r="J460" s="30"/>
      <c r="K460" s="30"/>
    </row>
    <row r="461" customFormat="false" ht="15.75" hidden="false" customHeight="false" outlineLevel="0" collapsed="false">
      <c r="B461" s="30"/>
      <c r="E461" s="30"/>
      <c r="F461" s="30"/>
      <c r="G461" s="30"/>
      <c r="H461" s="30"/>
      <c r="I461" s="30"/>
      <c r="J461" s="30"/>
      <c r="K461" s="30"/>
    </row>
    <row r="462" customFormat="false" ht="15.75" hidden="false" customHeight="false" outlineLevel="0" collapsed="false">
      <c r="B462" s="30"/>
      <c r="E462" s="30"/>
      <c r="F462" s="30"/>
      <c r="G462" s="30"/>
      <c r="H462" s="30"/>
      <c r="I462" s="30"/>
      <c r="J462" s="30"/>
      <c r="K462" s="30"/>
    </row>
    <row r="463" customFormat="false" ht="15.75" hidden="false" customHeight="false" outlineLevel="0" collapsed="false">
      <c r="B463" s="30"/>
      <c r="E463" s="30"/>
      <c r="F463" s="30"/>
      <c r="G463" s="30"/>
      <c r="H463" s="30"/>
      <c r="I463" s="30"/>
      <c r="J463" s="30"/>
      <c r="K463" s="30"/>
    </row>
    <row r="464" customFormat="false" ht="15.75" hidden="false" customHeight="false" outlineLevel="0" collapsed="false">
      <c r="B464" s="30"/>
      <c r="E464" s="30"/>
      <c r="F464" s="30"/>
      <c r="G464" s="30"/>
      <c r="H464" s="30"/>
      <c r="I464" s="30"/>
      <c r="J464" s="30"/>
      <c r="K464" s="30"/>
    </row>
    <row r="465" customFormat="false" ht="15.75" hidden="false" customHeight="false" outlineLevel="0" collapsed="false">
      <c r="B465" s="30"/>
      <c r="E465" s="30"/>
      <c r="F465" s="30"/>
      <c r="G465" s="30"/>
      <c r="H465" s="30"/>
      <c r="I465" s="30"/>
      <c r="J465" s="30"/>
      <c r="K465" s="30"/>
    </row>
    <row r="466" customFormat="false" ht="15.75" hidden="false" customHeight="false" outlineLevel="0" collapsed="false">
      <c r="B466" s="30"/>
      <c r="E466" s="30"/>
      <c r="F466" s="30"/>
      <c r="G466" s="30"/>
      <c r="H466" s="30"/>
      <c r="I466" s="30"/>
      <c r="J466" s="30"/>
      <c r="K466" s="30"/>
    </row>
    <row r="467" customFormat="false" ht="15.75" hidden="false" customHeight="false" outlineLevel="0" collapsed="false">
      <c r="B467" s="30"/>
      <c r="E467" s="30"/>
      <c r="F467" s="30"/>
      <c r="G467" s="30"/>
      <c r="H467" s="30"/>
      <c r="I467" s="30"/>
      <c r="J467" s="30"/>
      <c r="K467" s="30"/>
    </row>
    <row r="468" customFormat="false" ht="15.75" hidden="false" customHeight="false" outlineLevel="0" collapsed="false">
      <c r="B468" s="30"/>
      <c r="E468" s="30"/>
      <c r="F468" s="30"/>
      <c r="G468" s="30"/>
      <c r="H468" s="30"/>
      <c r="I468" s="30"/>
      <c r="J468" s="30"/>
      <c r="K468" s="30"/>
    </row>
    <row r="469" customFormat="false" ht="15.75" hidden="false" customHeight="false" outlineLevel="0" collapsed="false">
      <c r="B469" s="30"/>
      <c r="E469" s="30"/>
      <c r="F469" s="30"/>
      <c r="G469" s="30"/>
      <c r="H469" s="30"/>
      <c r="I469" s="30"/>
      <c r="J469" s="30"/>
      <c r="K469" s="30"/>
    </row>
    <row r="470" customFormat="false" ht="15.75" hidden="false" customHeight="false" outlineLevel="0" collapsed="false">
      <c r="B470" s="30"/>
      <c r="E470" s="30"/>
      <c r="F470" s="30"/>
      <c r="G470" s="30"/>
      <c r="H470" s="30"/>
      <c r="I470" s="30"/>
      <c r="J470" s="30"/>
      <c r="K470" s="30"/>
    </row>
    <row r="471" customFormat="false" ht="15.75" hidden="false" customHeight="false" outlineLevel="0" collapsed="false">
      <c r="B471" s="30"/>
      <c r="E471" s="30"/>
      <c r="F471" s="30"/>
      <c r="G471" s="30"/>
      <c r="H471" s="30"/>
      <c r="I471" s="30"/>
      <c r="J471" s="30"/>
      <c r="K471" s="30"/>
    </row>
    <row r="472" customFormat="false" ht="15.75" hidden="false" customHeight="false" outlineLevel="0" collapsed="false">
      <c r="B472" s="30"/>
      <c r="E472" s="30"/>
      <c r="F472" s="30"/>
      <c r="G472" s="30"/>
      <c r="H472" s="30"/>
      <c r="I472" s="30"/>
      <c r="J472" s="30"/>
      <c r="K472" s="30"/>
    </row>
    <row r="473" customFormat="false" ht="15.75" hidden="false" customHeight="false" outlineLevel="0" collapsed="false">
      <c r="B473" s="30"/>
      <c r="E473" s="30"/>
      <c r="F473" s="30"/>
      <c r="G473" s="30"/>
      <c r="H473" s="30"/>
      <c r="I473" s="30"/>
      <c r="J473" s="30"/>
      <c r="K473" s="30"/>
    </row>
    <row r="474" customFormat="false" ht="15.75" hidden="false" customHeight="false" outlineLevel="0" collapsed="false">
      <c r="B474" s="30"/>
      <c r="E474" s="30"/>
      <c r="F474" s="30"/>
      <c r="G474" s="30"/>
      <c r="H474" s="30"/>
      <c r="I474" s="30"/>
      <c r="J474" s="30"/>
      <c r="K474" s="30"/>
    </row>
    <row r="475" customFormat="false" ht="15.75" hidden="false" customHeight="false" outlineLevel="0" collapsed="false">
      <c r="B475" s="30"/>
      <c r="E475" s="30"/>
      <c r="F475" s="30"/>
      <c r="G475" s="30"/>
      <c r="H475" s="30"/>
      <c r="I475" s="30"/>
      <c r="J475" s="30"/>
      <c r="K475" s="30"/>
    </row>
    <row r="476" customFormat="false" ht="15.75" hidden="false" customHeight="false" outlineLevel="0" collapsed="false">
      <c r="B476" s="30"/>
      <c r="E476" s="30"/>
      <c r="F476" s="30"/>
      <c r="G476" s="30"/>
      <c r="H476" s="30"/>
      <c r="I476" s="30"/>
      <c r="J476" s="30"/>
      <c r="K476" s="30"/>
    </row>
    <row r="477" customFormat="false" ht="15.75" hidden="false" customHeight="false" outlineLevel="0" collapsed="false">
      <c r="B477" s="30"/>
      <c r="E477" s="30"/>
      <c r="F477" s="30"/>
      <c r="G477" s="30"/>
      <c r="H477" s="30"/>
      <c r="I477" s="30"/>
      <c r="J477" s="30"/>
      <c r="K477" s="30"/>
    </row>
    <row r="478" customFormat="false" ht="15.75" hidden="false" customHeight="false" outlineLevel="0" collapsed="false">
      <c r="B478" s="30"/>
      <c r="E478" s="30"/>
      <c r="F478" s="30"/>
      <c r="G478" s="30"/>
      <c r="H478" s="30"/>
      <c r="I478" s="30"/>
      <c r="J478" s="30"/>
      <c r="K478" s="30"/>
    </row>
    <row r="479" customFormat="false" ht="15.75" hidden="false" customHeight="false" outlineLevel="0" collapsed="false">
      <c r="B479" s="30"/>
      <c r="E479" s="30"/>
      <c r="F479" s="30"/>
      <c r="G479" s="30"/>
      <c r="H479" s="30"/>
      <c r="I479" s="30"/>
      <c r="J479" s="30"/>
      <c r="K479" s="30"/>
    </row>
    <row r="480" customFormat="false" ht="15.75" hidden="false" customHeight="false" outlineLevel="0" collapsed="false">
      <c r="B480" s="30"/>
      <c r="E480" s="30"/>
      <c r="F480" s="30"/>
      <c r="G480" s="30"/>
      <c r="H480" s="30"/>
      <c r="I480" s="30"/>
      <c r="J480" s="30"/>
      <c r="K480" s="30"/>
    </row>
    <row r="481" customFormat="false" ht="15.75" hidden="false" customHeight="false" outlineLevel="0" collapsed="false">
      <c r="B481" s="30"/>
      <c r="E481" s="30"/>
      <c r="F481" s="30"/>
      <c r="G481" s="30"/>
      <c r="H481" s="30"/>
      <c r="I481" s="30"/>
      <c r="J481" s="30"/>
      <c r="K481" s="30"/>
    </row>
    <row r="482" customFormat="false" ht="15.75" hidden="false" customHeight="false" outlineLevel="0" collapsed="false">
      <c r="B482" s="30"/>
      <c r="E482" s="30"/>
      <c r="F482" s="30"/>
      <c r="G482" s="30"/>
      <c r="H482" s="30"/>
      <c r="I482" s="30"/>
      <c r="J482" s="30"/>
      <c r="K482" s="30"/>
    </row>
    <row r="483" customFormat="false" ht="15.75" hidden="false" customHeight="false" outlineLevel="0" collapsed="false">
      <c r="B483" s="30"/>
      <c r="E483" s="30"/>
      <c r="F483" s="30"/>
      <c r="G483" s="30"/>
      <c r="H483" s="30"/>
      <c r="I483" s="30"/>
      <c r="J483" s="30"/>
      <c r="K483" s="30"/>
    </row>
    <row r="484" customFormat="false" ht="15.75" hidden="false" customHeight="false" outlineLevel="0" collapsed="false">
      <c r="B484" s="30"/>
      <c r="E484" s="30"/>
      <c r="F484" s="30"/>
      <c r="G484" s="30"/>
      <c r="H484" s="30"/>
      <c r="I484" s="30"/>
      <c r="J484" s="30"/>
      <c r="K484" s="30"/>
    </row>
    <row r="485" customFormat="false" ht="15.75" hidden="false" customHeight="false" outlineLevel="0" collapsed="false">
      <c r="B485" s="30"/>
      <c r="E485" s="30"/>
      <c r="F485" s="30"/>
      <c r="G485" s="30"/>
      <c r="H485" s="30"/>
      <c r="I485" s="30"/>
      <c r="J485" s="30"/>
      <c r="K485" s="30"/>
    </row>
    <row r="486" customFormat="false" ht="15.75" hidden="false" customHeight="false" outlineLevel="0" collapsed="false">
      <c r="B486" s="30"/>
      <c r="E486" s="30"/>
      <c r="F486" s="30"/>
      <c r="G486" s="30"/>
      <c r="H486" s="30"/>
      <c r="I486" s="30"/>
      <c r="J486" s="30"/>
      <c r="K486" s="30"/>
    </row>
    <row r="487" customFormat="false" ht="15.75" hidden="false" customHeight="false" outlineLevel="0" collapsed="false">
      <c r="B487" s="30"/>
      <c r="E487" s="30"/>
      <c r="F487" s="30"/>
      <c r="G487" s="30"/>
      <c r="H487" s="30"/>
      <c r="I487" s="30"/>
      <c r="J487" s="30"/>
      <c r="K487" s="30"/>
    </row>
    <row r="488" customFormat="false" ht="15.75" hidden="false" customHeight="false" outlineLevel="0" collapsed="false">
      <c r="B488" s="30"/>
      <c r="E488" s="30"/>
      <c r="F488" s="30"/>
      <c r="G488" s="30"/>
      <c r="H488" s="30"/>
      <c r="I488" s="30"/>
      <c r="J488" s="30"/>
      <c r="K488" s="30"/>
    </row>
    <row r="489" customFormat="false" ht="15.75" hidden="false" customHeight="false" outlineLevel="0" collapsed="false">
      <c r="B489" s="30"/>
      <c r="E489" s="30"/>
      <c r="F489" s="30"/>
      <c r="G489" s="30"/>
      <c r="H489" s="30"/>
      <c r="I489" s="30"/>
      <c r="J489" s="30"/>
      <c r="K489" s="30"/>
    </row>
    <row r="490" customFormat="false" ht="15.75" hidden="false" customHeight="false" outlineLevel="0" collapsed="false">
      <c r="B490" s="30"/>
      <c r="E490" s="30"/>
      <c r="F490" s="30"/>
      <c r="G490" s="30"/>
      <c r="H490" s="30"/>
      <c r="I490" s="30"/>
      <c r="J490" s="30"/>
      <c r="K490" s="30"/>
    </row>
    <row r="491" customFormat="false" ht="15.75" hidden="false" customHeight="false" outlineLevel="0" collapsed="false">
      <c r="B491" s="30"/>
      <c r="E491" s="30"/>
      <c r="F491" s="30"/>
      <c r="G491" s="30"/>
      <c r="H491" s="30"/>
      <c r="I491" s="30"/>
      <c r="J491" s="30"/>
      <c r="K491" s="30"/>
    </row>
    <row r="492" customFormat="false" ht="15.75" hidden="false" customHeight="false" outlineLevel="0" collapsed="false">
      <c r="B492" s="30"/>
      <c r="E492" s="30"/>
      <c r="F492" s="30"/>
      <c r="G492" s="30"/>
      <c r="H492" s="30"/>
      <c r="I492" s="30"/>
      <c r="J492" s="30"/>
      <c r="K492" s="30"/>
    </row>
    <row r="493" customFormat="false" ht="15.75" hidden="false" customHeight="false" outlineLevel="0" collapsed="false">
      <c r="B493" s="30"/>
      <c r="E493" s="30"/>
      <c r="F493" s="30"/>
      <c r="G493" s="30"/>
      <c r="H493" s="30"/>
      <c r="I493" s="30"/>
      <c r="J493" s="30"/>
      <c r="K493" s="30"/>
    </row>
    <row r="494" customFormat="false" ht="15.75" hidden="false" customHeight="false" outlineLevel="0" collapsed="false">
      <c r="B494" s="30"/>
      <c r="E494" s="30"/>
      <c r="F494" s="30"/>
      <c r="G494" s="30"/>
      <c r="H494" s="30"/>
      <c r="I494" s="30"/>
      <c r="J494" s="30"/>
      <c r="K494" s="30"/>
    </row>
    <row r="495" customFormat="false" ht="15.75" hidden="false" customHeight="false" outlineLevel="0" collapsed="false">
      <c r="B495" s="30"/>
      <c r="E495" s="30"/>
      <c r="F495" s="30"/>
      <c r="G495" s="30"/>
      <c r="H495" s="30"/>
      <c r="I495" s="30"/>
      <c r="J495" s="30"/>
      <c r="K495" s="30"/>
    </row>
    <row r="496" customFormat="false" ht="15.75" hidden="false" customHeight="false" outlineLevel="0" collapsed="false">
      <c r="B496" s="30"/>
      <c r="E496" s="30"/>
      <c r="F496" s="30"/>
      <c r="G496" s="30"/>
      <c r="H496" s="30"/>
      <c r="I496" s="30"/>
      <c r="J496" s="30"/>
      <c r="K496" s="30"/>
    </row>
    <row r="497" customFormat="false" ht="15.75" hidden="false" customHeight="false" outlineLevel="0" collapsed="false">
      <c r="B497" s="30"/>
      <c r="E497" s="30"/>
      <c r="F497" s="30"/>
      <c r="G497" s="30"/>
      <c r="H497" s="30"/>
      <c r="I497" s="30"/>
      <c r="J497" s="30"/>
      <c r="K497" s="30"/>
    </row>
    <row r="498" customFormat="false" ht="15.75" hidden="false" customHeight="false" outlineLevel="0" collapsed="false">
      <c r="B498" s="30"/>
      <c r="E498" s="30"/>
      <c r="F498" s="30"/>
      <c r="G498" s="30"/>
      <c r="H498" s="30"/>
      <c r="I498" s="30"/>
      <c r="J498" s="30"/>
      <c r="K498" s="30"/>
    </row>
    <row r="499" customFormat="false" ht="15.75" hidden="false" customHeight="false" outlineLevel="0" collapsed="false">
      <c r="B499" s="30"/>
      <c r="E499" s="30"/>
      <c r="F499" s="30"/>
      <c r="G499" s="30"/>
      <c r="H499" s="30"/>
      <c r="I499" s="30"/>
      <c r="J499" s="30"/>
      <c r="K499" s="30"/>
    </row>
    <row r="500" customFormat="false" ht="15.75" hidden="false" customHeight="false" outlineLevel="0" collapsed="false">
      <c r="B500" s="30"/>
      <c r="E500" s="30"/>
      <c r="F500" s="30"/>
      <c r="G500" s="30"/>
      <c r="H500" s="30"/>
      <c r="I500" s="30"/>
      <c r="J500" s="30"/>
      <c r="K500" s="30"/>
    </row>
    <row r="501" customFormat="false" ht="15.75" hidden="false" customHeight="false" outlineLevel="0" collapsed="false">
      <c r="B501" s="30"/>
      <c r="E501" s="30"/>
      <c r="F501" s="30"/>
      <c r="G501" s="30"/>
      <c r="H501" s="30"/>
      <c r="I501" s="30"/>
      <c r="J501" s="30"/>
      <c r="K501" s="30"/>
    </row>
    <row r="502" customFormat="false" ht="15.75" hidden="false" customHeight="false" outlineLevel="0" collapsed="false">
      <c r="B502" s="30"/>
      <c r="E502" s="30"/>
      <c r="F502" s="30"/>
      <c r="G502" s="30"/>
      <c r="H502" s="30"/>
      <c r="I502" s="30"/>
      <c r="J502" s="30"/>
      <c r="K502" s="30"/>
    </row>
    <row r="503" customFormat="false" ht="15.75" hidden="false" customHeight="false" outlineLevel="0" collapsed="false">
      <c r="B503" s="30"/>
      <c r="E503" s="30"/>
      <c r="F503" s="30"/>
      <c r="G503" s="30"/>
      <c r="H503" s="30"/>
      <c r="I503" s="30"/>
      <c r="J503" s="30"/>
      <c r="K503" s="30"/>
    </row>
    <row r="504" customFormat="false" ht="15.75" hidden="false" customHeight="false" outlineLevel="0" collapsed="false">
      <c r="B504" s="30"/>
      <c r="E504" s="30"/>
      <c r="F504" s="30"/>
      <c r="G504" s="30"/>
      <c r="H504" s="30"/>
      <c r="I504" s="30"/>
      <c r="J504" s="30"/>
      <c r="K504" s="30"/>
    </row>
    <row r="505" customFormat="false" ht="15.75" hidden="false" customHeight="false" outlineLevel="0" collapsed="false">
      <c r="B505" s="30"/>
      <c r="E505" s="30"/>
      <c r="F505" s="30"/>
      <c r="G505" s="30"/>
      <c r="H505" s="30"/>
      <c r="I505" s="30"/>
      <c r="J505" s="30"/>
      <c r="K505" s="30"/>
    </row>
    <row r="506" customFormat="false" ht="15.75" hidden="false" customHeight="false" outlineLevel="0" collapsed="false">
      <c r="B506" s="30"/>
      <c r="E506" s="30"/>
      <c r="F506" s="30"/>
      <c r="G506" s="30"/>
      <c r="H506" s="30"/>
      <c r="I506" s="30"/>
      <c r="J506" s="30"/>
      <c r="K506" s="30"/>
    </row>
    <row r="507" customFormat="false" ht="15.75" hidden="false" customHeight="false" outlineLevel="0" collapsed="false">
      <c r="B507" s="30"/>
      <c r="E507" s="30"/>
      <c r="F507" s="30"/>
      <c r="G507" s="30"/>
      <c r="H507" s="30"/>
      <c r="I507" s="30"/>
      <c r="J507" s="30"/>
      <c r="K507" s="30"/>
    </row>
    <row r="508" customFormat="false" ht="15.75" hidden="false" customHeight="false" outlineLevel="0" collapsed="false">
      <c r="B508" s="30"/>
      <c r="E508" s="30"/>
      <c r="F508" s="30"/>
      <c r="G508" s="30"/>
      <c r="H508" s="30"/>
      <c r="I508" s="30"/>
      <c r="J508" s="30"/>
      <c r="K508" s="30"/>
    </row>
    <row r="509" customFormat="false" ht="15.75" hidden="false" customHeight="false" outlineLevel="0" collapsed="false">
      <c r="B509" s="30"/>
      <c r="E509" s="30"/>
      <c r="F509" s="30"/>
      <c r="G509" s="30"/>
      <c r="H509" s="30"/>
      <c r="I509" s="30"/>
      <c r="J509" s="30"/>
      <c r="K509" s="30"/>
    </row>
    <row r="510" customFormat="false" ht="15.75" hidden="false" customHeight="false" outlineLevel="0" collapsed="false">
      <c r="B510" s="30"/>
      <c r="E510" s="30"/>
      <c r="F510" s="30"/>
      <c r="G510" s="30"/>
      <c r="H510" s="30"/>
      <c r="I510" s="30"/>
      <c r="J510" s="30"/>
      <c r="K510" s="30"/>
    </row>
    <row r="511" customFormat="false" ht="15.75" hidden="false" customHeight="false" outlineLevel="0" collapsed="false">
      <c r="B511" s="30"/>
      <c r="E511" s="30"/>
      <c r="F511" s="30"/>
      <c r="G511" s="30"/>
      <c r="H511" s="30"/>
      <c r="I511" s="30"/>
      <c r="J511" s="30"/>
      <c r="K511" s="30"/>
    </row>
    <row r="512" customFormat="false" ht="15.75" hidden="false" customHeight="false" outlineLevel="0" collapsed="false">
      <c r="B512" s="30"/>
      <c r="E512" s="30"/>
      <c r="F512" s="30"/>
      <c r="G512" s="30"/>
      <c r="H512" s="30"/>
      <c r="I512" s="30"/>
      <c r="J512" s="30"/>
      <c r="K512" s="30"/>
    </row>
    <row r="513" customFormat="false" ht="15.75" hidden="false" customHeight="false" outlineLevel="0" collapsed="false">
      <c r="B513" s="30"/>
      <c r="E513" s="30"/>
      <c r="F513" s="30"/>
      <c r="G513" s="30"/>
      <c r="H513" s="30"/>
      <c r="I513" s="30"/>
      <c r="J513" s="30"/>
      <c r="K513" s="30"/>
    </row>
    <row r="514" customFormat="false" ht="15.75" hidden="false" customHeight="false" outlineLevel="0" collapsed="false">
      <c r="B514" s="30"/>
      <c r="E514" s="30"/>
      <c r="F514" s="30"/>
      <c r="G514" s="30"/>
      <c r="H514" s="30"/>
      <c r="I514" s="30"/>
      <c r="J514" s="30"/>
      <c r="K514" s="30"/>
    </row>
    <row r="515" customFormat="false" ht="15.75" hidden="false" customHeight="false" outlineLevel="0" collapsed="false">
      <c r="B515" s="30"/>
      <c r="E515" s="30"/>
      <c r="F515" s="30"/>
      <c r="G515" s="30"/>
      <c r="H515" s="30"/>
      <c r="I515" s="30"/>
      <c r="J515" s="30"/>
      <c r="K515" s="30"/>
    </row>
    <row r="516" customFormat="false" ht="15.75" hidden="false" customHeight="false" outlineLevel="0" collapsed="false">
      <c r="B516" s="30"/>
      <c r="E516" s="30"/>
      <c r="F516" s="30"/>
      <c r="G516" s="30"/>
      <c r="H516" s="30"/>
      <c r="I516" s="30"/>
      <c r="J516" s="30"/>
      <c r="K516" s="30"/>
    </row>
    <row r="517" customFormat="false" ht="15.75" hidden="false" customHeight="false" outlineLevel="0" collapsed="false">
      <c r="B517" s="30"/>
      <c r="E517" s="30"/>
      <c r="F517" s="30"/>
      <c r="G517" s="30"/>
      <c r="H517" s="30"/>
      <c r="I517" s="30"/>
      <c r="J517" s="30"/>
      <c r="K517" s="30"/>
    </row>
    <row r="518" customFormat="false" ht="15.75" hidden="false" customHeight="false" outlineLevel="0" collapsed="false">
      <c r="B518" s="30"/>
      <c r="E518" s="30"/>
      <c r="F518" s="30"/>
      <c r="G518" s="30"/>
      <c r="H518" s="30"/>
      <c r="I518" s="30"/>
      <c r="J518" s="30"/>
      <c r="K518" s="30"/>
    </row>
    <row r="519" customFormat="false" ht="15.75" hidden="false" customHeight="false" outlineLevel="0" collapsed="false">
      <c r="B519" s="30"/>
      <c r="E519" s="30"/>
      <c r="F519" s="30"/>
      <c r="G519" s="30"/>
      <c r="H519" s="30"/>
      <c r="I519" s="30"/>
      <c r="J519" s="30"/>
      <c r="K519" s="30"/>
    </row>
    <row r="520" customFormat="false" ht="15.75" hidden="false" customHeight="false" outlineLevel="0" collapsed="false">
      <c r="B520" s="30"/>
      <c r="E520" s="30"/>
      <c r="F520" s="30"/>
      <c r="G520" s="30"/>
      <c r="H520" s="30"/>
      <c r="I520" s="30"/>
      <c r="J520" s="30"/>
      <c r="K520" s="30"/>
    </row>
    <row r="521" customFormat="false" ht="15.75" hidden="false" customHeight="false" outlineLevel="0" collapsed="false">
      <c r="B521" s="30"/>
      <c r="E521" s="30"/>
      <c r="F521" s="30"/>
      <c r="G521" s="30"/>
      <c r="H521" s="30"/>
      <c r="I521" s="30"/>
      <c r="J521" s="30"/>
      <c r="K521" s="30"/>
    </row>
    <row r="522" customFormat="false" ht="15.75" hidden="false" customHeight="false" outlineLevel="0" collapsed="false">
      <c r="B522" s="30"/>
      <c r="E522" s="30"/>
      <c r="F522" s="30"/>
      <c r="G522" s="30"/>
      <c r="H522" s="30"/>
      <c r="I522" s="30"/>
      <c r="J522" s="30"/>
      <c r="K522" s="30"/>
    </row>
    <row r="523" customFormat="false" ht="15.75" hidden="false" customHeight="false" outlineLevel="0" collapsed="false">
      <c r="B523" s="30"/>
      <c r="E523" s="30"/>
      <c r="F523" s="30"/>
      <c r="G523" s="30"/>
      <c r="H523" s="30"/>
      <c r="I523" s="30"/>
      <c r="J523" s="30"/>
      <c r="K523" s="30"/>
    </row>
    <row r="524" customFormat="false" ht="15.75" hidden="false" customHeight="false" outlineLevel="0" collapsed="false">
      <c r="B524" s="30"/>
      <c r="E524" s="30"/>
      <c r="F524" s="30"/>
      <c r="G524" s="30"/>
      <c r="H524" s="30"/>
      <c r="I524" s="30"/>
      <c r="J524" s="30"/>
      <c r="K524" s="30"/>
    </row>
    <row r="525" customFormat="false" ht="15.75" hidden="false" customHeight="false" outlineLevel="0" collapsed="false">
      <c r="B525" s="30"/>
      <c r="E525" s="30"/>
      <c r="F525" s="30"/>
      <c r="G525" s="30"/>
      <c r="H525" s="30"/>
      <c r="I525" s="30"/>
      <c r="J525" s="30"/>
      <c r="K525" s="30"/>
    </row>
    <row r="526" customFormat="false" ht="15.75" hidden="false" customHeight="false" outlineLevel="0" collapsed="false">
      <c r="B526" s="30"/>
      <c r="E526" s="30"/>
      <c r="F526" s="30"/>
      <c r="G526" s="30"/>
      <c r="H526" s="30"/>
      <c r="I526" s="30"/>
      <c r="J526" s="30"/>
      <c r="K526" s="30"/>
    </row>
    <row r="527" customFormat="false" ht="15.75" hidden="false" customHeight="false" outlineLevel="0" collapsed="false">
      <c r="B527" s="30"/>
      <c r="E527" s="30"/>
      <c r="F527" s="30"/>
      <c r="G527" s="30"/>
      <c r="H527" s="30"/>
      <c r="I527" s="30"/>
      <c r="J527" s="30"/>
      <c r="K527" s="30"/>
    </row>
    <row r="528" customFormat="false" ht="15.75" hidden="false" customHeight="false" outlineLevel="0" collapsed="false">
      <c r="B528" s="30"/>
      <c r="E528" s="30"/>
      <c r="F528" s="30"/>
      <c r="G528" s="30"/>
      <c r="H528" s="30"/>
      <c r="I528" s="30"/>
      <c r="J528" s="30"/>
      <c r="K528" s="30"/>
    </row>
    <row r="529" customFormat="false" ht="15.75" hidden="false" customHeight="false" outlineLevel="0" collapsed="false">
      <c r="B529" s="30"/>
      <c r="E529" s="30"/>
      <c r="F529" s="30"/>
      <c r="G529" s="30"/>
      <c r="H529" s="30"/>
      <c r="I529" s="30"/>
      <c r="J529" s="30"/>
      <c r="K529" s="30"/>
    </row>
    <row r="530" customFormat="false" ht="15.75" hidden="false" customHeight="false" outlineLevel="0" collapsed="false">
      <c r="B530" s="30"/>
      <c r="E530" s="30"/>
      <c r="F530" s="30"/>
      <c r="G530" s="30"/>
      <c r="H530" s="30"/>
      <c r="I530" s="30"/>
      <c r="J530" s="30"/>
      <c r="K530" s="30"/>
    </row>
    <row r="531" customFormat="false" ht="15.75" hidden="false" customHeight="false" outlineLevel="0" collapsed="false">
      <c r="B531" s="30"/>
      <c r="E531" s="30"/>
      <c r="F531" s="30"/>
      <c r="G531" s="30"/>
      <c r="H531" s="30"/>
      <c r="I531" s="30"/>
      <c r="J531" s="30"/>
      <c r="K531" s="30"/>
    </row>
    <row r="532" customFormat="false" ht="15.75" hidden="false" customHeight="false" outlineLevel="0" collapsed="false">
      <c r="B532" s="30"/>
      <c r="E532" s="30"/>
      <c r="F532" s="30"/>
      <c r="G532" s="30"/>
      <c r="H532" s="30"/>
      <c r="I532" s="30"/>
      <c r="J532" s="30"/>
      <c r="K532" s="30"/>
    </row>
    <row r="533" customFormat="false" ht="15.75" hidden="false" customHeight="false" outlineLevel="0" collapsed="false">
      <c r="B533" s="30"/>
      <c r="E533" s="30"/>
      <c r="F533" s="30"/>
      <c r="G533" s="30"/>
      <c r="H533" s="30"/>
      <c r="I533" s="30"/>
      <c r="J533" s="30"/>
      <c r="K533" s="30"/>
    </row>
    <row r="534" customFormat="false" ht="15.75" hidden="false" customHeight="false" outlineLevel="0" collapsed="false">
      <c r="B534" s="30"/>
      <c r="E534" s="30"/>
      <c r="F534" s="30"/>
      <c r="G534" s="30"/>
      <c r="H534" s="30"/>
      <c r="I534" s="30"/>
      <c r="J534" s="30"/>
      <c r="K534" s="30"/>
    </row>
    <row r="535" customFormat="false" ht="15.75" hidden="false" customHeight="false" outlineLevel="0" collapsed="false">
      <c r="B535" s="30"/>
      <c r="E535" s="30"/>
      <c r="F535" s="30"/>
      <c r="G535" s="30"/>
      <c r="H535" s="30"/>
      <c r="I535" s="30"/>
      <c r="J535" s="30"/>
      <c r="K535" s="30"/>
    </row>
    <row r="536" customFormat="false" ht="15.75" hidden="false" customHeight="false" outlineLevel="0" collapsed="false">
      <c r="B536" s="30"/>
      <c r="E536" s="30"/>
      <c r="F536" s="30"/>
      <c r="G536" s="30"/>
      <c r="H536" s="30"/>
      <c r="I536" s="30"/>
      <c r="J536" s="30"/>
      <c r="K536" s="30"/>
    </row>
    <row r="537" customFormat="false" ht="15.75" hidden="false" customHeight="false" outlineLevel="0" collapsed="false">
      <c r="B537" s="30"/>
      <c r="E537" s="30"/>
      <c r="F537" s="30"/>
      <c r="G537" s="30"/>
      <c r="H537" s="30"/>
      <c r="I537" s="30"/>
      <c r="J537" s="30"/>
      <c r="K537" s="30"/>
    </row>
    <row r="538" customFormat="false" ht="15.75" hidden="false" customHeight="false" outlineLevel="0" collapsed="false">
      <c r="B538" s="30"/>
      <c r="E538" s="30"/>
      <c r="F538" s="30"/>
      <c r="G538" s="30"/>
      <c r="H538" s="30"/>
      <c r="I538" s="30"/>
      <c r="J538" s="30"/>
      <c r="K538" s="30"/>
    </row>
    <row r="539" customFormat="false" ht="15.75" hidden="false" customHeight="false" outlineLevel="0" collapsed="false">
      <c r="B539" s="30"/>
      <c r="E539" s="30"/>
      <c r="F539" s="30"/>
      <c r="G539" s="30"/>
      <c r="H539" s="30"/>
      <c r="I539" s="30"/>
      <c r="J539" s="30"/>
      <c r="K539" s="30"/>
    </row>
    <row r="540" customFormat="false" ht="15.75" hidden="false" customHeight="false" outlineLevel="0" collapsed="false">
      <c r="B540" s="30"/>
      <c r="E540" s="30"/>
      <c r="F540" s="30"/>
      <c r="G540" s="30"/>
      <c r="H540" s="30"/>
      <c r="I540" s="30"/>
      <c r="J540" s="30"/>
      <c r="K540" s="30"/>
    </row>
    <row r="541" customFormat="false" ht="15.75" hidden="false" customHeight="false" outlineLevel="0" collapsed="false">
      <c r="B541" s="30"/>
      <c r="E541" s="30"/>
      <c r="F541" s="30"/>
      <c r="G541" s="30"/>
      <c r="H541" s="30"/>
      <c r="I541" s="30"/>
      <c r="J541" s="30"/>
      <c r="K541" s="30"/>
    </row>
    <row r="542" customFormat="false" ht="15.75" hidden="false" customHeight="false" outlineLevel="0" collapsed="false">
      <c r="B542" s="30"/>
      <c r="E542" s="30"/>
      <c r="F542" s="30"/>
      <c r="G542" s="30"/>
      <c r="H542" s="30"/>
      <c r="I542" s="30"/>
      <c r="J542" s="30"/>
      <c r="K542" s="30"/>
    </row>
    <row r="543" customFormat="false" ht="15.75" hidden="false" customHeight="false" outlineLevel="0" collapsed="false">
      <c r="B543" s="30"/>
      <c r="E543" s="30"/>
      <c r="F543" s="30"/>
      <c r="G543" s="30"/>
      <c r="H543" s="30"/>
      <c r="I543" s="30"/>
      <c r="J543" s="30"/>
      <c r="K543" s="30"/>
    </row>
    <row r="544" customFormat="false" ht="15.75" hidden="false" customHeight="false" outlineLevel="0" collapsed="false">
      <c r="B544" s="30"/>
      <c r="E544" s="30"/>
      <c r="F544" s="30"/>
      <c r="G544" s="30"/>
      <c r="H544" s="30"/>
      <c r="I544" s="30"/>
      <c r="J544" s="30"/>
      <c r="K544" s="30"/>
    </row>
    <row r="545" customFormat="false" ht="15.75" hidden="false" customHeight="false" outlineLevel="0" collapsed="false">
      <c r="B545" s="30"/>
      <c r="E545" s="30"/>
      <c r="F545" s="30"/>
      <c r="G545" s="30"/>
      <c r="H545" s="30"/>
      <c r="I545" s="30"/>
      <c r="J545" s="30"/>
      <c r="K545" s="30"/>
    </row>
    <row r="546" customFormat="false" ht="15.75" hidden="false" customHeight="false" outlineLevel="0" collapsed="false">
      <c r="B546" s="30"/>
      <c r="E546" s="30"/>
      <c r="F546" s="30"/>
      <c r="G546" s="30"/>
      <c r="H546" s="30"/>
      <c r="I546" s="30"/>
      <c r="J546" s="30"/>
      <c r="K546" s="30"/>
    </row>
    <row r="547" customFormat="false" ht="15.75" hidden="false" customHeight="false" outlineLevel="0" collapsed="false">
      <c r="B547" s="30"/>
      <c r="E547" s="30"/>
      <c r="F547" s="30"/>
      <c r="G547" s="30"/>
      <c r="H547" s="30"/>
      <c r="I547" s="30"/>
      <c r="J547" s="30"/>
      <c r="K547" s="30"/>
    </row>
    <row r="548" customFormat="false" ht="15.75" hidden="false" customHeight="false" outlineLevel="0" collapsed="false">
      <c r="B548" s="30"/>
      <c r="E548" s="30"/>
      <c r="F548" s="30"/>
      <c r="G548" s="30"/>
      <c r="H548" s="30"/>
      <c r="I548" s="30"/>
      <c r="J548" s="30"/>
      <c r="K548" s="30"/>
    </row>
    <row r="549" customFormat="false" ht="15.75" hidden="false" customHeight="false" outlineLevel="0" collapsed="false">
      <c r="B549" s="30"/>
      <c r="E549" s="30"/>
      <c r="F549" s="30"/>
      <c r="G549" s="30"/>
      <c r="H549" s="30"/>
      <c r="I549" s="30"/>
      <c r="J549" s="30"/>
      <c r="K549" s="30"/>
    </row>
    <row r="550" customFormat="false" ht="15.75" hidden="false" customHeight="false" outlineLevel="0" collapsed="false">
      <c r="B550" s="30"/>
      <c r="E550" s="30"/>
      <c r="F550" s="30"/>
      <c r="G550" s="30"/>
      <c r="H550" s="30"/>
      <c r="I550" s="30"/>
      <c r="J550" s="30"/>
      <c r="K550" s="30"/>
    </row>
    <row r="551" customFormat="false" ht="15.75" hidden="false" customHeight="false" outlineLevel="0" collapsed="false">
      <c r="B551" s="30"/>
      <c r="E551" s="30"/>
      <c r="F551" s="30"/>
      <c r="G551" s="30"/>
      <c r="H551" s="30"/>
      <c r="I551" s="30"/>
      <c r="J551" s="30"/>
      <c r="K551" s="30"/>
    </row>
    <row r="552" customFormat="false" ht="15.75" hidden="false" customHeight="false" outlineLevel="0" collapsed="false">
      <c r="B552" s="30"/>
      <c r="E552" s="30"/>
      <c r="F552" s="30"/>
      <c r="G552" s="30"/>
      <c r="H552" s="30"/>
      <c r="I552" s="30"/>
      <c r="J552" s="30"/>
      <c r="K552" s="30"/>
    </row>
    <row r="553" customFormat="false" ht="15.75" hidden="false" customHeight="false" outlineLevel="0" collapsed="false">
      <c r="B553" s="30"/>
      <c r="E553" s="30"/>
      <c r="F553" s="30"/>
      <c r="G553" s="30"/>
      <c r="H553" s="30"/>
      <c r="I553" s="30"/>
      <c r="J553" s="30"/>
      <c r="K553" s="30"/>
    </row>
    <row r="554" customFormat="false" ht="15.75" hidden="false" customHeight="false" outlineLevel="0" collapsed="false">
      <c r="B554" s="30"/>
      <c r="E554" s="30"/>
      <c r="F554" s="30"/>
      <c r="G554" s="30"/>
      <c r="H554" s="30"/>
      <c r="I554" s="30"/>
      <c r="J554" s="30"/>
      <c r="K554" s="30"/>
    </row>
    <row r="555" customFormat="false" ht="15.75" hidden="false" customHeight="false" outlineLevel="0" collapsed="false">
      <c r="B555" s="30"/>
      <c r="E555" s="30"/>
      <c r="F555" s="30"/>
      <c r="G555" s="30"/>
      <c r="H555" s="30"/>
      <c r="I555" s="30"/>
      <c r="J555" s="30"/>
      <c r="K555" s="30"/>
    </row>
    <row r="556" customFormat="false" ht="15.75" hidden="false" customHeight="false" outlineLevel="0" collapsed="false">
      <c r="B556" s="30"/>
      <c r="E556" s="30"/>
      <c r="F556" s="30"/>
      <c r="G556" s="30"/>
      <c r="H556" s="30"/>
      <c r="I556" s="30"/>
      <c r="J556" s="30"/>
      <c r="K556" s="30"/>
    </row>
    <row r="557" customFormat="false" ht="15.75" hidden="false" customHeight="false" outlineLevel="0" collapsed="false">
      <c r="B557" s="30"/>
      <c r="E557" s="30"/>
      <c r="F557" s="30"/>
      <c r="G557" s="30"/>
      <c r="H557" s="30"/>
      <c r="I557" s="30"/>
      <c r="J557" s="30"/>
      <c r="K557" s="30"/>
    </row>
    <row r="558" customFormat="false" ht="15.75" hidden="false" customHeight="false" outlineLevel="0" collapsed="false">
      <c r="B558" s="30"/>
      <c r="E558" s="30"/>
      <c r="F558" s="30"/>
      <c r="G558" s="30"/>
      <c r="H558" s="30"/>
      <c r="I558" s="30"/>
      <c r="J558" s="30"/>
      <c r="K558" s="30"/>
    </row>
    <row r="559" customFormat="false" ht="15.75" hidden="false" customHeight="false" outlineLevel="0" collapsed="false">
      <c r="B559" s="30"/>
      <c r="E559" s="30"/>
      <c r="F559" s="30"/>
      <c r="G559" s="30"/>
      <c r="H559" s="30"/>
      <c r="I559" s="30"/>
      <c r="J559" s="30"/>
      <c r="K559" s="30"/>
    </row>
    <row r="560" customFormat="false" ht="15.75" hidden="false" customHeight="false" outlineLevel="0" collapsed="false">
      <c r="B560" s="30"/>
      <c r="E560" s="30"/>
      <c r="F560" s="30"/>
      <c r="G560" s="30"/>
      <c r="H560" s="30"/>
      <c r="I560" s="30"/>
      <c r="J560" s="30"/>
      <c r="K560" s="30"/>
    </row>
    <row r="561" customFormat="false" ht="15.75" hidden="false" customHeight="false" outlineLevel="0" collapsed="false">
      <c r="B561" s="30"/>
      <c r="E561" s="30"/>
      <c r="F561" s="30"/>
      <c r="G561" s="30"/>
      <c r="H561" s="30"/>
      <c r="I561" s="30"/>
      <c r="J561" s="30"/>
      <c r="K561" s="30"/>
    </row>
    <row r="562" customFormat="false" ht="15.75" hidden="false" customHeight="false" outlineLevel="0" collapsed="false">
      <c r="B562" s="30"/>
      <c r="E562" s="30"/>
      <c r="F562" s="30"/>
      <c r="G562" s="30"/>
      <c r="H562" s="30"/>
      <c r="I562" s="30"/>
      <c r="J562" s="30"/>
      <c r="K562" s="30"/>
    </row>
    <row r="563" customFormat="false" ht="15.75" hidden="false" customHeight="false" outlineLevel="0" collapsed="false">
      <c r="B563" s="30"/>
      <c r="E563" s="30"/>
      <c r="F563" s="30"/>
      <c r="G563" s="30"/>
      <c r="H563" s="30"/>
      <c r="I563" s="30"/>
      <c r="J563" s="30"/>
      <c r="K563" s="30"/>
    </row>
    <row r="564" customFormat="false" ht="15.75" hidden="false" customHeight="false" outlineLevel="0" collapsed="false">
      <c r="B564" s="30"/>
      <c r="E564" s="30"/>
      <c r="F564" s="30"/>
      <c r="G564" s="30"/>
      <c r="H564" s="30"/>
      <c r="I564" s="30"/>
      <c r="J564" s="30"/>
      <c r="K564" s="30"/>
    </row>
    <row r="565" customFormat="false" ht="15.75" hidden="false" customHeight="false" outlineLevel="0" collapsed="false">
      <c r="B565" s="30"/>
      <c r="E565" s="30"/>
      <c r="F565" s="30"/>
      <c r="G565" s="30"/>
      <c r="H565" s="30"/>
      <c r="I565" s="30"/>
      <c r="J565" s="30"/>
      <c r="K565" s="30"/>
    </row>
    <row r="566" customFormat="false" ht="15.75" hidden="false" customHeight="false" outlineLevel="0" collapsed="false">
      <c r="B566" s="30"/>
      <c r="E566" s="30"/>
      <c r="F566" s="30"/>
      <c r="G566" s="30"/>
      <c r="H566" s="30"/>
      <c r="I566" s="30"/>
      <c r="J566" s="30"/>
      <c r="K566" s="30"/>
    </row>
    <row r="567" customFormat="false" ht="15.75" hidden="false" customHeight="false" outlineLevel="0" collapsed="false">
      <c r="B567" s="30"/>
      <c r="E567" s="30"/>
      <c r="F567" s="30"/>
      <c r="G567" s="30"/>
      <c r="H567" s="30"/>
      <c r="I567" s="30"/>
      <c r="J567" s="30"/>
      <c r="K567" s="30"/>
    </row>
    <row r="568" customFormat="false" ht="15.75" hidden="false" customHeight="false" outlineLevel="0" collapsed="false">
      <c r="B568" s="30"/>
      <c r="E568" s="30"/>
      <c r="F568" s="30"/>
      <c r="G568" s="30"/>
      <c r="H568" s="30"/>
      <c r="I568" s="30"/>
      <c r="J568" s="30"/>
      <c r="K568" s="30"/>
    </row>
    <row r="569" customFormat="false" ht="15.75" hidden="false" customHeight="false" outlineLevel="0" collapsed="false">
      <c r="B569" s="30"/>
      <c r="E569" s="30"/>
      <c r="F569" s="30"/>
      <c r="G569" s="30"/>
      <c r="H569" s="30"/>
      <c r="I569" s="30"/>
      <c r="J569" s="30"/>
      <c r="K569" s="30"/>
    </row>
    <row r="570" customFormat="false" ht="15.75" hidden="false" customHeight="false" outlineLevel="0" collapsed="false">
      <c r="B570" s="30"/>
      <c r="E570" s="30"/>
      <c r="F570" s="30"/>
      <c r="G570" s="30"/>
      <c r="H570" s="30"/>
      <c r="I570" s="30"/>
      <c r="J570" s="30"/>
      <c r="K570" s="30"/>
    </row>
    <row r="571" customFormat="false" ht="15.75" hidden="false" customHeight="false" outlineLevel="0" collapsed="false">
      <c r="B571" s="30"/>
      <c r="E571" s="30"/>
      <c r="F571" s="30"/>
      <c r="G571" s="30"/>
      <c r="H571" s="30"/>
      <c r="I571" s="30"/>
      <c r="J571" s="30"/>
      <c r="K571" s="30"/>
    </row>
    <row r="572" customFormat="false" ht="15.75" hidden="false" customHeight="false" outlineLevel="0" collapsed="false">
      <c r="B572" s="30"/>
      <c r="E572" s="30"/>
      <c r="F572" s="30"/>
      <c r="G572" s="30"/>
      <c r="H572" s="30"/>
      <c r="I572" s="30"/>
      <c r="J572" s="30"/>
      <c r="K572" s="30"/>
    </row>
    <row r="573" customFormat="false" ht="15.75" hidden="false" customHeight="false" outlineLevel="0" collapsed="false">
      <c r="B573" s="30"/>
      <c r="E573" s="30"/>
      <c r="F573" s="30"/>
      <c r="G573" s="30"/>
      <c r="H573" s="30"/>
      <c r="I573" s="30"/>
      <c r="J573" s="30"/>
      <c r="K573" s="30"/>
    </row>
    <row r="574" customFormat="false" ht="15.75" hidden="false" customHeight="false" outlineLevel="0" collapsed="false">
      <c r="B574" s="30"/>
      <c r="E574" s="30"/>
      <c r="F574" s="30"/>
      <c r="G574" s="30"/>
      <c r="H574" s="30"/>
      <c r="I574" s="30"/>
      <c r="J574" s="30"/>
      <c r="K574" s="30"/>
    </row>
    <row r="575" customFormat="false" ht="15.75" hidden="false" customHeight="false" outlineLevel="0" collapsed="false">
      <c r="B575" s="30"/>
      <c r="E575" s="30"/>
      <c r="F575" s="30"/>
      <c r="G575" s="30"/>
      <c r="H575" s="30"/>
      <c r="I575" s="30"/>
      <c r="J575" s="30"/>
      <c r="K575" s="30"/>
    </row>
    <row r="576" customFormat="false" ht="15.75" hidden="false" customHeight="false" outlineLevel="0" collapsed="false">
      <c r="B576" s="30"/>
      <c r="E576" s="30"/>
      <c r="F576" s="30"/>
      <c r="G576" s="30"/>
      <c r="H576" s="30"/>
      <c r="I576" s="30"/>
      <c r="J576" s="30"/>
      <c r="K576" s="30"/>
    </row>
    <row r="577" customFormat="false" ht="15.75" hidden="false" customHeight="false" outlineLevel="0" collapsed="false">
      <c r="B577" s="30"/>
      <c r="E577" s="30"/>
      <c r="F577" s="30"/>
      <c r="G577" s="30"/>
      <c r="H577" s="30"/>
      <c r="I577" s="30"/>
      <c r="J577" s="30"/>
      <c r="K577" s="30"/>
    </row>
    <row r="578" customFormat="false" ht="15.75" hidden="false" customHeight="false" outlineLevel="0" collapsed="false">
      <c r="B578" s="30"/>
      <c r="E578" s="30"/>
      <c r="F578" s="30"/>
      <c r="G578" s="30"/>
      <c r="H578" s="30"/>
      <c r="I578" s="30"/>
      <c r="J578" s="30"/>
      <c r="K578" s="30"/>
    </row>
    <row r="579" customFormat="false" ht="15.75" hidden="false" customHeight="false" outlineLevel="0" collapsed="false">
      <c r="B579" s="30"/>
      <c r="E579" s="30"/>
      <c r="F579" s="30"/>
      <c r="G579" s="30"/>
      <c r="H579" s="30"/>
      <c r="I579" s="30"/>
      <c r="J579" s="30"/>
      <c r="K579" s="30"/>
    </row>
    <row r="580" customFormat="false" ht="15.75" hidden="false" customHeight="false" outlineLevel="0" collapsed="false">
      <c r="B580" s="30"/>
      <c r="E580" s="30"/>
      <c r="F580" s="30"/>
      <c r="G580" s="30"/>
      <c r="H580" s="30"/>
      <c r="I580" s="30"/>
      <c r="J580" s="30"/>
      <c r="K580" s="30"/>
    </row>
    <row r="581" customFormat="false" ht="15.75" hidden="false" customHeight="false" outlineLevel="0" collapsed="false">
      <c r="B581" s="30"/>
      <c r="E581" s="30"/>
      <c r="F581" s="30"/>
      <c r="G581" s="30"/>
      <c r="H581" s="30"/>
      <c r="I581" s="30"/>
      <c r="J581" s="30"/>
      <c r="K581" s="30"/>
    </row>
    <row r="582" customFormat="false" ht="15.75" hidden="false" customHeight="false" outlineLevel="0" collapsed="false">
      <c r="B582" s="30"/>
      <c r="E582" s="30"/>
      <c r="F582" s="30"/>
      <c r="G582" s="30"/>
      <c r="H582" s="30"/>
      <c r="I582" s="30"/>
      <c r="J582" s="30"/>
      <c r="K582" s="30"/>
    </row>
    <row r="583" customFormat="false" ht="15.75" hidden="false" customHeight="false" outlineLevel="0" collapsed="false">
      <c r="B583" s="30"/>
      <c r="E583" s="30"/>
      <c r="F583" s="30"/>
      <c r="G583" s="30"/>
      <c r="H583" s="30"/>
      <c r="I583" s="30"/>
      <c r="J583" s="30"/>
      <c r="K583" s="30"/>
    </row>
    <row r="584" customFormat="false" ht="15.75" hidden="false" customHeight="false" outlineLevel="0" collapsed="false">
      <c r="B584" s="30"/>
      <c r="E584" s="30"/>
      <c r="F584" s="30"/>
      <c r="G584" s="30"/>
      <c r="H584" s="30"/>
      <c r="I584" s="30"/>
      <c r="J584" s="30"/>
      <c r="K584" s="30"/>
    </row>
    <row r="585" customFormat="false" ht="15.75" hidden="false" customHeight="false" outlineLevel="0" collapsed="false">
      <c r="B585" s="30"/>
      <c r="E585" s="30"/>
      <c r="F585" s="30"/>
      <c r="G585" s="30"/>
      <c r="H585" s="30"/>
      <c r="I585" s="30"/>
      <c r="J585" s="30"/>
      <c r="K585" s="30"/>
    </row>
    <row r="586" customFormat="false" ht="15.75" hidden="false" customHeight="false" outlineLevel="0" collapsed="false">
      <c r="B586" s="30"/>
      <c r="E586" s="30"/>
      <c r="F586" s="30"/>
      <c r="G586" s="30"/>
      <c r="H586" s="30"/>
      <c r="I586" s="30"/>
      <c r="J586" s="30"/>
      <c r="K586" s="30"/>
    </row>
    <row r="587" customFormat="false" ht="15.75" hidden="false" customHeight="false" outlineLevel="0" collapsed="false">
      <c r="B587" s="30"/>
      <c r="E587" s="30"/>
      <c r="F587" s="30"/>
      <c r="G587" s="30"/>
      <c r="H587" s="30"/>
      <c r="I587" s="30"/>
      <c r="J587" s="30"/>
      <c r="K587" s="30"/>
    </row>
    <row r="588" customFormat="false" ht="15.75" hidden="false" customHeight="false" outlineLevel="0" collapsed="false">
      <c r="B588" s="30"/>
      <c r="E588" s="30"/>
      <c r="F588" s="30"/>
      <c r="G588" s="30"/>
      <c r="H588" s="30"/>
      <c r="I588" s="30"/>
      <c r="J588" s="30"/>
      <c r="K588" s="30"/>
    </row>
    <row r="589" customFormat="false" ht="15.75" hidden="false" customHeight="false" outlineLevel="0" collapsed="false">
      <c r="B589" s="30"/>
      <c r="E589" s="30"/>
      <c r="F589" s="30"/>
      <c r="G589" s="30"/>
      <c r="H589" s="30"/>
      <c r="I589" s="30"/>
      <c r="J589" s="30"/>
      <c r="K589" s="30"/>
    </row>
    <row r="590" customFormat="false" ht="15.75" hidden="false" customHeight="false" outlineLevel="0" collapsed="false">
      <c r="B590" s="30"/>
      <c r="E590" s="30"/>
      <c r="F590" s="30"/>
      <c r="G590" s="30"/>
      <c r="H590" s="30"/>
      <c r="I590" s="30"/>
      <c r="J590" s="30"/>
      <c r="K590" s="30"/>
    </row>
    <row r="591" customFormat="false" ht="15.75" hidden="false" customHeight="false" outlineLevel="0" collapsed="false">
      <c r="B591" s="30"/>
      <c r="E591" s="30"/>
      <c r="F591" s="30"/>
      <c r="G591" s="30"/>
      <c r="H591" s="30"/>
      <c r="I591" s="30"/>
      <c r="J591" s="30"/>
      <c r="K591" s="30"/>
    </row>
    <row r="592" customFormat="false" ht="15.75" hidden="false" customHeight="false" outlineLevel="0" collapsed="false">
      <c r="B592" s="30"/>
      <c r="E592" s="30"/>
      <c r="F592" s="30"/>
      <c r="G592" s="30"/>
      <c r="H592" s="30"/>
      <c r="I592" s="30"/>
      <c r="J592" s="30"/>
      <c r="K592" s="30"/>
    </row>
    <row r="593" customFormat="false" ht="15.75" hidden="false" customHeight="false" outlineLevel="0" collapsed="false">
      <c r="B593" s="30"/>
      <c r="E593" s="30"/>
      <c r="F593" s="30"/>
      <c r="G593" s="30"/>
      <c r="H593" s="30"/>
      <c r="I593" s="30"/>
      <c r="J593" s="30"/>
      <c r="K593" s="30"/>
    </row>
    <row r="594" customFormat="false" ht="15.75" hidden="false" customHeight="false" outlineLevel="0" collapsed="false">
      <c r="B594" s="30"/>
      <c r="E594" s="30"/>
      <c r="F594" s="30"/>
      <c r="G594" s="30"/>
      <c r="H594" s="30"/>
      <c r="I594" s="30"/>
      <c r="J594" s="30"/>
      <c r="K594" s="30"/>
    </row>
    <row r="595" customFormat="false" ht="15.75" hidden="false" customHeight="false" outlineLevel="0" collapsed="false">
      <c r="B595" s="30"/>
      <c r="E595" s="30"/>
      <c r="F595" s="30"/>
      <c r="G595" s="30"/>
      <c r="H595" s="30"/>
      <c r="I595" s="30"/>
      <c r="J595" s="30"/>
      <c r="K595" s="30"/>
    </row>
    <row r="596" customFormat="false" ht="15.75" hidden="false" customHeight="false" outlineLevel="0" collapsed="false">
      <c r="B596" s="30"/>
      <c r="E596" s="30"/>
      <c r="F596" s="30"/>
      <c r="G596" s="30"/>
      <c r="H596" s="30"/>
      <c r="I596" s="30"/>
      <c r="J596" s="30"/>
      <c r="K596" s="30"/>
    </row>
    <row r="597" customFormat="false" ht="15.75" hidden="false" customHeight="false" outlineLevel="0" collapsed="false">
      <c r="B597" s="30"/>
      <c r="E597" s="30"/>
      <c r="F597" s="30"/>
      <c r="G597" s="30"/>
      <c r="H597" s="30"/>
      <c r="I597" s="30"/>
      <c r="J597" s="30"/>
      <c r="K597" s="30"/>
    </row>
    <row r="598" customFormat="false" ht="15.75" hidden="false" customHeight="false" outlineLevel="0" collapsed="false">
      <c r="B598" s="30"/>
      <c r="E598" s="30"/>
      <c r="F598" s="30"/>
      <c r="G598" s="30"/>
      <c r="H598" s="30"/>
      <c r="I598" s="30"/>
      <c r="J598" s="30"/>
      <c r="K598" s="30"/>
    </row>
    <row r="599" customFormat="false" ht="15.75" hidden="false" customHeight="false" outlineLevel="0" collapsed="false">
      <c r="B599" s="30"/>
      <c r="E599" s="30"/>
      <c r="F599" s="30"/>
      <c r="G599" s="30"/>
      <c r="H599" s="30"/>
      <c r="I599" s="30"/>
      <c r="J599" s="30"/>
      <c r="K599" s="30"/>
    </row>
    <row r="600" customFormat="false" ht="15.75" hidden="false" customHeight="false" outlineLevel="0" collapsed="false">
      <c r="B600" s="30"/>
      <c r="E600" s="30"/>
      <c r="F600" s="30"/>
      <c r="G600" s="30"/>
      <c r="H600" s="30"/>
      <c r="I600" s="30"/>
      <c r="J600" s="30"/>
      <c r="K600" s="30"/>
    </row>
    <row r="601" customFormat="false" ht="15.75" hidden="false" customHeight="false" outlineLevel="0" collapsed="false">
      <c r="B601" s="30"/>
      <c r="E601" s="30"/>
      <c r="F601" s="30"/>
      <c r="G601" s="30"/>
      <c r="H601" s="30"/>
      <c r="I601" s="30"/>
      <c r="J601" s="30"/>
      <c r="K601" s="30"/>
    </row>
    <row r="602" customFormat="false" ht="15.75" hidden="false" customHeight="false" outlineLevel="0" collapsed="false">
      <c r="B602" s="30"/>
      <c r="E602" s="30"/>
      <c r="F602" s="30"/>
      <c r="G602" s="30"/>
      <c r="H602" s="30"/>
      <c r="I602" s="30"/>
      <c r="J602" s="30"/>
      <c r="K602" s="30"/>
    </row>
    <row r="603" customFormat="false" ht="15.75" hidden="false" customHeight="false" outlineLevel="0" collapsed="false">
      <c r="B603" s="30"/>
      <c r="E603" s="30"/>
      <c r="F603" s="30"/>
      <c r="G603" s="30"/>
      <c r="H603" s="30"/>
      <c r="I603" s="30"/>
      <c r="J603" s="30"/>
      <c r="K603" s="30"/>
    </row>
    <row r="604" customFormat="false" ht="15.75" hidden="false" customHeight="false" outlineLevel="0" collapsed="false">
      <c r="B604" s="30"/>
      <c r="E604" s="30"/>
      <c r="F604" s="30"/>
      <c r="G604" s="30"/>
      <c r="H604" s="30"/>
      <c r="I604" s="30"/>
      <c r="J604" s="30"/>
      <c r="K604" s="30"/>
    </row>
    <row r="605" customFormat="false" ht="15.75" hidden="false" customHeight="false" outlineLevel="0" collapsed="false">
      <c r="B605" s="30"/>
      <c r="E605" s="30"/>
      <c r="F605" s="30"/>
      <c r="G605" s="30"/>
      <c r="H605" s="30"/>
      <c r="I605" s="30"/>
      <c r="J605" s="30"/>
      <c r="K605" s="30"/>
    </row>
    <row r="606" customFormat="false" ht="15.75" hidden="false" customHeight="false" outlineLevel="0" collapsed="false">
      <c r="B606" s="30"/>
      <c r="E606" s="30"/>
      <c r="F606" s="30"/>
      <c r="G606" s="30"/>
      <c r="H606" s="30"/>
      <c r="I606" s="30"/>
      <c r="J606" s="30"/>
      <c r="K606" s="30"/>
    </row>
    <row r="607" customFormat="false" ht="15.75" hidden="false" customHeight="false" outlineLevel="0" collapsed="false">
      <c r="B607" s="30"/>
      <c r="E607" s="30"/>
      <c r="F607" s="30"/>
      <c r="G607" s="30"/>
      <c r="H607" s="30"/>
      <c r="I607" s="30"/>
      <c r="J607" s="30"/>
      <c r="K607" s="30"/>
    </row>
    <row r="608" customFormat="false" ht="15.75" hidden="false" customHeight="false" outlineLevel="0" collapsed="false">
      <c r="B608" s="30"/>
      <c r="E608" s="30"/>
      <c r="F608" s="30"/>
      <c r="G608" s="30"/>
      <c r="H608" s="30"/>
      <c r="I608" s="30"/>
      <c r="J608" s="30"/>
      <c r="K608" s="30"/>
    </row>
    <row r="609" customFormat="false" ht="15.75" hidden="false" customHeight="false" outlineLevel="0" collapsed="false">
      <c r="B609" s="30"/>
      <c r="E609" s="30"/>
      <c r="F609" s="30"/>
      <c r="G609" s="30"/>
      <c r="H609" s="30"/>
      <c r="I609" s="30"/>
      <c r="J609" s="30"/>
      <c r="K609" s="30"/>
    </row>
    <row r="610" customFormat="false" ht="15.75" hidden="false" customHeight="false" outlineLevel="0" collapsed="false">
      <c r="B610" s="30"/>
      <c r="E610" s="30"/>
      <c r="F610" s="30"/>
      <c r="G610" s="30"/>
      <c r="H610" s="30"/>
      <c r="I610" s="30"/>
      <c r="J610" s="30"/>
      <c r="K610" s="30"/>
    </row>
    <row r="611" customFormat="false" ht="15.75" hidden="false" customHeight="false" outlineLevel="0" collapsed="false">
      <c r="B611" s="30"/>
      <c r="E611" s="30"/>
      <c r="F611" s="30"/>
      <c r="G611" s="30"/>
      <c r="H611" s="30"/>
      <c r="I611" s="30"/>
      <c r="J611" s="30"/>
      <c r="K611" s="30"/>
    </row>
    <row r="612" customFormat="false" ht="15.75" hidden="false" customHeight="false" outlineLevel="0" collapsed="false">
      <c r="B612" s="30"/>
      <c r="E612" s="30"/>
      <c r="F612" s="30"/>
      <c r="G612" s="30"/>
      <c r="H612" s="30"/>
      <c r="I612" s="30"/>
      <c r="J612" s="30"/>
      <c r="K612" s="30"/>
    </row>
    <row r="613" customFormat="false" ht="15.75" hidden="false" customHeight="false" outlineLevel="0" collapsed="false">
      <c r="B613" s="30"/>
      <c r="E613" s="30"/>
      <c r="F613" s="30"/>
      <c r="G613" s="30"/>
      <c r="H613" s="30"/>
      <c r="I613" s="30"/>
      <c r="J613" s="30"/>
      <c r="K613" s="30"/>
    </row>
    <row r="614" customFormat="false" ht="15.75" hidden="false" customHeight="false" outlineLevel="0" collapsed="false">
      <c r="B614" s="30"/>
      <c r="E614" s="30"/>
      <c r="F614" s="30"/>
      <c r="G614" s="30"/>
      <c r="H614" s="30"/>
      <c r="I614" s="30"/>
      <c r="J614" s="30"/>
      <c r="K614" s="30"/>
    </row>
    <row r="615" customFormat="false" ht="15.75" hidden="false" customHeight="false" outlineLevel="0" collapsed="false">
      <c r="B615" s="30"/>
      <c r="E615" s="30"/>
      <c r="F615" s="30"/>
      <c r="G615" s="30"/>
      <c r="H615" s="30"/>
      <c r="I615" s="30"/>
      <c r="J615" s="30"/>
      <c r="K615" s="30"/>
    </row>
    <row r="616" customFormat="false" ht="15.75" hidden="false" customHeight="false" outlineLevel="0" collapsed="false">
      <c r="B616" s="30"/>
      <c r="E616" s="30"/>
      <c r="F616" s="30"/>
      <c r="G616" s="30"/>
      <c r="H616" s="30"/>
      <c r="I616" s="30"/>
      <c r="J616" s="30"/>
      <c r="K616" s="30"/>
    </row>
    <row r="617" customFormat="false" ht="15.75" hidden="false" customHeight="false" outlineLevel="0" collapsed="false">
      <c r="B617" s="30"/>
      <c r="E617" s="30"/>
      <c r="F617" s="30"/>
      <c r="G617" s="30"/>
      <c r="H617" s="30"/>
      <c r="I617" s="30"/>
      <c r="J617" s="30"/>
      <c r="K617" s="30"/>
    </row>
    <row r="618" customFormat="false" ht="15.75" hidden="false" customHeight="false" outlineLevel="0" collapsed="false">
      <c r="B618" s="30"/>
      <c r="E618" s="30"/>
      <c r="F618" s="30"/>
      <c r="G618" s="30"/>
      <c r="H618" s="30"/>
      <c r="I618" s="30"/>
      <c r="J618" s="30"/>
      <c r="K618" s="30"/>
    </row>
    <row r="619" customFormat="false" ht="15.75" hidden="false" customHeight="false" outlineLevel="0" collapsed="false">
      <c r="B619" s="30"/>
      <c r="E619" s="30"/>
      <c r="F619" s="30"/>
      <c r="G619" s="30"/>
      <c r="H619" s="30"/>
      <c r="I619" s="30"/>
      <c r="J619" s="30"/>
      <c r="K619" s="30"/>
    </row>
    <row r="620" customFormat="false" ht="15.75" hidden="false" customHeight="false" outlineLevel="0" collapsed="false">
      <c r="B620" s="30"/>
      <c r="E620" s="30"/>
      <c r="F620" s="30"/>
      <c r="G620" s="30"/>
      <c r="H620" s="30"/>
      <c r="I620" s="30"/>
      <c r="J620" s="30"/>
      <c r="K620" s="30"/>
    </row>
    <row r="621" customFormat="false" ht="15.75" hidden="false" customHeight="false" outlineLevel="0" collapsed="false">
      <c r="B621" s="30"/>
      <c r="E621" s="30"/>
      <c r="F621" s="30"/>
      <c r="G621" s="30"/>
      <c r="H621" s="30"/>
      <c r="I621" s="30"/>
      <c r="J621" s="30"/>
      <c r="K621" s="30"/>
    </row>
    <row r="622" customFormat="false" ht="15.75" hidden="false" customHeight="false" outlineLevel="0" collapsed="false">
      <c r="B622" s="30"/>
      <c r="E622" s="30"/>
      <c r="F622" s="30"/>
      <c r="G622" s="30"/>
      <c r="H622" s="30"/>
      <c r="I622" s="30"/>
      <c r="J622" s="30"/>
      <c r="K622" s="30"/>
    </row>
    <row r="623" customFormat="false" ht="15.75" hidden="false" customHeight="false" outlineLevel="0" collapsed="false">
      <c r="B623" s="30"/>
      <c r="E623" s="30"/>
      <c r="F623" s="30"/>
      <c r="G623" s="30"/>
      <c r="H623" s="30"/>
      <c r="I623" s="30"/>
      <c r="J623" s="30"/>
      <c r="K623" s="30"/>
    </row>
    <row r="624" customFormat="false" ht="15.75" hidden="false" customHeight="false" outlineLevel="0" collapsed="false">
      <c r="B624" s="30"/>
      <c r="E624" s="30"/>
      <c r="F624" s="30"/>
      <c r="G624" s="30"/>
      <c r="H624" s="30"/>
      <c r="I624" s="30"/>
      <c r="J624" s="30"/>
      <c r="K624" s="30"/>
    </row>
    <row r="625" customFormat="false" ht="15.75" hidden="false" customHeight="false" outlineLevel="0" collapsed="false">
      <c r="B625" s="30"/>
      <c r="E625" s="30"/>
      <c r="F625" s="30"/>
      <c r="G625" s="30"/>
      <c r="H625" s="30"/>
      <c r="I625" s="30"/>
      <c r="J625" s="30"/>
      <c r="K625" s="30"/>
    </row>
    <row r="626" customFormat="false" ht="15.75" hidden="false" customHeight="false" outlineLevel="0" collapsed="false">
      <c r="B626" s="30"/>
      <c r="E626" s="30"/>
      <c r="F626" s="30"/>
      <c r="G626" s="30"/>
      <c r="H626" s="30"/>
      <c r="I626" s="30"/>
      <c r="J626" s="30"/>
      <c r="K626" s="30"/>
    </row>
    <row r="627" customFormat="false" ht="15.75" hidden="false" customHeight="false" outlineLevel="0" collapsed="false">
      <c r="B627" s="30"/>
      <c r="E627" s="30"/>
      <c r="F627" s="30"/>
      <c r="G627" s="30"/>
      <c r="H627" s="30"/>
      <c r="I627" s="30"/>
      <c r="J627" s="30"/>
      <c r="K627" s="30"/>
    </row>
    <row r="628" customFormat="false" ht="15.75" hidden="false" customHeight="false" outlineLevel="0" collapsed="false">
      <c r="B628" s="30"/>
      <c r="E628" s="30"/>
      <c r="F628" s="30"/>
      <c r="G628" s="30"/>
      <c r="H628" s="30"/>
      <c r="I628" s="30"/>
      <c r="J628" s="30"/>
      <c r="K628" s="30"/>
    </row>
    <row r="629" customFormat="false" ht="15.75" hidden="false" customHeight="false" outlineLevel="0" collapsed="false">
      <c r="B629" s="30"/>
      <c r="E629" s="30"/>
      <c r="F629" s="30"/>
      <c r="G629" s="30"/>
      <c r="H629" s="30"/>
      <c r="I629" s="30"/>
      <c r="J629" s="30"/>
      <c r="K629" s="30"/>
    </row>
    <row r="630" customFormat="false" ht="15.75" hidden="false" customHeight="false" outlineLevel="0" collapsed="false">
      <c r="B630" s="30"/>
      <c r="E630" s="30"/>
      <c r="F630" s="30"/>
      <c r="G630" s="30"/>
      <c r="H630" s="30"/>
      <c r="I630" s="30"/>
      <c r="J630" s="30"/>
      <c r="K630" s="30"/>
    </row>
    <row r="631" customFormat="false" ht="15.75" hidden="false" customHeight="false" outlineLevel="0" collapsed="false">
      <c r="B631" s="30"/>
      <c r="E631" s="30"/>
      <c r="F631" s="30"/>
      <c r="G631" s="30"/>
      <c r="H631" s="30"/>
      <c r="I631" s="30"/>
      <c r="J631" s="30"/>
      <c r="K631" s="30"/>
    </row>
    <row r="632" customFormat="false" ht="15.75" hidden="false" customHeight="false" outlineLevel="0" collapsed="false">
      <c r="B632" s="30"/>
      <c r="E632" s="30"/>
      <c r="F632" s="30"/>
      <c r="G632" s="30"/>
      <c r="H632" s="30"/>
      <c r="I632" s="30"/>
      <c r="J632" s="30"/>
      <c r="K632" s="30"/>
    </row>
    <row r="633" customFormat="false" ht="15.75" hidden="false" customHeight="false" outlineLevel="0" collapsed="false">
      <c r="B633" s="30"/>
      <c r="E633" s="30"/>
      <c r="F633" s="30"/>
      <c r="G633" s="30"/>
      <c r="H633" s="30"/>
      <c r="I633" s="30"/>
      <c r="J633" s="30"/>
      <c r="K633" s="30"/>
    </row>
    <row r="634" customFormat="false" ht="15.75" hidden="false" customHeight="false" outlineLevel="0" collapsed="false">
      <c r="B634" s="30"/>
      <c r="E634" s="30"/>
      <c r="F634" s="30"/>
      <c r="G634" s="30"/>
      <c r="H634" s="30"/>
      <c r="I634" s="30"/>
      <c r="J634" s="30"/>
      <c r="K634" s="30"/>
    </row>
    <row r="635" customFormat="false" ht="15.75" hidden="false" customHeight="false" outlineLevel="0" collapsed="false">
      <c r="B635" s="30"/>
      <c r="E635" s="30"/>
      <c r="F635" s="30"/>
      <c r="G635" s="30"/>
      <c r="H635" s="30"/>
      <c r="I635" s="30"/>
      <c r="J635" s="30"/>
      <c r="K635" s="30"/>
    </row>
    <row r="636" customFormat="false" ht="15.75" hidden="false" customHeight="false" outlineLevel="0" collapsed="false">
      <c r="B636" s="30"/>
      <c r="E636" s="30"/>
      <c r="F636" s="30"/>
      <c r="G636" s="30"/>
      <c r="H636" s="30"/>
      <c r="I636" s="30"/>
      <c r="J636" s="30"/>
      <c r="K636" s="30"/>
    </row>
    <row r="637" customFormat="false" ht="15.75" hidden="false" customHeight="false" outlineLevel="0" collapsed="false">
      <c r="B637" s="30"/>
      <c r="E637" s="30"/>
      <c r="F637" s="30"/>
      <c r="G637" s="30"/>
      <c r="H637" s="30"/>
      <c r="I637" s="30"/>
      <c r="J637" s="30"/>
      <c r="K637" s="30"/>
    </row>
    <row r="638" customFormat="false" ht="15.75" hidden="false" customHeight="false" outlineLevel="0" collapsed="false">
      <c r="B638" s="30"/>
      <c r="E638" s="30"/>
      <c r="F638" s="30"/>
      <c r="G638" s="30"/>
      <c r="H638" s="30"/>
      <c r="I638" s="30"/>
      <c r="J638" s="30"/>
      <c r="K638" s="30"/>
    </row>
    <row r="639" customFormat="false" ht="15.75" hidden="false" customHeight="false" outlineLevel="0" collapsed="false">
      <c r="B639" s="30"/>
      <c r="E639" s="30"/>
      <c r="F639" s="30"/>
      <c r="G639" s="30"/>
      <c r="H639" s="30"/>
      <c r="I639" s="30"/>
      <c r="J639" s="30"/>
      <c r="K639" s="30"/>
    </row>
    <row r="640" customFormat="false" ht="15.75" hidden="false" customHeight="false" outlineLevel="0" collapsed="false">
      <c r="B640" s="30"/>
      <c r="E640" s="30"/>
      <c r="F640" s="30"/>
      <c r="G640" s="30"/>
      <c r="H640" s="30"/>
      <c r="I640" s="30"/>
      <c r="J640" s="30"/>
      <c r="K640" s="30"/>
    </row>
    <row r="641" customFormat="false" ht="15.75" hidden="false" customHeight="false" outlineLevel="0" collapsed="false">
      <c r="B641" s="30"/>
      <c r="E641" s="30"/>
      <c r="F641" s="30"/>
      <c r="G641" s="30"/>
      <c r="H641" s="30"/>
      <c r="I641" s="30"/>
      <c r="J641" s="30"/>
      <c r="K641" s="30"/>
    </row>
    <row r="642" customFormat="false" ht="15.75" hidden="false" customHeight="false" outlineLevel="0" collapsed="false">
      <c r="B642" s="30"/>
      <c r="E642" s="30"/>
      <c r="F642" s="30"/>
      <c r="G642" s="30"/>
      <c r="H642" s="30"/>
      <c r="I642" s="30"/>
      <c r="J642" s="30"/>
      <c r="K642" s="30"/>
    </row>
    <row r="643" customFormat="false" ht="15.75" hidden="false" customHeight="false" outlineLevel="0" collapsed="false">
      <c r="B643" s="30"/>
      <c r="E643" s="30"/>
      <c r="F643" s="30"/>
      <c r="G643" s="30"/>
      <c r="H643" s="30"/>
      <c r="I643" s="30"/>
      <c r="J643" s="30"/>
      <c r="K643" s="30"/>
    </row>
    <row r="644" customFormat="false" ht="15.75" hidden="false" customHeight="false" outlineLevel="0" collapsed="false">
      <c r="B644" s="30"/>
      <c r="E644" s="30"/>
      <c r="F644" s="30"/>
      <c r="G644" s="30"/>
      <c r="H644" s="30"/>
      <c r="I644" s="30"/>
      <c r="J644" s="30"/>
      <c r="K644" s="30"/>
    </row>
    <row r="645" customFormat="false" ht="15.75" hidden="false" customHeight="false" outlineLevel="0" collapsed="false">
      <c r="B645" s="30"/>
      <c r="E645" s="30"/>
      <c r="F645" s="30"/>
      <c r="G645" s="30"/>
      <c r="H645" s="30"/>
      <c r="I645" s="30"/>
      <c r="J645" s="30"/>
      <c r="K645" s="30"/>
    </row>
    <row r="646" customFormat="false" ht="15.75" hidden="false" customHeight="false" outlineLevel="0" collapsed="false">
      <c r="B646" s="30"/>
      <c r="E646" s="30"/>
      <c r="F646" s="30"/>
      <c r="G646" s="30"/>
      <c r="H646" s="30"/>
      <c r="I646" s="30"/>
      <c r="J646" s="30"/>
      <c r="K646" s="30"/>
    </row>
    <row r="647" customFormat="false" ht="15.75" hidden="false" customHeight="false" outlineLevel="0" collapsed="false">
      <c r="B647" s="30"/>
      <c r="E647" s="30"/>
      <c r="F647" s="30"/>
      <c r="G647" s="30"/>
      <c r="H647" s="30"/>
      <c r="I647" s="30"/>
      <c r="J647" s="30"/>
      <c r="K647" s="30"/>
    </row>
    <row r="648" customFormat="false" ht="15.75" hidden="false" customHeight="false" outlineLevel="0" collapsed="false">
      <c r="B648" s="30"/>
      <c r="E648" s="30"/>
      <c r="F648" s="30"/>
      <c r="G648" s="30"/>
      <c r="H648" s="30"/>
      <c r="I648" s="30"/>
      <c r="J648" s="30"/>
      <c r="K648" s="30"/>
    </row>
    <row r="649" customFormat="false" ht="15.75" hidden="false" customHeight="false" outlineLevel="0" collapsed="false">
      <c r="B649" s="30"/>
      <c r="E649" s="30"/>
      <c r="F649" s="30"/>
      <c r="G649" s="30"/>
      <c r="H649" s="30"/>
      <c r="I649" s="30"/>
      <c r="J649" s="30"/>
      <c r="K649" s="30"/>
    </row>
    <row r="650" customFormat="false" ht="15.75" hidden="false" customHeight="false" outlineLevel="0" collapsed="false">
      <c r="B650" s="30"/>
      <c r="E650" s="30"/>
      <c r="F650" s="30"/>
      <c r="G650" s="30"/>
      <c r="H650" s="30"/>
      <c r="I650" s="30"/>
      <c r="J650" s="30"/>
      <c r="K650" s="30"/>
    </row>
    <row r="651" customFormat="false" ht="15.75" hidden="false" customHeight="false" outlineLevel="0" collapsed="false">
      <c r="B651" s="30"/>
      <c r="E651" s="30"/>
      <c r="F651" s="30"/>
      <c r="G651" s="30"/>
      <c r="H651" s="30"/>
      <c r="I651" s="30"/>
      <c r="J651" s="30"/>
      <c r="K651" s="30"/>
    </row>
    <row r="652" customFormat="false" ht="15.75" hidden="false" customHeight="false" outlineLevel="0" collapsed="false">
      <c r="B652" s="30"/>
      <c r="E652" s="30"/>
      <c r="F652" s="30"/>
      <c r="G652" s="30"/>
      <c r="H652" s="30"/>
      <c r="I652" s="30"/>
      <c r="J652" s="30"/>
      <c r="K652" s="30"/>
    </row>
    <row r="653" customFormat="false" ht="15.75" hidden="false" customHeight="false" outlineLevel="0" collapsed="false">
      <c r="B653" s="30"/>
      <c r="E653" s="30"/>
      <c r="F653" s="30"/>
      <c r="G653" s="30"/>
      <c r="H653" s="30"/>
      <c r="I653" s="30"/>
      <c r="J653" s="30"/>
      <c r="K653" s="30"/>
    </row>
    <row r="654" customFormat="false" ht="15.75" hidden="false" customHeight="false" outlineLevel="0" collapsed="false">
      <c r="B654" s="30"/>
      <c r="E654" s="30"/>
      <c r="F654" s="30"/>
      <c r="G654" s="30"/>
      <c r="H654" s="30"/>
      <c r="I654" s="30"/>
      <c r="J654" s="30"/>
      <c r="K654" s="30"/>
    </row>
    <row r="655" customFormat="false" ht="15.75" hidden="false" customHeight="false" outlineLevel="0" collapsed="false">
      <c r="B655" s="30"/>
      <c r="E655" s="30"/>
      <c r="F655" s="30"/>
      <c r="G655" s="30"/>
      <c r="H655" s="30"/>
      <c r="I655" s="30"/>
      <c r="J655" s="30"/>
      <c r="K655" s="30"/>
    </row>
    <row r="656" customFormat="false" ht="15.75" hidden="false" customHeight="false" outlineLevel="0" collapsed="false">
      <c r="B656" s="30"/>
      <c r="E656" s="30"/>
      <c r="F656" s="30"/>
      <c r="G656" s="30"/>
      <c r="H656" s="30"/>
      <c r="I656" s="30"/>
      <c r="J656" s="30"/>
      <c r="K656" s="30"/>
    </row>
    <row r="657" customFormat="false" ht="15.75" hidden="false" customHeight="false" outlineLevel="0" collapsed="false">
      <c r="B657" s="30"/>
      <c r="E657" s="30"/>
      <c r="F657" s="30"/>
      <c r="G657" s="30"/>
      <c r="H657" s="30"/>
      <c r="I657" s="30"/>
      <c r="J657" s="30"/>
      <c r="K657" s="30"/>
    </row>
    <row r="658" customFormat="false" ht="15.75" hidden="false" customHeight="false" outlineLevel="0" collapsed="false">
      <c r="B658" s="30"/>
      <c r="E658" s="30"/>
      <c r="F658" s="30"/>
      <c r="G658" s="30"/>
      <c r="H658" s="30"/>
      <c r="I658" s="30"/>
      <c r="J658" s="30"/>
      <c r="K658" s="30"/>
    </row>
    <row r="659" customFormat="false" ht="15.75" hidden="false" customHeight="false" outlineLevel="0" collapsed="false">
      <c r="B659" s="30"/>
      <c r="E659" s="30"/>
      <c r="F659" s="30"/>
      <c r="G659" s="30"/>
      <c r="H659" s="30"/>
      <c r="I659" s="30"/>
      <c r="J659" s="30"/>
      <c r="K659" s="30"/>
    </row>
    <row r="660" customFormat="false" ht="15.75" hidden="false" customHeight="false" outlineLevel="0" collapsed="false">
      <c r="B660" s="30"/>
      <c r="E660" s="30"/>
      <c r="F660" s="30"/>
      <c r="G660" s="30"/>
      <c r="H660" s="30"/>
      <c r="I660" s="30"/>
      <c r="J660" s="30"/>
      <c r="K660" s="30"/>
    </row>
    <row r="661" customFormat="false" ht="15.75" hidden="false" customHeight="false" outlineLevel="0" collapsed="false">
      <c r="B661" s="30"/>
      <c r="E661" s="30"/>
      <c r="F661" s="30"/>
      <c r="G661" s="30"/>
      <c r="H661" s="30"/>
      <c r="I661" s="30"/>
      <c r="J661" s="30"/>
      <c r="K661" s="30"/>
    </row>
    <row r="662" customFormat="false" ht="15.75" hidden="false" customHeight="false" outlineLevel="0" collapsed="false">
      <c r="B662" s="30"/>
      <c r="E662" s="30"/>
      <c r="F662" s="30"/>
      <c r="G662" s="30"/>
      <c r="H662" s="30"/>
      <c r="I662" s="30"/>
      <c r="J662" s="30"/>
      <c r="K662" s="30"/>
    </row>
    <row r="663" customFormat="false" ht="15.75" hidden="false" customHeight="false" outlineLevel="0" collapsed="false">
      <c r="B663" s="30"/>
      <c r="E663" s="30"/>
      <c r="F663" s="30"/>
      <c r="G663" s="30"/>
      <c r="H663" s="30"/>
      <c r="I663" s="30"/>
      <c r="J663" s="30"/>
      <c r="K663" s="30"/>
    </row>
    <row r="664" customFormat="false" ht="15.75" hidden="false" customHeight="false" outlineLevel="0" collapsed="false">
      <c r="B664" s="30"/>
      <c r="E664" s="30"/>
      <c r="F664" s="30"/>
      <c r="G664" s="30"/>
      <c r="H664" s="30"/>
      <c r="I664" s="30"/>
      <c r="J664" s="30"/>
      <c r="K664" s="30"/>
    </row>
    <row r="665" customFormat="false" ht="15.75" hidden="false" customHeight="false" outlineLevel="0" collapsed="false">
      <c r="B665" s="30"/>
      <c r="E665" s="30"/>
      <c r="F665" s="30"/>
      <c r="G665" s="30"/>
      <c r="H665" s="30"/>
      <c r="I665" s="30"/>
      <c r="J665" s="30"/>
      <c r="K665" s="30"/>
    </row>
    <row r="666" customFormat="false" ht="15.75" hidden="false" customHeight="false" outlineLevel="0" collapsed="false">
      <c r="B666" s="30"/>
      <c r="E666" s="30"/>
      <c r="F666" s="30"/>
      <c r="G666" s="30"/>
      <c r="H666" s="30"/>
      <c r="I666" s="30"/>
      <c r="J666" s="30"/>
      <c r="K666" s="30"/>
    </row>
    <row r="667" customFormat="false" ht="15.75" hidden="false" customHeight="false" outlineLevel="0" collapsed="false">
      <c r="B667" s="30"/>
      <c r="E667" s="30"/>
      <c r="F667" s="30"/>
      <c r="G667" s="30"/>
      <c r="H667" s="30"/>
      <c r="I667" s="30"/>
      <c r="J667" s="30"/>
      <c r="K667" s="30"/>
    </row>
    <row r="668" customFormat="false" ht="15.75" hidden="false" customHeight="false" outlineLevel="0" collapsed="false">
      <c r="B668" s="30"/>
      <c r="E668" s="30"/>
      <c r="F668" s="30"/>
      <c r="G668" s="30"/>
      <c r="H668" s="30"/>
      <c r="I668" s="30"/>
      <c r="J668" s="30"/>
      <c r="K668" s="30"/>
    </row>
    <row r="669" customFormat="false" ht="15.75" hidden="false" customHeight="false" outlineLevel="0" collapsed="false">
      <c r="B669" s="30"/>
      <c r="E669" s="30"/>
      <c r="F669" s="30"/>
      <c r="G669" s="30"/>
      <c r="H669" s="30"/>
      <c r="I669" s="30"/>
      <c r="J669" s="30"/>
      <c r="K669" s="30"/>
    </row>
    <row r="670" customFormat="false" ht="15.75" hidden="false" customHeight="false" outlineLevel="0" collapsed="false">
      <c r="B670" s="30"/>
      <c r="E670" s="30"/>
      <c r="F670" s="30"/>
      <c r="G670" s="30"/>
      <c r="H670" s="30"/>
      <c r="I670" s="30"/>
      <c r="J670" s="30"/>
      <c r="K670" s="30"/>
    </row>
    <row r="671" customFormat="false" ht="15.75" hidden="false" customHeight="false" outlineLevel="0" collapsed="false">
      <c r="B671" s="30"/>
      <c r="E671" s="30"/>
      <c r="F671" s="30"/>
      <c r="G671" s="30"/>
      <c r="H671" s="30"/>
      <c r="I671" s="30"/>
      <c r="J671" s="30"/>
      <c r="K671" s="30"/>
    </row>
    <row r="672" customFormat="false" ht="15.75" hidden="false" customHeight="false" outlineLevel="0" collapsed="false">
      <c r="B672" s="30"/>
      <c r="E672" s="30"/>
      <c r="F672" s="30"/>
      <c r="G672" s="30"/>
      <c r="H672" s="30"/>
      <c r="I672" s="30"/>
      <c r="J672" s="30"/>
      <c r="K672" s="30"/>
    </row>
    <row r="673" customFormat="false" ht="15.75" hidden="false" customHeight="false" outlineLevel="0" collapsed="false">
      <c r="B673" s="30"/>
      <c r="E673" s="30"/>
      <c r="F673" s="30"/>
      <c r="G673" s="30"/>
      <c r="H673" s="30"/>
      <c r="I673" s="30"/>
      <c r="J673" s="30"/>
      <c r="K673" s="30"/>
    </row>
    <row r="674" customFormat="false" ht="15.75" hidden="false" customHeight="false" outlineLevel="0" collapsed="false">
      <c r="B674" s="30"/>
      <c r="E674" s="30"/>
      <c r="F674" s="30"/>
      <c r="G674" s="30"/>
      <c r="H674" s="30"/>
      <c r="I674" s="30"/>
      <c r="J674" s="30"/>
      <c r="K674" s="30"/>
    </row>
    <row r="675" customFormat="false" ht="15.75" hidden="false" customHeight="false" outlineLevel="0" collapsed="false">
      <c r="B675" s="30"/>
      <c r="E675" s="30"/>
      <c r="F675" s="30"/>
      <c r="G675" s="30"/>
      <c r="H675" s="30"/>
      <c r="I675" s="30"/>
      <c r="J675" s="30"/>
      <c r="K675" s="30"/>
    </row>
    <row r="676" customFormat="false" ht="15.75" hidden="false" customHeight="false" outlineLevel="0" collapsed="false">
      <c r="B676" s="30"/>
      <c r="E676" s="30"/>
      <c r="F676" s="30"/>
      <c r="G676" s="30"/>
      <c r="H676" s="30"/>
      <c r="I676" s="30"/>
      <c r="J676" s="30"/>
      <c r="K676" s="30"/>
    </row>
    <row r="677" customFormat="false" ht="15.75" hidden="false" customHeight="false" outlineLevel="0" collapsed="false">
      <c r="B677" s="30"/>
      <c r="E677" s="30"/>
      <c r="F677" s="30"/>
      <c r="G677" s="30"/>
      <c r="H677" s="30"/>
      <c r="I677" s="30"/>
      <c r="J677" s="30"/>
      <c r="K677" s="30"/>
    </row>
    <row r="678" customFormat="false" ht="15.75" hidden="false" customHeight="false" outlineLevel="0" collapsed="false">
      <c r="B678" s="30"/>
      <c r="E678" s="30"/>
      <c r="F678" s="30"/>
      <c r="G678" s="30"/>
      <c r="H678" s="30"/>
      <c r="I678" s="30"/>
      <c r="J678" s="30"/>
      <c r="K678" s="30"/>
    </row>
    <row r="679" customFormat="false" ht="15.75" hidden="false" customHeight="false" outlineLevel="0" collapsed="false">
      <c r="B679" s="30"/>
      <c r="E679" s="30"/>
      <c r="F679" s="30"/>
      <c r="G679" s="30"/>
      <c r="H679" s="30"/>
      <c r="I679" s="30"/>
      <c r="J679" s="30"/>
      <c r="K679" s="30"/>
    </row>
    <row r="680" customFormat="false" ht="15.75" hidden="false" customHeight="false" outlineLevel="0" collapsed="false">
      <c r="B680" s="30"/>
      <c r="E680" s="30"/>
      <c r="F680" s="30"/>
      <c r="G680" s="30"/>
      <c r="H680" s="30"/>
      <c r="I680" s="30"/>
      <c r="J680" s="30"/>
      <c r="K680" s="30"/>
    </row>
    <row r="681" customFormat="false" ht="15.75" hidden="false" customHeight="false" outlineLevel="0" collapsed="false">
      <c r="B681" s="30"/>
      <c r="E681" s="30"/>
      <c r="F681" s="30"/>
      <c r="G681" s="30"/>
      <c r="H681" s="30"/>
      <c r="I681" s="30"/>
      <c r="J681" s="30"/>
      <c r="K681" s="30"/>
    </row>
    <row r="682" customFormat="false" ht="15.75" hidden="false" customHeight="false" outlineLevel="0" collapsed="false">
      <c r="B682" s="30"/>
      <c r="E682" s="30"/>
      <c r="F682" s="30"/>
      <c r="G682" s="30"/>
      <c r="H682" s="30"/>
      <c r="I682" s="30"/>
      <c r="J682" s="30"/>
      <c r="K682" s="30"/>
    </row>
    <row r="683" customFormat="false" ht="15.75" hidden="false" customHeight="false" outlineLevel="0" collapsed="false">
      <c r="B683" s="30"/>
      <c r="E683" s="30"/>
      <c r="F683" s="30"/>
      <c r="G683" s="30"/>
      <c r="H683" s="30"/>
      <c r="I683" s="30"/>
      <c r="J683" s="30"/>
      <c r="K683" s="30"/>
    </row>
    <row r="684" customFormat="false" ht="15.75" hidden="false" customHeight="false" outlineLevel="0" collapsed="false">
      <c r="B684" s="30"/>
      <c r="E684" s="30"/>
      <c r="F684" s="30"/>
      <c r="G684" s="30"/>
      <c r="H684" s="30"/>
      <c r="I684" s="30"/>
      <c r="J684" s="30"/>
      <c r="K684" s="30"/>
    </row>
    <row r="685" customFormat="false" ht="15.75" hidden="false" customHeight="false" outlineLevel="0" collapsed="false">
      <c r="B685" s="30"/>
      <c r="E685" s="30"/>
      <c r="F685" s="30"/>
      <c r="G685" s="30"/>
      <c r="H685" s="30"/>
      <c r="I685" s="30"/>
      <c r="J685" s="30"/>
      <c r="K685" s="30"/>
    </row>
    <row r="686" customFormat="false" ht="15.75" hidden="false" customHeight="false" outlineLevel="0" collapsed="false">
      <c r="B686" s="30"/>
      <c r="E686" s="30"/>
      <c r="F686" s="30"/>
      <c r="G686" s="30"/>
      <c r="H686" s="30"/>
      <c r="I686" s="30"/>
      <c r="J686" s="30"/>
      <c r="K686" s="30"/>
    </row>
    <row r="687" customFormat="false" ht="15.75" hidden="false" customHeight="false" outlineLevel="0" collapsed="false">
      <c r="B687" s="30"/>
      <c r="E687" s="30"/>
      <c r="F687" s="30"/>
      <c r="G687" s="30"/>
      <c r="H687" s="30"/>
      <c r="I687" s="30"/>
      <c r="J687" s="30"/>
      <c r="K687" s="30"/>
    </row>
    <row r="688" customFormat="false" ht="15.75" hidden="false" customHeight="false" outlineLevel="0" collapsed="false">
      <c r="B688" s="30"/>
      <c r="E688" s="30"/>
      <c r="F688" s="30"/>
      <c r="G688" s="30"/>
      <c r="H688" s="30"/>
      <c r="I688" s="30"/>
      <c r="J688" s="30"/>
      <c r="K688" s="30"/>
    </row>
    <row r="689" customFormat="false" ht="15.75" hidden="false" customHeight="false" outlineLevel="0" collapsed="false">
      <c r="B689" s="30"/>
      <c r="E689" s="30"/>
      <c r="F689" s="30"/>
      <c r="G689" s="30"/>
      <c r="H689" s="30"/>
      <c r="I689" s="30"/>
      <c r="J689" s="30"/>
      <c r="K689" s="30"/>
    </row>
    <row r="690" customFormat="false" ht="15.75" hidden="false" customHeight="false" outlineLevel="0" collapsed="false">
      <c r="B690" s="30"/>
      <c r="E690" s="30"/>
      <c r="F690" s="30"/>
      <c r="G690" s="30"/>
      <c r="H690" s="30"/>
      <c r="I690" s="30"/>
      <c r="J690" s="30"/>
      <c r="K690" s="30"/>
    </row>
    <row r="691" customFormat="false" ht="15.75" hidden="false" customHeight="false" outlineLevel="0" collapsed="false">
      <c r="B691" s="30"/>
      <c r="E691" s="30"/>
      <c r="F691" s="30"/>
      <c r="G691" s="30"/>
      <c r="H691" s="30"/>
      <c r="I691" s="30"/>
      <c r="J691" s="30"/>
      <c r="K691" s="30"/>
    </row>
    <row r="692" customFormat="false" ht="15.75" hidden="false" customHeight="false" outlineLevel="0" collapsed="false">
      <c r="B692" s="30"/>
      <c r="E692" s="30"/>
      <c r="F692" s="30"/>
      <c r="G692" s="30"/>
      <c r="H692" s="30"/>
      <c r="I692" s="30"/>
      <c r="J692" s="30"/>
      <c r="K692" s="30"/>
    </row>
    <row r="693" customFormat="false" ht="15.75" hidden="false" customHeight="false" outlineLevel="0" collapsed="false">
      <c r="B693" s="30"/>
      <c r="E693" s="30"/>
      <c r="F693" s="30"/>
      <c r="G693" s="30"/>
      <c r="H693" s="30"/>
      <c r="I693" s="30"/>
      <c r="J693" s="30"/>
      <c r="K693" s="30"/>
    </row>
    <row r="694" customFormat="false" ht="15.75" hidden="false" customHeight="false" outlineLevel="0" collapsed="false">
      <c r="B694" s="30"/>
      <c r="E694" s="30"/>
      <c r="F694" s="30"/>
      <c r="G694" s="30"/>
      <c r="H694" s="30"/>
      <c r="I694" s="30"/>
      <c r="J694" s="30"/>
      <c r="K694" s="30"/>
    </row>
    <row r="695" customFormat="false" ht="15.75" hidden="false" customHeight="false" outlineLevel="0" collapsed="false">
      <c r="B695" s="30"/>
      <c r="E695" s="30"/>
      <c r="F695" s="30"/>
      <c r="G695" s="30"/>
      <c r="H695" s="30"/>
      <c r="I695" s="30"/>
      <c r="J695" s="30"/>
      <c r="K695" s="30"/>
    </row>
    <row r="696" customFormat="false" ht="15.75" hidden="false" customHeight="false" outlineLevel="0" collapsed="false">
      <c r="B696" s="30"/>
      <c r="E696" s="30"/>
      <c r="F696" s="30"/>
      <c r="G696" s="30"/>
      <c r="H696" s="30"/>
      <c r="I696" s="30"/>
      <c r="J696" s="30"/>
      <c r="K696" s="30"/>
    </row>
    <row r="697" customFormat="false" ht="15.75" hidden="false" customHeight="false" outlineLevel="0" collapsed="false">
      <c r="B697" s="30"/>
      <c r="E697" s="30"/>
      <c r="F697" s="30"/>
      <c r="G697" s="30"/>
      <c r="H697" s="30"/>
      <c r="I697" s="30"/>
      <c r="J697" s="30"/>
      <c r="K697" s="30"/>
    </row>
    <row r="698" customFormat="false" ht="15.75" hidden="false" customHeight="false" outlineLevel="0" collapsed="false">
      <c r="B698" s="30"/>
      <c r="E698" s="30"/>
      <c r="F698" s="30"/>
      <c r="G698" s="30"/>
      <c r="H698" s="30"/>
      <c r="I698" s="30"/>
      <c r="J698" s="30"/>
      <c r="K698" s="30"/>
    </row>
    <row r="699" customFormat="false" ht="15.75" hidden="false" customHeight="false" outlineLevel="0" collapsed="false">
      <c r="B699" s="30"/>
      <c r="E699" s="30"/>
      <c r="F699" s="30"/>
      <c r="G699" s="30"/>
      <c r="H699" s="30"/>
      <c r="I699" s="30"/>
      <c r="J699" s="30"/>
      <c r="K699" s="30"/>
    </row>
    <row r="700" customFormat="false" ht="15.75" hidden="false" customHeight="false" outlineLevel="0" collapsed="false">
      <c r="B700" s="30"/>
      <c r="E700" s="30"/>
      <c r="F700" s="30"/>
      <c r="G700" s="30"/>
      <c r="H700" s="30"/>
      <c r="I700" s="30"/>
      <c r="J700" s="30"/>
      <c r="K700" s="30"/>
    </row>
    <row r="701" customFormat="false" ht="15.75" hidden="false" customHeight="false" outlineLevel="0" collapsed="false">
      <c r="B701" s="30"/>
      <c r="E701" s="30"/>
      <c r="F701" s="30"/>
      <c r="G701" s="30"/>
      <c r="H701" s="30"/>
      <c r="I701" s="30"/>
      <c r="J701" s="30"/>
      <c r="K701" s="30"/>
    </row>
    <row r="702" customFormat="false" ht="15.75" hidden="false" customHeight="false" outlineLevel="0" collapsed="false">
      <c r="B702" s="30"/>
      <c r="E702" s="30"/>
      <c r="F702" s="30"/>
      <c r="G702" s="30"/>
      <c r="H702" s="30"/>
      <c r="I702" s="30"/>
      <c r="J702" s="30"/>
      <c r="K702" s="30"/>
    </row>
    <row r="703" customFormat="false" ht="15.75" hidden="false" customHeight="false" outlineLevel="0" collapsed="false">
      <c r="B703" s="30"/>
      <c r="E703" s="30"/>
      <c r="F703" s="30"/>
      <c r="G703" s="30"/>
      <c r="H703" s="30"/>
      <c r="I703" s="30"/>
      <c r="J703" s="30"/>
      <c r="K703" s="30"/>
    </row>
    <row r="704" customFormat="false" ht="15.75" hidden="false" customHeight="false" outlineLevel="0" collapsed="false">
      <c r="B704" s="30"/>
      <c r="E704" s="30"/>
      <c r="F704" s="30"/>
      <c r="G704" s="30"/>
      <c r="H704" s="30"/>
      <c r="I704" s="30"/>
      <c r="J704" s="30"/>
      <c r="K704" s="30"/>
    </row>
    <row r="705" customFormat="false" ht="15.75" hidden="false" customHeight="false" outlineLevel="0" collapsed="false">
      <c r="B705" s="30"/>
      <c r="E705" s="30"/>
      <c r="F705" s="30"/>
      <c r="G705" s="30"/>
      <c r="H705" s="30"/>
      <c r="I705" s="30"/>
      <c r="J705" s="30"/>
      <c r="K705" s="30"/>
    </row>
    <row r="706" customFormat="false" ht="15.75" hidden="false" customHeight="false" outlineLevel="0" collapsed="false">
      <c r="B706" s="30"/>
      <c r="E706" s="30"/>
      <c r="F706" s="30"/>
      <c r="G706" s="30"/>
      <c r="H706" s="30"/>
      <c r="I706" s="30"/>
      <c r="J706" s="30"/>
      <c r="K706" s="30"/>
    </row>
    <row r="707" customFormat="false" ht="15.75" hidden="false" customHeight="false" outlineLevel="0" collapsed="false">
      <c r="B707" s="30"/>
      <c r="E707" s="30"/>
      <c r="F707" s="30"/>
      <c r="G707" s="30"/>
      <c r="H707" s="30"/>
      <c r="I707" s="30"/>
      <c r="J707" s="30"/>
      <c r="K707" s="30"/>
    </row>
    <row r="708" customFormat="false" ht="15.75" hidden="false" customHeight="false" outlineLevel="0" collapsed="false">
      <c r="B708" s="30"/>
      <c r="E708" s="30"/>
      <c r="F708" s="30"/>
      <c r="G708" s="30"/>
      <c r="H708" s="30"/>
      <c r="I708" s="30"/>
      <c r="J708" s="30"/>
      <c r="K708" s="30"/>
    </row>
    <row r="709" customFormat="false" ht="15.75" hidden="false" customHeight="false" outlineLevel="0" collapsed="false">
      <c r="B709" s="30"/>
      <c r="E709" s="30"/>
      <c r="F709" s="30"/>
      <c r="G709" s="30"/>
      <c r="H709" s="30"/>
      <c r="I709" s="30"/>
      <c r="J709" s="30"/>
      <c r="K709" s="30"/>
    </row>
    <row r="710" customFormat="false" ht="15.75" hidden="false" customHeight="false" outlineLevel="0" collapsed="false">
      <c r="B710" s="30"/>
      <c r="E710" s="30"/>
      <c r="F710" s="30"/>
      <c r="G710" s="30"/>
      <c r="H710" s="30"/>
      <c r="I710" s="30"/>
      <c r="J710" s="30"/>
      <c r="K710" s="30"/>
    </row>
    <row r="711" customFormat="false" ht="15.75" hidden="false" customHeight="false" outlineLevel="0" collapsed="false">
      <c r="B711" s="30"/>
      <c r="E711" s="30"/>
      <c r="F711" s="30"/>
      <c r="G711" s="30"/>
      <c r="H711" s="30"/>
      <c r="I711" s="30"/>
      <c r="J711" s="30"/>
      <c r="K711" s="30"/>
    </row>
    <row r="712" customFormat="false" ht="15.75" hidden="false" customHeight="false" outlineLevel="0" collapsed="false">
      <c r="B712" s="30"/>
      <c r="E712" s="30"/>
      <c r="F712" s="30"/>
      <c r="G712" s="30"/>
      <c r="H712" s="30"/>
      <c r="I712" s="30"/>
      <c r="J712" s="30"/>
      <c r="K712" s="30"/>
    </row>
    <row r="713" customFormat="false" ht="15.75" hidden="false" customHeight="false" outlineLevel="0" collapsed="false">
      <c r="B713" s="30"/>
      <c r="E713" s="30"/>
      <c r="F713" s="30"/>
      <c r="G713" s="30"/>
      <c r="H713" s="30"/>
      <c r="I713" s="30"/>
      <c r="J713" s="30"/>
      <c r="K713" s="30"/>
    </row>
    <row r="714" customFormat="false" ht="15.75" hidden="false" customHeight="false" outlineLevel="0" collapsed="false">
      <c r="B714" s="30"/>
      <c r="E714" s="30"/>
      <c r="F714" s="30"/>
      <c r="G714" s="30"/>
      <c r="H714" s="30"/>
      <c r="I714" s="30"/>
      <c r="J714" s="30"/>
      <c r="K714" s="30"/>
    </row>
    <row r="715" customFormat="false" ht="15.75" hidden="false" customHeight="false" outlineLevel="0" collapsed="false">
      <c r="B715" s="30"/>
      <c r="E715" s="30"/>
      <c r="F715" s="30"/>
      <c r="G715" s="30"/>
      <c r="H715" s="30"/>
      <c r="I715" s="30"/>
      <c r="J715" s="30"/>
      <c r="K715" s="30"/>
    </row>
    <row r="716" customFormat="false" ht="15.75" hidden="false" customHeight="false" outlineLevel="0" collapsed="false">
      <c r="B716" s="30"/>
      <c r="E716" s="30"/>
      <c r="F716" s="30"/>
      <c r="G716" s="30"/>
      <c r="H716" s="30"/>
      <c r="I716" s="30"/>
      <c r="J716" s="30"/>
      <c r="K716" s="30"/>
    </row>
    <row r="717" customFormat="false" ht="15.75" hidden="false" customHeight="false" outlineLevel="0" collapsed="false">
      <c r="B717" s="30"/>
      <c r="E717" s="30"/>
      <c r="F717" s="30"/>
      <c r="G717" s="30"/>
      <c r="H717" s="30"/>
      <c r="I717" s="30"/>
      <c r="J717" s="30"/>
      <c r="K717" s="30"/>
    </row>
    <row r="718" customFormat="false" ht="15.75" hidden="false" customHeight="false" outlineLevel="0" collapsed="false">
      <c r="B718" s="30"/>
      <c r="E718" s="30"/>
      <c r="F718" s="30"/>
      <c r="G718" s="30"/>
      <c r="H718" s="30"/>
      <c r="I718" s="30"/>
      <c r="J718" s="30"/>
      <c r="K718" s="30"/>
    </row>
    <row r="719" customFormat="false" ht="15.75" hidden="false" customHeight="false" outlineLevel="0" collapsed="false">
      <c r="B719" s="30"/>
      <c r="E719" s="30"/>
      <c r="F719" s="30"/>
      <c r="G719" s="30"/>
      <c r="H719" s="30"/>
      <c r="I719" s="30"/>
      <c r="J719" s="30"/>
      <c r="K719" s="30"/>
    </row>
    <row r="720" customFormat="false" ht="15.75" hidden="false" customHeight="false" outlineLevel="0" collapsed="false">
      <c r="B720" s="30"/>
      <c r="E720" s="30"/>
      <c r="F720" s="30"/>
      <c r="G720" s="30"/>
      <c r="H720" s="30"/>
      <c r="I720" s="30"/>
      <c r="J720" s="30"/>
      <c r="K720" s="30"/>
    </row>
    <row r="721" customFormat="false" ht="15.75" hidden="false" customHeight="false" outlineLevel="0" collapsed="false">
      <c r="B721" s="30"/>
      <c r="E721" s="30"/>
      <c r="F721" s="30"/>
      <c r="G721" s="30"/>
      <c r="H721" s="30"/>
      <c r="I721" s="30"/>
      <c r="J721" s="30"/>
      <c r="K721" s="30"/>
    </row>
    <row r="722" customFormat="false" ht="15.75" hidden="false" customHeight="false" outlineLevel="0" collapsed="false">
      <c r="B722" s="30"/>
      <c r="E722" s="30"/>
      <c r="F722" s="30"/>
      <c r="G722" s="30"/>
      <c r="H722" s="30"/>
      <c r="I722" s="30"/>
      <c r="J722" s="30"/>
      <c r="K722" s="30"/>
    </row>
    <row r="723" customFormat="false" ht="15.75" hidden="false" customHeight="false" outlineLevel="0" collapsed="false">
      <c r="B723" s="30"/>
      <c r="E723" s="30"/>
      <c r="F723" s="30"/>
      <c r="G723" s="30"/>
      <c r="H723" s="30"/>
      <c r="I723" s="30"/>
      <c r="J723" s="30"/>
      <c r="K723" s="30"/>
    </row>
    <row r="724" customFormat="false" ht="15.75" hidden="false" customHeight="false" outlineLevel="0" collapsed="false">
      <c r="B724" s="30"/>
      <c r="E724" s="30"/>
      <c r="F724" s="30"/>
      <c r="G724" s="30"/>
      <c r="H724" s="30"/>
      <c r="I724" s="30"/>
      <c r="J724" s="30"/>
      <c r="K724" s="30"/>
    </row>
    <row r="725" customFormat="false" ht="15.75" hidden="false" customHeight="false" outlineLevel="0" collapsed="false">
      <c r="B725" s="30"/>
      <c r="E725" s="30"/>
      <c r="F725" s="30"/>
      <c r="G725" s="30"/>
      <c r="H725" s="30"/>
      <c r="I725" s="30"/>
      <c r="J725" s="30"/>
      <c r="K725" s="30"/>
    </row>
    <row r="726" customFormat="false" ht="15.75" hidden="false" customHeight="false" outlineLevel="0" collapsed="false">
      <c r="B726" s="30"/>
      <c r="E726" s="30"/>
      <c r="F726" s="30"/>
      <c r="G726" s="30"/>
      <c r="H726" s="30"/>
      <c r="I726" s="30"/>
      <c r="J726" s="30"/>
      <c r="K726" s="30"/>
    </row>
    <row r="727" customFormat="false" ht="15.75" hidden="false" customHeight="false" outlineLevel="0" collapsed="false">
      <c r="B727" s="30"/>
      <c r="E727" s="30"/>
      <c r="F727" s="30"/>
      <c r="G727" s="30"/>
      <c r="H727" s="30"/>
      <c r="I727" s="30"/>
      <c r="J727" s="30"/>
      <c r="K727" s="30"/>
    </row>
    <row r="728" customFormat="false" ht="15.75" hidden="false" customHeight="false" outlineLevel="0" collapsed="false">
      <c r="B728" s="30"/>
      <c r="E728" s="30"/>
      <c r="F728" s="30"/>
      <c r="G728" s="30"/>
      <c r="H728" s="30"/>
      <c r="I728" s="30"/>
      <c r="J728" s="30"/>
      <c r="K728" s="30"/>
    </row>
    <row r="729" customFormat="false" ht="15.75" hidden="false" customHeight="false" outlineLevel="0" collapsed="false">
      <c r="B729" s="30"/>
      <c r="E729" s="30"/>
      <c r="F729" s="30"/>
      <c r="G729" s="30"/>
      <c r="H729" s="30"/>
      <c r="I729" s="30"/>
      <c r="J729" s="30"/>
      <c r="K729" s="30"/>
    </row>
    <row r="730" customFormat="false" ht="15.75" hidden="false" customHeight="false" outlineLevel="0" collapsed="false">
      <c r="B730" s="30"/>
      <c r="E730" s="30"/>
      <c r="F730" s="30"/>
      <c r="G730" s="30"/>
      <c r="H730" s="30"/>
      <c r="I730" s="30"/>
      <c r="J730" s="30"/>
      <c r="K730" s="30"/>
    </row>
    <row r="731" customFormat="false" ht="15.75" hidden="false" customHeight="false" outlineLevel="0" collapsed="false">
      <c r="B731" s="30"/>
      <c r="E731" s="30"/>
      <c r="F731" s="30"/>
      <c r="G731" s="30"/>
      <c r="H731" s="30"/>
      <c r="I731" s="30"/>
      <c r="J731" s="30"/>
      <c r="K731" s="30"/>
    </row>
    <row r="732" customFormat="false" ht="15.75" hidden="false" customHeight="false" outlineLevel="0" collapsed="false">
      <c r="B732" s="30"/>
      <c r="E732" s="30"/>
      <c r="F732" s="30"/>
      <c r="G732" s="30"/>
      <c r="H732" s="30"/>
      <c r="I732" s="30"/>
      <c r="J732" s="30"/>
      <c r="K732" s="30"/>
    </row>
    <row r="733" customFormat="false" ht="15.75" hidden="false" customHeight="false" outlineLevel="0" collapsed="false">
      <c r="B733" s="30"/>
      <c r="E733" s="30"/>
      <c r="F733" s="30"/>
      <c r="G733" s="30"/>
      <c r="H733" s="30"/>
      <c r="I733" s="30"/>
      <c r="J733" s="30"/>
      <c r="K733" s="30"/>
    </row>
    <row r="734" customFormat="false" ht="15.75" hidden="false" customHeight="false" outlineLevel="0" collapsed="false">
      <c r="B734" s="30"/>
      <c r="E734" s="30"/>
      <c r="F734" s="30"/>
      <c r="G734" s="30"/>
      <c r="H734" s="30"/>
      <c r="I734" s="30"/>
      <c r="J734" s="30"/>
      <c r="K734" s="30"/>
    </row>
    <row r="735" customFormat="false" ht="15.75" hidden="false" customHeight="false" outlineLevel="0" collapsed="false">
      <c r="B735" s="30"/>
      <c r="E735" s="30"/>
      <c r="F735" s="30"/>
      <c r="G735" s="30"/>
      <c r="H735" s="30"/>
      <c r="I735" s="30"/>
      <c r="J735" s="30"/>
      <c r="K735" s="30"/>
    </row>
    <row r="736" customFormat="false" ht="15.75" hidden="false" customHeight="false" outlineLevel="0" collapsed="false">
      <c r="B736" s="30"/>
      <c r="E736" s="30"/>
      <c r="F736" s="30"/>
      <c r="G736" s="30"/>
      <c r="H736" s="30"/>
      <c r="I736" s="30"/>
      <c r="J736" s="30"/>
      <c r="K736" s="30"/>
    </row>
    <row r="737" customFormat="false" ht="15.75" hidden="false" customHeight="false" outlineLevel="0" collapsed="false">
      <c r="B737" s="30"/>
      <c r="E737" s="30"/>
      <c r="F737" s="30"/>
      <c r="G737" s="30"/>
      <c r="H737" s="30"/>
      <c r="I737" s="30"/>
      <c r="J737" s="30"/>
      <c r="K737" s="30"/>
    </row>
    <row r="738" customFormat="false" ht="15.75" hidden="false" customHeight="false" outlineLevel="0" collapsed="false">
      <c r="B738" s="30"/>
      <c r="E738" s="30"/>
      <c r="F738" s="30"/>
      <c r="G738" s="30"/>
      <c r="H738" s="30"/>
      <c r="I738" s="30"/>
      <c r="J738" s="30"/>
      <c r="K738" s="30"/>
    </row>
    <row r="739" customFormat="false" ht="15.75" hidden="false" customHeight="false" outlineLevel="0" collapsed="false">
      <c r="B739" s="30"/>
      <c r="E739" s="30"/>
      <c r="F739" s="30"/>
      <c r="G739" s="30"/>
      <c r="H739" s="30"/>
      <c r="I739" s="30"/>
      <c r="J739" s="30"/>
      <c r="K739" s="30"/>
    </row>
    <row r="740" customFormat="false" ht="15.75" hidden="false" customHeight="false" outlineLevel="0" collapsed="false">
      <c r="B740" s="30"/>
      <c r="E740" s="30"/>
      <c r="F740" s="30"/>
      <c r="G740" s="30"/>
      <c r="H740" s="30"/>
      <c r="I740" s="30"/>
      <c r="J740" s="30"/>
      <c r="K740" s="30"/>
    </row>
    <row r="741" customFormat="false" ht="15.75" hidden="false" customHeight="false" outlineLevel="0" collapsed="false">
      <c r="B741" s="30"/>
      <c r="E741" s="30"/>
      <c r="F741" s="30"/>
      <c r="G741" s="30"/>
      <c r="H741" s="30"/>
      <c r="I741" s="30"/>
      <c r="J741" s="30"/>
      <c r="K741" s="30"/>
    </row>
    <row r="742" customFormat="false" ht="15.75" hidden="false" customHeight="false" outlineLevel="0" collapsed="false">
      <c r="B742" s="30"/>
      <c r="E742" s="30"/>
      <c r="F742" s="30"/>
      <c r="G742" s="30"/>
      <c r="H742" s="30"/>
      <c r="I742" s="30"/>
      <c r="J742" s="30"/>
      <c r="K742" s="30"/>
    </row>
    <row r="743" customFormat="false" ht="15.75" hidden="false" customHeight="false" outlineLevel="0" collapsed="false">
      <c r="B743" s="30"/>
      <c r="E743" s="30"/>
      <c r="F743" s="30"/>
      <c r="G743" s="30"/>
      <c r="H743" s="30"/>
      <c r="I743" s="30"/>
      <c r="J743" s="30"/>
      <c r="K743" s="30"/>
    </row>
    <row r="744" customFormat="false" ht="15.75" hidden="false" customHeight="false" outlineLevel="0" collapsed="false">
      <c r="B744" s="30"/>
      <c r="E744" s="30"/>
      <c r="F744" s="30"/>
      <c r="G744" s="30"/>
      <c r="H744" s="30"/>
      <c r="I744" s="30"/>
      <c r="J744" s="30"/>
      <c r="K744" s="30"/>
    </row>
    <row r="745" customFormat="false" ht="15.75" hidden="false" customHeight="false" outlineLevel="0" collapsed="false">
      <c r="B745" s="30"/>
      <c r="E745" s="30"/>
      <c r="F745" s="30"/>
      <c r="G745" s="30"/>
      <c r="H745" s="30"/>
      <c r="I745" s="30"/>
      <c r="J745" s="30"/>
      <c r="K745" s="30"/>
    </row>
    <row r="746" customFormat="false" ht="15.75" hidden="false" customHeight="false" outlineLevel="0" collapsed="false">
      <c r="B746" s="30"/>
      <c r="E746" s="30"/>
      <c r="F746" s="30"/>
      <c r="G746" s="30"/>
      <c r="H746" s="30"/>
      <c r="I746" s="30"/>
      <c r="J746" s="30"/>
      <c r="K746" s="30"/>
    </row>
    <row r="747" customFormat="false" ht="15.75" hidden="false" customHeight="false" outlineLevel="0" collapsed="false">
      <c r="B747" s="30"/>
      <c r="E747" s="30"/>
      <c r="F747" s="30"/>
      <c r="G747" s="30"/>
      <c r="H747" s="30"/>
      <c r="I747" s="30"/>
      <c r="J747" s="30"/>
      <c r="K747" s="30"/>
    </row>
    <row r="748" customFormat="false" ht="15.75" hidden="false" customHeight="false" outlineLevel="0" collapsed="false">
      <c r="B748" s="30"/>
      <c r="E748" s="30"/>
      <c r="F748" s="30"/>
      <c r="G748" s="30"/>
      <c r="H748" s="30"/>
      <c r="I748" s="30"/>
      <c r="J748" s="30"/>
      <c r="K748" s="30"/>
    </row>
    <row r="749" customFormat="false" ht="15.75" hidden="false" customHeight="false" outlineLevel="0" collapsed="false">
      <c r="B749" s="30"/>
      <c r="E749" s="30"/>
      <c r="F749" s="30"/>
      <c r="G749" s="30"/>
      <c r="H749" s="30"/>
      <c r="I749" s="30"/>
      <c r="J749" s="30"/>
      <c r="K749" s="30"/>
    </row>
    <row r="750" customFormat="false" ht="15.75" hidden="false" customHeight="false" outlineLevel="0" collapsed="false">
      <c r="B750" s="30"/>
      <c r="E750" s="30"/>
      <c r="F750" s="30"/>
      <c r="G750" s="30"/>
      <c r="H750" s="30"/>
      <c r="I750" s="30"/>
      <c r="J750" s="30"/>
      <c r="K750" s="30"/>
    </row>
    <row r="751" customFormat="false" ht="15.75" hidden="false" customHeight="false" outlineLevel="0" collapsed="false">
      <c r="B751" s="30"/>
      <c r="E751" s="30"/>
      <c r="F751" s="30"/>
      <c r="G751" s="30"/>
      <c r="H751" s="30"/>
      <c r="I751" s="30"/>
      <c r="J751" s="30"/>
      <c r="K751" s="30"/>
    </row>
    <row r="752" customFormat="false" ht="15.75" hidden="false" customHeight="false" outlineLevel="0" collapsed="false">
      <c r="B752" s="30"/>
      <c r="E752" s="30"/>
      <c r="F752" s="30"/>
      <c r="G752" s="30"/>
      <c r="H752" s="30"/>
      <c r="I752" s="30"/>
      <c r="J752" s="30"/>
      <c r="K752" s="30"/>
    </row>
    <row r="753" customFormat="false" ht="15.75" hidden="false" customHeight="false" outlineLevel="0" collapsed="false">
      <c r="B753" s="30"/>
      <c r="E753" s="30"/>
      <c r="F753" s="30"/>
      <c r="G753" s="30"/>
      <c r="H753" s="30"/>
      <c r="I753" s="30"/>
      <c r="J753" s="30"/>
      <c r="K753" s="30"/>
    </row>
    <row r="754" customFormat="false" ht="15.75" hidden="false" customHeight="false" outlineLevel="0" collapsed="false">
      <c r="B754" s="30"/>
      <c r="E754" s="30"/>
      <c r="F754" s="30"/>
      <c r="G754" s="30"/>
      <c r="H754" s="30"/>
      <c r="I754" s="30"/>
      <c r="J754" s="30"/>
      <c r="K754" s="30"/>
    </row>
    <row r="755" customFormat="false" ht="15.75" hidden="false" customHeight="false" outlineLevel="0" collapsed="false">
      <c r="B755" s="30"/>
      <c r="E755" s="30"/>
      <c r="F755" s="30"/>
      <c r="G755" s="30"/>
      <c r="H755" s="30"/>
      <c r="I755" s="30"/>
      <c r="J755" s="30"/>
      <c r="K755" s="30"/>
    </row>
    <row r="756" customFormat="false" ht="15.75" hidden="false" customHeight="false" outlineLevel="0" collapsed="false">
      <c r="B756" s="30"/>
      <c r="E756" s="30"/>
      <c r="F756" s="30"/>
      <c r="G756" s="30"/>
      <c r="H756" s="30"/>
      <c r="I756" s="30"/>
      <c r="J756" s="30"/>
      <c r="K756" s="30"/>
    </row>
    <row r="757" customFormat="false" ht="15.75" hidden="false" customHeight="false" outlineLevel="0" collapsed="false">
      <c r="B757" s="30"/>
      <c r="E757" s="30"/>
      <c r="F757" s="30"/>
      <c r="G757" s="30"/>
      <c r="H757" s="30"/>
      <c r="I757" s="30"/>
      <c r="J757" s="30"/>
      <c r="K757" s="30"/>
    </row>
    <row r="758" customFormat="false" ht="15.75" hidden="false" customHeight="false" outlineLevel="0" collapsed="false">
      <c r="B758" s="30"/>
      <c r="E758" s="30"/>
      <c r="F758" s="30"/>
      <c r="G758" s="30"/>
      <c r="H758" s="30"/>
      <c r="I758" s="30"/>
      <c r="J758" s="30"/>
      <c r="K758" s="30"/>
    </row>
    <row r="759" customFormat="false" ht="15.75" hidden="false" customHeight="false" outlineLevel="0" collapsed="false">
      <c r="B759" s="30"/>
      <c r="E759" s="30"/>
      <c r="F759" s="30"/>
      <c r="G759" s="30"/>
      <c r="H759" s="30"/>
      <c r="I759" s="30"/>
      <c r="J759" s="30"/>
      <c r="K759" s="30"/>
    </row>
    <row r="760" customFormat="false" ht="15.75" hidden="false" customHeight="false" outlineLevel="0" collapsed="false">
      <c r="B760" s="30"/>
      <c r="E760" s="30"/>
      <c r="F760" s="30"/>
      <c r="G760" s="30"/>
      <c r="H760" s="30"/>
      <c r="I760" s="30"/>
      <c r="J760" s="30"/>
      <c r="K760" s="30"/>
    </row>
    <row r="761" customFormat="false" ht="15.75" hidden="false" customHeight="false" outlineLevel="0" collapsed="false">
      <c r="B761" s="30"/>
      <c r="E761" s="30"/>
      <c r="F761" s="30"/>
      <c r="G761" s="30"/>
      <c r="H761" s="30"/>
      <c r="I761" s="30"/>
      <c r="J761" s="30"/>
      <c r="K761" s="30"/>
    </row>
    <row r="762" customFormat="false" ht="15.75" hidden="false" customHeight="false" outlineLevel="0" collapsed="false">
      <c r="B762" s="30"/>
      <c r="E762" s="30"/>
      <c r="F762" s="30"/>
      <c r="G762" s="30"/>
      <c r="H762" s="30"/>
      <c r="I762" s="30"/>
      <c r="J762" s="30"/>
      <c r="K762" s="30"/>
    </row>
    <row r="763" customFormat="false" ht="15.75" hidden="false" customHeight="false" outlineLevel="0" collapsed="false">
      <c r="B763" s="30"/>
      <c r="E763" s="30"/>
      <c r="F763" s="30"/>
      <c r="G763" s="30"/>
      <c r="H763" s="30"/>
      <c r="I763" s="30"/>
      <c r="J763" s="30"/>
      <c r="K763" s="30"/>
    </row>
    <row r="764" customFormat="false" ht="15.75" hidden="false" customHeight="false" outlineLevel="0" collapsed="false">
      <c r="B764" s="30"/>
      <c r="E764" s="30"/>
      <c r="F764" s="30"/>
      <c r="G764" s="30"/>
      <c r="H764" s="30"/>
      <c r="I764" s="30"/>
      <c r="J764" s="30"/>
      <c r="K764" s="30"/>
    </row>
    <row r="765" customFormat="false" ht="15.75" hidden="false" customHeight="false" outlineLevel="0" collapsed="false">
      <c r="B765" s="30"/>
      <c r="E765" s="30"/>
      <c r="F765" s="30"/>
      <c r="G765" s="30"/>
      <c r="H765" s="30"/>
      <c r="I765" s="30"/>
      <c r="J765" s="30"/>
      <c r="K765" s="30"/>
    </row>
    <row r="766" customFormat="false" ht="15.75" hidden="false" customHeight="false" outlineLevel="0" collapsed="false">
      <c r="B766" s="30"/>
      <c r="E766" s="30"/>
      <c r="F766" s="30"/>
      <c r="G766" s="30"/>
      <c r="H766" s="30"/>
      <c r="I766" s="30"/>
      <c r="J766" s="30"/>
      <c r="K766" s="30"/>
    </row>
    <row r="767" customFormat="false" ht="15.75" hidden="false" customHeight="false" outlineLevel="0" collapsed="false">
      <c r="B767" s="30"/>
      <c r="E767" s="30"/>
      <c r="F767" s="30"/>
      <c r="G767" s="30"/>
      <c r="H767" s="30"/>
      <c r="I767" s="30"/>
      <c r="J767" s="30"/>
      <c r="K767" s="30"/>
    </row>
    <row r="768" customFormat="false" ht="15.75" hidden="false" customHeight="false" outlineLevel="0" collapsed="false">
      <c r="B768" s="30"/>
      <c r="E768" s="30"/>
      <c r="F768" s="30"/>
      <c r="G768" s="30"/>
      <c r="H768" s="30"/>
      <c r="I768" s="30"/>
      <c r="J768" s="30"/>
      <c r="K768" s="30"/>
    </row>
    <row r="769" customFormat="false" ht="15.75" hidden="false" customHeight="false" outlineLevel="0" collapsed="false">
      <c r="B769" s="30"/>
      <c r="E769" s="30"/>
      <c r="F769" s="30"/>
      <c r="G769" s="30"/>
      <c r="H769" s="30"/>
      <c r="I769" s="30"/>
      <c r="J769" s="30"/>
      <c r="K769" s="30"/>
    </row>
    <row r="770" customFormat="false" ht="15.75" hidden="false" customHeight="false" outlineLevel="0" collapsed="false">
      <c r="B770" s="30"/>
      <c r="E770" s="30"/>
      <c r="F770" s="30"/>
      <c r="G770" s="30"/>
      <c r="H770" s="30"/>
      <c r="I770" s="30"/>
      <c r="J770" s="30"/>
      <c r="K770" s="30"/>
    </row>
    <row r="771" customFormat="false" ht="15.75" hidden="false" customHeight="false" outlineLevel="0" collapsed="false">
      <c r="B771" s="30"/>
      <c r="E771" s="30"/>
      <c r="F771" s="30"/>
      <c r="G771" s="30"/>
      <c r="H771" s="30"/>
      <c r="I771" s="30"/>
      <c r="J771" s="30"/>
      <c r="K771" s="30"/>
    </row>
    <row r="772" customFormat="false" ht="15.75" hidden="false" customHeight="false" outlineLevel="0" collapsed="false">
      <c r="B772" s="30"/>
      <c r="E772" s="30"/>
      <c r="F772" s="30"/>
      <c r="G772" s="30"/>
      <c r="H772" s="30"/>
      <c r="I772" s="30"/>
      <c r="J772" s="30"/>
      <c r="K772" s="30"/>
    </row>
    <row r="773" customFormat="false" ht="15.75" hidden="false" customHeight="false" outlineLevel="0" collapsed="false">
      <c r="B773" s="30"/>
      <c r="E773" s="30"/>
      <c r="F773" s="30"/>
      <c r="G773" s="30"/>
      <c r="H773" s="30"/>
      <c r="I773" s="30"/>
      <c r="J773" s="30"/>
      <c r="K773" s="30"/>
    </row>
    <row r="774" customFormat="false" ht="15.75" hidden="false" customHeight="false" outlineLevel="0" collapsed="false">
      <c r="B774" s="30"/>
      <c r="E774" s="30"/>
      <c r="F774" s="30"/>
      <c r="G774" s="30"/>
      <c r="H774" s="30"/>
      <c r="I774" s="30"/>
      <c r="J774" s="30"/>
      <c r="K774" s="30"/>
    </row>
    <row r="775" customFormat="false" ht="15.75" hidden="false" customHeight="false" outlineLevel="0" collapsed="false">
      <c r="B775" s="30"/>
      <c r="E775" s="30"/>
      <c r="F775" s="30"/>
      <c r="G775" s="30"/>
      <c r="H775" s="30"/>
      <c r="I775" s="30"/>
      <c r="J775" s="30"/>
      <c r="K775" s="30"/>
    </row>
    <row r="776" customFormat="false" ht="15.75" hidden="false" customHeight="false" outlineLevel="0" collapsed="false">
      <c r="B776" s="30"/>
      <c r="E776" s="30"/>
      <c r="F776" s="30"/>
      <c r="G776" s="30"/>
      <c r="H776" s="30"/>
      <c r="I776" s="30"/>
      <c r="J776" s="30"/>
      <c r="K776" s="30"/>
    </row>
    <row r="777" customFormat="false" ht="15.75" hidden="false" customHeight="false" outlineLevel="0" collapsed="false">
      <c r="B777" s="30"/>
      <c r="E777" s="30"/>
      <c r="F777" s="30"/>
      <c r="G777" s="30"/>
      <c r="H777" s="30"/>
      <c r="I777" s="30"/>
      <c r="J777" s="30"/>
      <c r="K777" s="30"/>
    </row>
    <row r="778" customFormat="false" ht="15.75" hidden="false" customHeight="false" outlineLevel="0" collapsed="false">
      <c r="B778" s="30"/>
      <c r="E778" s="30"/>
      <c r="F778" s="30"/>
      <c r="G778" s="30"/>
      <c r="H778" s="30"/>
      <c r="I778" s="30"/>
      <c r="J778" s="30"/>
      <c r="K778" s="30"/>
    </row>
    <row r="779" customFormat="false" ht="15.75" hidden="false" customHeight="false" outlineLevel="0" collapsed="false">
      <c r="B779" s="30"/>
      <c r="E779" s="30"/>
      <c r="F779" s="30"/>
      <c r="G779" s="30"/>
      <c r="H779" s="30"/>
      <c r="I779" s="30"/>
      <c r="J779" s="30"/>
      <c r="K779" s="30"/>
    </row>
    <row r="780" customFormat="false" ht="15.75" hidden="false" customHeight="false" outlineLevel="0" collapsed="false">
      <c r="B780" s="30"/>
      <c r="E780" s="30"/>
      <c r="F780" s="30"/>
      <c r="G780" s="30"/>
      <c r="H780" s="30"/>
      <c r="I780" s="30"/>
      <c r="J780" s="30"/>
      <c r="K780" s="30"/>
    </row>
    <row r="781" customFormat="false" ht="15.75" hidden="false" customHeight="false" outlineLevel="0" collapsed="false">
      <c r="B781" s="30"/>
      <c r="E781" s="30"/>
      <c r="F781" s="30"/>
      <c r="G781" s="30"/>
      <c r="H781" s="30"/>
      <c r="I781" s="30"/>
      <c r="J781" s="30"/>
      <c r="K781" s="30"/>
    </row>
    <row r="782" customFormat="false" ht="15.75" hidden="false" customHeight="false" outlineLevel="0" collapsed="false">
      <c r="B782" s="30"/>
      <c r="E782" s="30"/>
      <c r="F782" s="30"/>
      <c r="G782" s="30"/>
      <c r="H782" s="30"/>
      <c r="I782" s="30"/>
      <c r="J782" s="30"/>
      <c r="K782" s="30"/>
    </row>
    <row r="783" customFormat="false" ht="15.75" hidden="false" customHeight="false" outlineLevel="0" collapsed="false">
      <c r="B783" s="30"/>
      <c r="E783" s="30"/>
      <c r="F783" s="30"/>
      <c r="G783" s="30"/>
      <c r="H783" s="30"/>
      <c r="I783" s="30"/>
      <c r="J783" s="30"/>
      <c r="K783" s="30"/>
    </row>
    <row r="784" customFormat="false" ht="15.75" hidden="false" customHeight="false" outlineLevel="0" collapsed="false">
      <c r="B784" s="30"/>
      <c r="E784" s="30"/>
      <c r="F784" s="30"/>
      <c r="G784" s="30"/>
      <c r="H784" s="30"/>
      <c r="I784" s="30"/>
      <c r="J784" s="30"/>
      <c r="K784" s="30"/>
    </row>
    <row r="785" customFormat="false" ht="15.75" hidden="false" customHeight="false" outlineLevel="0" collapsed="false">
      <c r="B785" s="30"/>
      <c r="E785" s="30"/>
      <c r="F785" s="30"/>
      <c r="G785" s="30"/>
      <c r="H785" s="30"/>
      <c r="I785" s="30"/>
      <c r="J785" s="30"/>
      <c r="K785" s="30"/>
    </row>
    <row r="786" customFormat="false" ht="15.75" hidden="false" customHeight="false" outlineLevel="0" collapsed="false">
      <c r="B786" s="30"/>
      <c r="E786" s="30"/>
      <c r="F786" s="30"/>
      <c r="G786" s="30"/>
      <c r="H786" s="30"/>
      <c r="I786" s="30"/>
      <c r="J786" s="30"/>
      <c r="K786" s="30"/>
    </row>
    <row r="787" customFormat="false" ht="15.75" hidden="false" customHeight="false" outlineLevel="0" collapsed="false">
      <c r="B787" s="30"/>
      <c r="E787" s="30"/>
      <c r="F787" s="30"/>
      <c r="G787" s="30"/>
      <c r="H787" s="30"/>
      <c r="I787" s="30"/>
      <c r="J787" s="30"/>
      <c r="K787" s="30"/>
    </row>
    <row r="788" customFormat="false" ht="15.75" hidden="false" customHeight="false" outlineLevel="0" collapsed="false">
      <c r="B788" s="30"/>
      <c r="E788" s="30"/>
      <c r="F788" s="30"/>
      <c r="G788" s="30"/>
      <c r="H788" s="30"/>
      <c r="I788" s="30"/>
      <c r="J788" s="30"/>
      <c r="K788" s="30"/>
    </row>
    <row r="789" customFormat="false" ht="15.75" hidden="false" customHeight="false" outlineLevel="0" collapsed="false">
      <c r="B789" s="30"/>
      <c r="E789" s="30"/>
      <c r="F789" s="30"/>
      <c r="G789" s="30"/>
      <c r="H789" s="30"/>
      <c r="I789" s="30"/>
      <c r="J789" s="30"/>
      <c r="K789" s="30"/>
    </row>
    <row r="790" customFormat="false" ht="15.75" hidden="false" customHeight="false" outlineLevel="0" collapsed="false">
      <c r="B790" s="30"/>
      <c r="E790" s="30"/>
      <c r="F790" s="30"/>
      <c r="G790" s="30"/>
      <c r="H790" s="30"/>
      <c r="I790" s="30"/>
      <c r="J790" s="30"/>
      <c r="K790" s="30"/>
    </row>
    <row r="791" customFormat="false" ht="15.75" hidden="false" customHeight="false" outlineLevel="0" collapsed="false">
      <c r="B791" s="30"/>
      <c r="E791" s="30"/>
      <c r="F791" s="30"/>
      <c r="G791" s="30"/>
      <c r="H791" s="30"/>
      <c r="I791" s="30"/>
      <c r="J791" s="30"/>
      <c r="K791" s="30"/>
    </row>
    <row r="792" customFormat="false" ht="15.75" hidden="false" customHeight="false" outlineLevel="0" collapsed="false">
      <c r="B792" s="30"/>
      <c r="E792" s="30"/>
      <c r="F792" s="30"/>
      <c r="G792" s="30"/>
      <c r="H792" s="30"/>
      <c r="I792" s="30"/>
      <c r="J792" s="30"/>
      <c r="K792" s="30"/>
    </row>
    <row r="793" customFormat="false" ht="15.75" hidden="false" customHeight="false" outlineLevel="0" collapsed="false">
      <c r="B793" s="30"/>
      <c r="E793" s="30"/>
      <c r="F793" s="30"/>
      <c r="G793" s="30"/>
      <c r="H793" s="30"/>
      <c r="I793" s="30"/>
      <c r="J793" s="30"/>
      <c r="K793" s="30"/>
    </row>
    <row r="794" customFormat="false" ht="15.75" hidden="false" customHeight="false" outlineLevel="0" collapsed="false">
      <c r="B794" s="30"/>
      <c r="E794" s="30"/>
      <c r="F794" s="30"/>
      <c r="G794" s="30"/>
      <c r="H794" s="30"/>
      <c r="I794" s="30"/>
      <c r="J794" s="30"/>
      <c r="K794" s="30"/>
    </row>
    <row r="795" customFormat="false" ht="15.75" hidden="false" customHeight="false" outlineLevel="0" collapsed="false">
      <c r="B795" s="30"/>
      <c r="E795" s="30"/>
      <c r="F795" s="30"/>
      <c r="G795" s="30"/>
      <c r="H795" s="30"/>
      <c r="I795" s="30"/>
      <c r="J795" s="30"/>
      <c r="K795" s="30"/>
    </row>
    <row r="796" customFormat="false" ht="15.75" hidden="false" customHeight="false" outlineLevel="0" collapsed="false">
      <c r="B796" s="30"/>
      <c r="E796" s="30"/>
      <c r="F796" s="30"/>
      <c r="G796" s="30"/>
      <c r="H796" s="30"/>
      <c r="I796" s="30"/>
      <c r="J796" s="30"/>
      <c r="K796" s="30"/>
    </row>
    <row r="797" customFormat="false" ht="15.75" hidden="false" customHeight="false" outlineLevel="0" collapsed="false">
      <c r="B797" s="30"/>
      <c r="E797" s="30"/>
      <c r="F797" s="30"/>
      <c r="G797" s="30"/>
      <c r="H797" s="30"/>
      <c r="I797" s="30"/>
      <c r="J797" s="30"/>
      <c r="K797" s="30"/>
    </row>
    <row r="798" customFormat="false" ht="15.75" hidden="false" customHeight="false" outlineLevel="0" collapsed="false">
      <c r="B798" s="30"/>
      <c r="E798" s="30"/>
      <c r="F798" s="30"/>
      <c r="G798" s="30"/>
      <c r="H798" s="30"/>
      <c r="I798" s="30"/>
      <c r="J798" s="30"/>
      <c r="K798" s="30"/>
    </row>
    <row r="799" customFormat="false" ht="15.75" hidden="false" customHeight="false" outlineLevel="0" collapsed="false">
      <c r="B799" s="30"/>
      <c r="E799" s="30"/>
      <c r="F799" s="30"/>
      <c r="G799" s="30"/>
      <c r="H799" s="30"/>
      <c r="I799" s="30"/>
      <c r="J799" s="30"/>
      <c r="K799" s="30"/>
    </row>
    <row r="800" customFormat="false" ht="15.75" hidden="false" customHeight="false" outlineLevel="0" collapsed="false">
      <c r="B800" s="30"/>
      <c r="E800" s="30"/>
      <c r="F800" s="30"/>
      <c r="G800" s="30"/>
      <c r="H800" s="30"/>
      <c r="I800" s="30"/>
      <c r="J800" s="30"/>
      <c r="K800" s="30"/>
    </row>
    <row r="801" customFormat="false" ht="15.75" hidden="false" customHeight="false" outlineLevel="0" collapsed="false">
      <c r="B801" s="30"/>
      <c r="E801" s="30"/>
      <c r="F801" s="30"/>
      <c r="G801" s="30"/>
      <c r="H801" s="30"/>
      <c r="I801" s="30"/>
      <c r="J801" s="30"/>
      <c r="K801" s="30"/>
    </row>
    <row r="802" customFormat="false" ht="15.75" hidden="false" customHeight="false" outlineLevel="0" collapsed="false">
      <c r="B802" s="30"/>
      <c r="E802" s="30"/>
      <c r="F802" s="30"/>
      <c r="G802" s="30"/>
      <c r="H802" s="30"/>
      <c r="I802" s="30"/>
      <c r="J802" s="30"/>
      <c r="K802" s="30"/>
    </row>
    <row r="803" customFormat="false" ht="15.75" hidden="false" customHeight="false" outlineLevel="0" collapsed="false">
      <c r="B803" s="30"/>
      <c r="E803" s="30"/>
      <c r="F803" s="30"/>
      <c r="G803" s="30"/>
      <c r="H803" s="30"/>
      <c r="I803" s="30"/>
      <c r="J803" s="30"/>
      <c r="K803" s="30"/>
    </row>
    <row r="804" customFormat="false" ht="15.75" hidden="false" customHeight="false" outlineLevel="0" collapsed="false">
      <c r="B804" s="30"/>
      <c r="E804" s="30"/>
      <c r="F804" s="30"/>
      <c r="G804" s="30"/>
      <c r="H804" s="30"/>
      <c r="I804" s="30"/>
      <c r="J804" s="30"/>
      <c r="K804" s="30"/>
    </row>
    <row r="805" customFormat="false" ht="15.75" hidden="false" customHeight="false" outlineLevel="0" collapsed="false">
      <c r="B805" s="30"/>
      <c r="E805" s="30"/>
      <c r="F805" s="30"/>
      <c r="G805" s="30"/>
      <c r="H805" s="30"/>
      <c r="I805" s="30"/>
      <c r="J805" s="30"/>
      <c r="K805" s="30"/>
    </row>
    <row r="806" customFormat="false" ht="15.75" hidden="false" customHeight="false" outlineLevel="0" collapsed="false">
      <c r="B806" s="30"/>
      <c r="E806" s="30"/>
      <c r="F806" s="30"/>
      <c r="G806" s="30"/>
      <c r="H806" s="30"/>
      <c r="I806" s="30"/>
      <c r="J806" s="30"/>
      <c r="K806" s="30"/>
    </row>
    <row r="807" customFormat="false" ht="15.75" hidden="false" customHeight="false" outlineLevel="0" collapsed="false">
      <c r="B807" s="30"/>
      <c r="E807" s="30"/>
      <c r="F807" s="30"/>
      <c r="G807" s="30"/>
      <c r="H807" s="30"/>
      <c r="I807" s="30"/>
      <c r="J807" s="30"/>
      <c r="K807" s="30"/>
    </row>
    <row r="808" customFormat="false" ht="15.75" hidden="false" customHeight="false" outlineLevel="0" collapsed="false">
      <c r="B808" s="30"/>
      <c r="E808" s="30"/>
      <c r="F808" s="30"/>
      <c r="G808" s="30"/>
      <c r="H808" s="30"/>
      <c r="I808" s="30"/>
      <c r="J808" s="30"/>
      <c r="K808" s="30"/>
    </row>
    <row r="809" customFormat="false" ht="15.75" hidden="false" customHeight="false" outlineLevel="0" collapsed="false">
      <c r="B809" s="30"/>
      <c r="E809" s="30"/>
      <c r="F809" s="30"/>
      <c r="G809" s="30"/>
      <c r="H809" s="30"/>
      <c r="I809" s="30"/>
      <c r="J809" s="30"/>
      <c r="K809" s="30"/>
    </row>
    <row r="810" customFormat="false" ht="15.75" hidden="false" customHeight="false" outlineLevel="0" collapsed="false">
      <c r="B810" s="30"/>
      <c r="E810" s="30"/>
      <c r="F810" s="30"/>
      <c r="G810" s="30"/>
      <c r="H810" s="30"/>
      <c r="I810" s="30"/>
      <c r="J810" s="30"/>
      <c r="K810" s="30"/>
    </row>
    <row r="811" customFormat="false" ht="15.75" hidden="false" customHeight="false" outlineLevel="0" collapsed="false">
      <c r="B811" s="30"/>
      <c r="E811" s="30"/>
      <c r="F811" s="30"/>
      <c r="G811" s="30"/>
      <c r="H811" s="30"/>
      <c r="I811" s="30"/>
      <c r="J811" s="30"/>
      <c r="K811" s="30"/>
    </row>
    <row r="812" customFormat="false" ht="15.75" hidden="false" customHeight="false" outlineLevel="0" collapsed="false">
      <c r="B812" s="30"/>
      <c r="E812" s="30"/>
      <c r="F812" s="30"/>
      <c r="G812" s="30"/>
      <c r="H812" s="30"/>
      <c r="I812" s="30"/>
      <c r="J812" s="30"/>
      <c r="K812" s="30"/>
    </row>
    <row r="813" customFormat="false" ht="15.75" hidden="false" customHeight="false" outlineLevel="0" collapsed="false">
      <c r="B813" s="30"/>
      <c r="E813" s="30"/>
      <c r="F813" s="30"/>
      <c r="G813" s="30"/>
      <c r="H813" s="30"/>
      <c r="I813" s="30"/>
      <c r="J813" s="30"/>
      <c r="K813" s="30"/>
    </row>
    <row r="814" customFormat="false" ht="15.75" hidden="false" customHeight="false" outlineLevel="0" collapsed="false">
      <c r="B814" s="30"/>
      <c r="E814" s="30"/>
      <c r="F814" s="30"/>
      <c r="G814" s="30"/>
      <c r="H814" s="30"/>
      <c r="I814" s="30"/>
      <c r="J814" s="30"/>
      <c r="K814" s="30"/>
    </row>
    <row r="815" customFormat="false" ht="15.75" hidden="false" customHeight="false" outlineLevel="0" collapsed="false">
      <c r="B815" s="30"/>
      <c r="E815" s="30"/>
      <c r="F815" s="30"/>
      <c r="G815" s="30"/>
      <c r="H815" s="30"/>
      <c r="I815" s="30"/>
      <c r="J815" s="30"/>
      <c r="K815" s="30"/>
    </row>
    <row r="816" customFormat="false" ht="15.75" hidden="false" customHeight="false" outlineLevel="0" collapsed="false">
      <c r="B816" s="30"/>
      <c r="E816" s="30"/>
      <c r="F816" s="30"/>
      <c r="G816" s="30"/>
      <c r="H816" s="30"/>
      <c r="I816" s="30"/>
      <c r="J816" s="30"/>
      <c r="K816" s="30"/>
    </row>
    <row r="817" customFormat="false" ht="15.75" hidden="false" customHeight="false" outlineLevel="0" collapsed="false">
      <c r="B817" s="30"/>
      <c r="E817" s="30"/>
      <c r="F817" s="30"/>
      <c r="G817" s="30"/>
      <c r="H817" s="30"/>
      <c r="I817" s="30"/>
      <c r="J817" s="30"/>
      <c r="K817" s="30"/>
    </row>
    <row r="818" customFormat="false" ht="15.75" hidden="false" customHeight="false" outlineLevel="0" collapsed="false">
      <c r="B818" s="30"/>
      <c r="E818" s="30"/>
      <c r="F818" s="30"/>
      <c r="G818" s="30"/>
      <c r="H818" s="30"/>
      <c r="I818" s="30"/>
      <c r="J818" s="30"/>
      <c r="K818" s="30"/>
    </row>
    <row r="819" customFormat="false" ht="15.75" hidden="false" customHeight="false" outlineLevel="0" collapsed="false">
      <c r="B819" s="30"/>
      <c r="E819" s="30"/>
      <c r="F819" s="30"/>
      <c r="G819" s="30"/>
      <c r="H819" s="30"/>
      <c r="I819" s="30"/>
      <c r="J819" s="30"/>
      <c r="K819" s="30"/>
    </row>
    <row r="820" customFormat="false" ht="15.75" hidden="false" customHeight="false" outlineLevel="0" collapsed="false">
      <c r="B820" s="30"/>
      <c r="E820" s="30"/>
      <c r="F820" s="30"/>
      <c r="G820" s="30"/>
      <c r="H820" s="30"/>
      <c r="I820" s="30"/>
      <c r="J820" s="30"/>
      <c r="K820" s="30"/>
    </row>
    <row r="821" customFormat="false" ht="15.75" hidden="false" customHeight="false" outlineLevel="0" collapsed="false">
      <c r="B821" s="30"/>
      <c r="E821" s="30"/>
      <c r="F821" s="30"/>
      <c r="G821" s="30"/>
      <c r="H821" s="30"/>
      <c r="I821" s="30"/>
      <c r="J821" s="30"/>
      <c r="K821" s="30"/>
    </row>
    <row r="822" customFormat="false" ht="15.75" hidden="false" customHeight="false" outlineLevel="0" collapsed="false">
      <c r="B822" s="30"/>
      <c r="E822" s="30"/>
      <c r="F822" s="30"/>
      <c r="G822" s="30"/>
      <c r="H822" s="30"/>
      <c r="I822" s="30"/>
      <c r="J822" s="30"/>
      <c r="K822" s="30"/>
    </row>
    <row r="823" customFormat="false" ht="15.75" hidden="false" customHeight="false" outlineLevel="0" collapsed="false">
      <c r="B823" s="30"/>
      <c r="E823" s="30"/>
      <c r="F823" s="30"/>
      <c r="G823" s="30"/>
      <c r="H823" s="30"/>
      <c r="I823" s="30"/>
      <c r="J823" s="30"/>
      <c r="K823" s="30"/>
    </row>
    <row r="824" customFormat="false" ht="15.75" hidden="false" customHeight="false" outlineLevel="0" collapsed="false">
      <c r="B824" s="30"/>
      <c r="E824" s="30"/>
      <c r="F824" s="30"/>
      <c r="G824" s="30"/>
      <c r="H824" s="30"/>
      <c r="I824" s="30"/>
      <c r="J824" s="30"/>
      <c r="K824" s="30"/>
    </row>
    <row r="825" customFormat="false" ht="15.75" hidden="false" customHeight="false" outlineLevel="0" collapsed="false">
      <c r="B825" s="30"/>
      <c r="E825" s="30"/>
      <c r="F825" s="30"/>
      <c r="G825" s="30"/>
      <c r="H825" s="30"/>
      <c r="I825" s="30"/>
      <c r="J825" s="30"/>
      <c r="K825" s="30"/>
    </row>
    <row r="826" customFormat="false" ht="15.75" hidden="false" customHeight="false" outlineLevel="0" collapsed="false">
      <c r="B826" s="30"/>
      <c r="E826" s="30"/>
      <c r="F826" s="30"/>
      <c r="G826" s="30"/>
      <c r="H826" s="30"/>
      <c r="I826" s="30"/>
      <c r="J826" s="30"/>
      <c r="K826" s="30"/>
    </row>
    <row r="827" customFormat="false" ht="15.75" hidden="false" customHeight="false" outlineLevel="0" collapsed="false">
      <c r="B827" s="30"/>
      <c r="E827" s="30"/>
      <c r="F827" s="30"/>
      <c r="G827" s="30"/>
      <c r="H827" s="30"/>
      <c r="I827" s="30"/>
      <c r="J827" s="30"/>
      <c r="K827" s="30"/>
    </row>
    <row r="828" customFormat="false" ht="15.75" hidden="false" customHeight="false" outlineLevel="0" collapsed="false">
      <c r="B828" s="30"/>
      <c r="E828" s="30"/>
      <c r="F828" s="30"/>
      <c r="G828" s="30"/>
      <c r="H828" s="30"/>
      <c r="I828" s="30"/>
      <c r="J828" s="30"/>
      <c r="K828" s="30"/>
    </row>
    <row r="829" customFormat="false" ht="15.75" hidden="false" customHeight="false" outlineLevel="0" collapsed="false">
      <c r="B829" s="30"/>
      <c r="E829" s="30"/>
      <c r="F829" s="30"/>
      <c r="G829" s="30"/>
      <c r="H829" s="30"/>
      <c r="I829" s="30"/>
      <c r="J829" s="30"/>
      <c r="K829" s="30"/>
    </row>
    <row r="830" customFormat="false" ht="15.75" hidden="false" customHeight="false" outlineLevel="0" collapsed="false">
      <c r="B830" s="30"/>
      <c r="E830" s="30"/>
      <c r="F830" s="30"/>
      <c r="G830" s="30"/>
      <c r="H830" s="30"/>
      <c r="I830" s="30"/>
      <c r="J830" s="30"/>
      <c r="K830" s="30"/>
    </row>
    <row r="831" customFormat="false" ht="15.75" hidden="false" customHeight="false" outlineLevel="0" collapsed="false">
      <c r="B831" s="30"/>
      <c r="E831" s="30"/>
      <c r="F831" s="30"/>
      <c r="G831" s="30"/>
      <c r="H831" s="30"/>
      <c r="I831" s="30"/>
      <c r="J831" s="30"/>
      <c r="K831" s="30"/>
    </row>
    <row r="832" customFormat="false" ht="15.75" hidden="false" customHeight="false" outlineLevel="0" collapsed="false">
      <c r="B832" s="30"/>
      <c r="E832" s="30"/>
      <c r="F832" s="30"/>
      <c r="G832" s="30"/>
      <c r="H832" s="30"/>
      <c r="I832" s="30"/>
      <c r="J832" s="30"/>
      <c r="K832" s="30"/>
    </row>
    <row r="833" customFormat="false" ht="15.75" hidden="false" customHeight="false" outlineLevel="0" collapsed="false">
      <c r="B833" s="30"/>
      <c r="E833" s="30"/>
      <c r="F833" s="30"/>
      <c r="G833" s="30"/>
      <c r="H833" s="30"/>
      <c r="I833" s="30"/>
      <c r="J833" s="30"/>
      <c r="K833" s="30"/>
    </row>
    <row r="834" customFormat="false" ht="15.75" hidden="false" customHeight="false" outlineLevel="0" collapsed="false">
      <c r="B834" s="30"/>
      <c r="E834" s="30"/>
      <c r="F834" s="30"/>
      <c r="G834" s="30"/>
      <c r="H834" s="30"/>
      <c r="I834" s="30"/>
      <c r="J834" s="30"/>
      <c r="K834" s="30"/>
    </row>
    <row r="835" customFormat="false" ht="15.75" hidden="false" customHeight="false" outlineLevel="0" collapsed="false">
      <c r="B835" s="30"/>
      <c r="E835" s="30"/>
      <c r="F835" s="30"/>
      <c r="G835" s="30"/>
      <c r="H835" s="30"/>
      <c r="I835" s="30"/>
      <c r="J835" s="30"/>
      <c r="K835" s="30"/>
    </row>
    <row r="836" customFormat="false" ht="15.75" hidden="false" customHeight="false" outlineLevel="0" collapsed="false">
      <c r="B836" s="30"/>
      <c r="E836" s="30"/>
      <c r="F836" s="30"/>
      <c r="G836" s="30"/>
      <c r="H836" s="30"/>
      <c r="I836" s="30"/>
      <c r="J836" s="30"/>
      <c r="K836" s="30"/>
    </row>
    <row r="837" customFormat="false" ht="15.75" hidden="false" customHeight="false" outlineLevel="0" collapsed="false">
      <c r="B837" s="30"/>
      <c r="E837" s="30"/>
      <c r="F837" s="30"/>
      <c r="G837" s="30"/>
      <c r="H837" s="30"/>
      <c r="I837" s="30"/>
      <c r="J837" s="30"/>
      <c r="K837" s="30"/>
    </row>
    <row r="838" customFormat="false" ht="15.75" hidden="false" customHeight="false" outlineLevel="0" collapsed="false">
      <c r="B838" s="30"/>
      <c r="E838" s="30"/>
      <c r="F838" s="30"/>
      <c r="G838" s="30"/>
      <c r="H838" s="30"/>
      <c r="I838" s="30"/>
      <c r="J838" s="30"/>
      <c r="K838" s="30"/>
    </row>
    <row r="839" customFormat="false" ht="15.75" hidden="false" customHeight="false" outlineLevel="0" collapsed="false">
      <c r="B839" s="30"/>
      <c r="E839" s="30"/>
      <c r="F839" s="30"/>
      <c r="G839" s="30"/>
      <c r="H839" s="30"/>
      <c r="I839" s="30"/>
      <c r="J839" s="30"/>
      <c r="K839" s="30"/>
    </row>
    <row r="840" customFormat="false" ht="15.75" hidden="false" customHeight="false" outlineLevel="0" collapsed="false">
      <c r="B840" s="30"/>
      <c r="E840" s="30"/>
      <c r="F840" s="30"/>
      <c r="G840" s="30"/>
      <c r="H840" s="30"/>
      <c r="I840" s="30"/>
      <c r="J840" s="30"/>
      <c r="K840" s="30"/>
    </row>
    <row r="841" customFormat="false" ht="15.75" hidden="false" customHeight="false" outlineLevel="0" collapsed="false">
      <c r="B841" s="30"/>
      <c r="E841" s="30"/>
      <c r="F841" s="30"/>
      <c r="G841" s="30"/>
      <c r="H841" s="30"/>
      <c r="I841" s="30"/>
      <c r="J841" s="30"/>
      <c r="K841" s="30"/>
    </row>
    <row r="842" customFormat="false" ht="15.75" hidden="false" customHeight="false" outlineLevel="0" collapsed="false">
      <c r="B842" s="30"/>
      <c r="E842" s="30"/>
      <c r="F842" s="30"/>
      <c r="G842" s="30"/>
      <c r="H842" s="30"/>
      <c r="I842" s="30"/>
      <c r="J842" s="30"/>
      <c r="K842" s="30"/>
    </row>
    <row r="843" customFormat="false" ht="15.75" hidden="false" customHeight="false" outlineLevel="0" collapsed="false">
      <c r="B843" s="30"/>
      <c r="E843" s="30"/>
      <c r="F843" s="30"/>
      <c r="G843" s="30"/>
      <c r="H843" s="30"/>
      <c r="I843" s="30"/>
      <c r="J843" s="30"/>
      <c r="K843" s="30"/>
    </row>
    <row r="844" customFormat="false" ht="15.75" hidden="false" customHeight="false" outlineLevel="0" collapsed="false">
      <c r="B844" s="30"/>
      <c r="E844" s="30"/>
      <c r="F844" s="30"/>
      <c r="G844" s="30"/>
      <c r="H844" s="30"/>
      <c r="I844" s="30"/>
      <c r="J844" s="30"/>
      <c r="K844" s="30"/>
    </row>
    <row r="845" customFormat="false" ht="15.75" hidden="false" customHeight="false" outlineLevel="0" collapsed="false">
      <c r="B845" s="30"/>
      <c r="E845" s="30"/>
      <c r="F845" s="30"/>
      <c r="G845" s="30"/>
      <c r="H845" s="30"/>
      <c r="I845" s="30"/>
      <c r="J845" s="30"/>
      <c r="K845" s="30"/>
    </row>
    <row r="846" customFormat="false" ht="15.75" hidden="false" customHeight="false" outlineLevel="0" collapsed="false">
      <c r="B846" s="30"/>
      <c r="E846" s="30"/>
      <c r="F846" s="30"/>
      <c r="G846" s="30"/>
      <c r="H846" s="30"/>
      <c r="I846" s="30"/>
      <c r="J846" s="30"/>
      <c r="K846" s="30"/>
    </row>
    <row r="847" customFormat="false" ht="15.75" hidden="false" customHeight="false" outlineLevel="0" collapsed="false">
      <c r="B847" s="30"/>
      <c r="E847" s="30"/>
      <c r="F847" s="30"/>
      <c r="G847" s="30"/>
      <c r="H847" s="30"/>
      <c r="I847" s="30"/>
      <c r="J847" s="30"/>
      <c r="K847" s="30"/>
    </row>
    <row r="848" customFormat="false" ht="15.75" hidden="false" customHeight="false" outlineLevel="0" collapsed="false">
      <c r="B848" s="30"/>
      <c r="E848" s="30"/>
      <c r="F848" s="30"/>
      <c r="G848" s="30"/>
      <c r="H848" s="30"/>
      <c r="I848" s="30"/>
      <c r="J848" s="30"/>
      <c r="K848" s="30"/>
    </row>
    <row r="849" customFormat="false" ht="15.75" hidden="false" customHeight="false" outlineLevel="0" collapsed="false">
      <c r="B849" s="30"/>
      <c r="E849" s="30"/>
      <c r="F849" s="30"/>
      <c r="G849" s="30"/>
      <c r="H849" s="30"/>
      <c r="I849" s="30"/>
      <c r="J849" s="30"/>
      <c r="K849" s="30"/>
    </row>
    <row r="850" customFormat="false" ht="15.75" hidden="false" customHeight="false" outlineLevel="0" collapsed="false">
      <c r="B850" s="30"/>
      <c r="E850" s="30"/>
      <c r="F850" s="30"/>
      <c r="G850" s="30"/>
      <c r="H850" s="30"/>
      <c r="I850" s="30"/>
      <c r="J850" s="30"/>
      <c r="K850" s="30"/>
    </row>
    <row r="851" customFormat="false" ht="15.75" hidden="false" customHeight="false" outlineLevel="0" collapsed="false">
      <c r="B851" s="30"/>
      <c r="E851" s="30"/>
      <c r="F851" s="30"/>
      <c r="G851" s="30"/>
      <c r="H851" s="30"/>
      <c r="I851" s="30"/>
      <c r="J851" s="30"/>
      <c r="K851" s="30"/>
    </row>
    <row r="852" customFormat="false" ht="15.75" hidden="false" customHeight="false" outlineLevel="0" collapsed="false">
      <c r="B852" s="30"/>
      <c r="E852" s="30"/>
      <c r="F852" s="30"/>
      <c r="G852" s="30"/>
      <c r="H852" s="30"/>
      <c r="I852" s="30"/>
      <c r="J852" s="30"/>
      <c r="K852" s="30"/>
    </row>
    <row r="853" customFormat="false" ht="15.75" hidden="false" customHeight="false" outlineLevel="0" collapsed="false">
      <c r="B853" s="30"/>
      <c r="E853" s="30"/>
      <c r="F853" s="30"/>
      <c r="G853" s="30"/>
      <c r="H853" s="30"/>
      <c r="I853" s="30"/>
      <c r="J853" s="30"/>
      <c r="K853" s="30"/>
    </row>
    <row r="854" customFormat="false" ht="15.75" hidden="false" customHeight="false" outlineLevel="0" collapsed="false">
      <c r="B854" s="30"/>
      <c r="E854" s="30"/>
      <c r="F854" s="30"/>
      <c r="G854" s="30"/>
      <c r="H854" s="30"/>
      <c r="I854" s="30"/>
      <c r="J854" s="30"/>
      <c r="K854" s="30"/>
    </row>
    <row r="855" customFormat="false" ht="15.75" hidden="false" customHeight="false" outlineLevel="0" collapsed="false">
      <c r="B855" s="30"/>
      <c r="E855" s="30"/>
      <c r="F855" s="30"/>
      <c r="G855" s="30"/>
      <c r="H855" s="30"/>
      <c r="I855" s="30"/>
      <c r="J855" s="30"/>
      <c r="K855" s="30"/>
    </row>
    <row r="856" customFormat="false" ht="15.75" hidden="false" customHeight="false" outlineLevel="0" collapsed="false">
      <c r="B856" s="30"/>
      <c r="E856" s="30"/>
      <c r="F856" s="30"/>
      <c r="G856" s="30"/>
      <c r="H856" s="30"/>
      <c r="I856" s="30"/>
      <c r="J856" s="30"/>
      <c r="K856" s="30"/>
    </row>
    <row r="857" customFormat="false" ht="15.75" hidden="false" customHeight="false" outlineLevel="0" collapsed="false">
      <c r="B857" s="30"/>
      <c r="E857" s="30"/>
      <c r="F857" s="30"/>
      <c r="G857" s="30"/>
      <c r="H857" s="30"/>
      <c r="I857" s="30"/>
      <c r="J857" s="30"/>
      <c r="K857" s="30"/>
    </row>
    <row r="858" customFormat="false" ht="15.75" hidden="false" customHeight="false" outlineLevel="0" collapsed="false">
      <c r="B858" s="30"/>
      <c r="E858" s="30"/>
      <c r="F858" s="30"/>
      <c r="G858" s="30"/>
      <c r="H858" s="30"/>
      <c r="I858" s="30"/>
      <c r="J858" s="30"/>
      <c r="K858" s="30"/>
    </row>
    <row r="859" customFormat="false" ht="15.75" hidden="false" customHeight="false" outlineLevel="0" collapsed="false">
      <c r="B859" s="30"/>
      <c r="E859" s="30"/>
      <c r="F859" s="30"/>
      <c r="G859" s="30"/>
      <c r="H859" s="30"/>
      <c r="I859" s="30"/>
      <c r="J859" s="30"/>
      <c r="K859" s="30"/>
    </row>
    <row r="860" customFormat="false" ht="15.75" hidden="false" customHeight="false" outlineLevel="0" collapsed="false">
      <c r="B860" s="30"/>
      <c r="E860" s="30"/>
      <c r="F860" s="30"/>
      <c r="G860" s="30"/>
      <c r="H860" s="30"/>
      <c r="I860" s="30"/>
      <c r="J860" s="30"/>
      <c r="K860" s="30"/>
    </row>
    <row r="861" customFormat="false" ht="15.75" hidden="false" customHeight="false" outlineLevel="0" collapsed="false">
      <c r="B861" s="30"/>
      <c r="E861" s="30"/>
      <c r="F861" s="30"/>
      <c r="G861" s="30"/>
      <c r="H861" s="30"/>
      <c r="I861" s="30"/>
      <c r="J861" s="30"/>
      <c r="K861" s="30"/>
    </row>
    <row r="862" customFormat="false" ht="15.75" hidden="false" customHeight="false" outlineLevel="0" collapsed="false">
      <c r="B862" s="30"/>
      <c r="E862" s="30"/>
      <c r="F862" s="30"/>
      <c r="G862" s="30"/>
      <c r="H862" s="30"/>
      <c r="I862" s="30"/>
      <c r="J862" s="30"/>
      <c r="K862" s="30"/>
    </row>
    <row r="863" customFormat="false" ht="15.75" hidden="false" customHeight="false" outlineLevel="0" collapsed="false">
      <c r="B863" s="30"/>
      <c r="E863" s="30"/>
      <c r="F863" s="30"/>
      <c r="G863" s="30"/>
      <c r="H863" s="30"/>
      <c r="I863" s="30"/>
      <c r="J863" s="30"/>
      <c r="K863" s="30"/>
    </row>
    <row r="864" customFormat="false" ht="15.75" hidden="false" customHeight="false" outlineLevel="0" collapsed="false">
      <c r="B864" s="30"/>
      <c r="E864" s="30"/>
      <c r="F864" s="30"/>
      <c r="G864" s="30"/>
      <c r="H864" s="30"/>
      <c r="I864" s="30"/>
      <c r="J864" s="30"/>
      <c r="K864" s="30"/>
    </row>
    <row r="865" customFormat="false" ht="15.75" hidden="false" customHeight="false" outlineLevel="0" collapsed="false">
      <c r="B865" s="30"/>
      <c r="E865" s="30"/>
      <c r="F865" s="30"/>
      <c r="G865" s="30"/>
      <c r="H865" s="30"/>
      <c r="I865" s="30"/>
      <c r="J865" s="30"/>
      <c r="K865" s="30"/>
    </row>
    <row r="866" customFormat="false" ht="15.75" hidden="false" customHeight="false" outlineLevel="0" collapsed="false">
      <c r="B866" s="30"/>
      <c r="E866" s="30"/>
      <c r="F866" s="30"/>
      <c r="G866" s="30"/>
      <c r="H866" s="30"/>
      <c r="I866" s="30"/>
      <c r="J866" s="30"/>
      <c r="K866" s="30"/>
    </row>
    <row r="867" customFormat="false" ht="15.75" hidden="false" customHeight="false" outlineLevel="0" collapsed="false">
      <c r="B867" s="30"/>
      <c r="E867" s="30"/>
      <c r="F867" s="30"/>
      <c r="G867" s="30"/>
      <c r="H867" s="30"/>
      <c r="I867" s="30"/>
      <c r="J867" s="30"/>
      <c r="K867" s="30"/>
    </row>
    <row r="868" customFormat="false" ht="15.75" hidden="false" customHeight="false" outlineLevel="0" collapsed="false">
      <c r="B868" s="30"/>
      <c r="E868" s="30"/>
      <c r="F868" s="30"/>
      <c r="G868" s="30"/>
      <c r="H868" s="30"/>
      <c r="I868" s="30"/>
      <c r="J868" s="30"/>
      <c r="K868" s="30"/>
    </row>
    <row r="869" customFormat="false" ht="15.75" hidden="false" customHeight="false" outlineLevel="0" collapsed="false">
      <c r="B869" s="30"/>
      <c r="E869" s="30"/>
      <c r="F869" s="30"/>
      <c r="G869" s="30"/>
      <c r="H869" s="30"/>
      <c r="I869" s="30"/>
      <c r="J869" s="30"/>
      <c r="K869" s="30"/>
    </row>
    <row r="870" customFormat="false" ht="15.75" hidden="false" customHeight="false" outlineLevel="0" collapsed="false">
      <c r="B870" s="30"/>
      <c r="E870" s="30"/>
      <c r="F870" s="30"/>
      <c r="G870" s="30"/>
      <c r="H870" s="30"/>
      <c r="I870" s="30"/>
      <c r="J870" s="30"/>
      <c r="K870" s="30"/>
    </row>
    <row r="871" customFormat="false" ht="15.75" hidden="false" customHeight="false" outlineLevel="0" collapsed="false">
      <c r="B871" s="30"/>
      <c r="E871" s="30"/>
      <c r="F871" s="30"/>
      <c r="G871" s="30"/>
      <c r="H871" s="30"/>
      <c r="I871" s="30"/>
      <c r="J871" s="30"/>
      <c r="K871" s="30"/>
    </row>
    <row r="872" customFormat="false" ht="15.75" hidden="false" customHeight="false" outlineLevel="0" collapsed="false">
      <c r="B872" s="30"/>
      <c r="E872" s="30"/>
      <c r="F872" s="30"/>
      <c r="G872" s="30"/>
      <c r="H872" s="30"/>
      <c r="I872" s="30"/>
      <c r="J872" s="30"/>
      <c r="K872" s="30"/>
    </row>
    <row r="873" customFormat="false" ht="15.75" hidden="false" customHeight="false" outlineLevel="0" collapsed="false">
      <c r="B873" s="30"/>
      <c r="E873" s="30"/>
      <c r="F873" s="30"/>
      <c r="G873" s="30"/>
      <c r="H873" s="30"/>
      <c r="I873" s="30"/>
      <c r="J873" s="30"/>
      <c r="K873" s="30"/>
    </row>
    <row r="874" customFormat="false" ht="15.75" hidden="false" customHeight="false" outlineLevel="0" collapsed="false">
      <c r="B874" s="30"/>
      <c r="E874" s="30"/>
      <c r="F874" s="30"/>
      <c r="G874" s="30"/>
      <c r="H874" s="30"/>
      <c r="I874" s="30"/>
      <c r="J874" s="30"/>
      <c r="K874" s="30"/>
    </row>
    <row r="875" customFormat="false" ht="15.75" hidden="false" customHeight="false" outlineLevel="0" collapsed="false">
      <c r="B875" s="30"/>
      <c r="E875" s="30"/>
      <c r="F875" s="30"/>
      <c r="G875" s="30"/>
      <c r="H875" s="30"/>
      <c r="I875" s="30"/>
      <c r="J875" s="30"/>
      <c r="K875" s="30"/>
    </row>
    <row r="876" customFormat="false" ht="15.75" hidden="false" customHeight="false" outlineLevel="0" collapsed="false">
      <c r="B876" s="30"/>
      <c r="E876" s="30"/>
      <c r="F876" s="30"/>
      <c r="G876" s="30"/>
      <c r="H876" s="30"/>
      <c r="I876" s="30"/>
      <c r="J876" s="30"/>
      <c r="K876" s="30"/>
    </row>
    <row r="877" customFormat="false" ht="15.75" hidden="false" customHeight="false" outlineLevel="0" collapsed="false">
      <c r="B877" s="30"/>
      <c r="E877" s="30"/>
      <c r="F877" s="30"/>
      <c r="G877" s="30"/>
      <c r="H877" s="30"/>
      <c r="I877" s="30"/>
      <c r="J877" s="30"/>
      <c r="K877" s="30"/>
    </row>
    <row r="878" customFormat="false" ht="15.75" hidden="false" customHeight="false" outlineLevel="0" collapsed="false">
      <c r="B878" s="30"/>
      <c r="E878" s="30"/>
      <c r="F878" s="30"/>
      <c r="G878" s="30"/>
      <c r="H878" s="30"/>
      <c r="I878" s="30"/>
      <c r="J878" s="30"/>
      <c r="K878" s="30"/>
    </row>
    <row r="879" customFormat="false" ht="15.75" hidden="false" customHeight="false" outlineLevel="0" collapsed="false">
      <c r="B879" s="30"/>
      <c r="E879" s="30"/>
      <c r="F879" s="30"/>
      <c r="G879" s="30"/>
      <c r="H879" s="30"/>
      <c r="I879" s="30"/>
      <c r="J879" s="30"/>
      <c r="K879" s="30"/>
    </row>
    <row r="880" customFormat="false" ht="15.75" hidden="false" customHeight="false" outlineLevel="0" collapsed="false">
      <c r="B880" s="30"/>
      <c r="E880" s="30"/>
      <c r="F880" s="30"/>
      <c r="G880" s="30"/>
      <c r="H880" s="30"/>
      <c r="I880" s="30"/>
      <c r="J880" s="30"/>
      <c r="K880" s="30"/>
    </row>
    <row r="881" customFormat="false" ht="15.75" hidden="false" customHeight="false" outlineLevel="0" collapsed="false">
      <c r="B881" s="30"/>
      <c r="E881" s="30"/>
      <c r="F881" s="30"/>
      <c r="G881" s="30"/>
      <c r="H881" s="30"/>
      <c r="I881" s="30"/>
      <c r="J881" s="30"/>
      <c r="K881" s="30"/>
    </row>
    <row r="882" customFormat="false" ht="15.75" hidden="false" customHeight="false" outlineLevel="0" collapsed="false">
      <c r="B882" s="30"/>
      <c r="E882" s="30"/>
      <c r="F882" s="30"/>
      <c r="G882" s="30"/>
      <c r="H882" s="30"/>
      <c r="I882" s="30"/>
      <c r="J882" s="30"/>
      <c r="K882" s="30"/>
    </row>
    <row r="883" customFormat="false" ht="15.75" hidden="false" customHeight="false" outlineLevel="0" collapsed="false">
      <c r="B883" s="30"/>
      <c r="E883" s="30"/>
      <c r="F883" s="30"/>
      <c r="G883" s="30"/>
      <c r="H883" s="30"/>
      <c r="I883" s="30"/>
      <c r="J883" s="30"/>
      <c r="K883" s="30"/>
    </row>
    <row r="884" customFormat="false" ht="15.75" hidden="false" customHeight="false" outlineLevel="0" collapsed="false">
      <c r="B884" s="30"/>
      <c r="E884" s="30"/>
      <c r="F884" s="30"/>
      <c r="G884" s="30"/>
      <c r="H884" s="30"/>
      <c r="I884" s="30"/>
      <c r="J884" s="30"/>
      <c r="K884" s="30"/>
    </row>
    <row r="885" customFormat="false" ht="15.75" hidden="false" customHeight="false" outlineLevel="0" collapsed="false">
      <c r="B885" s="30"/>
      <c r="E885" s="30"/>
      <c r="F885" s="30"/>
      <c r="G885" s="30"/>
      <c r="H885" s="30"/>
      <c r="I885" s="30"/>
      <c r="J885" s="30"/>
      <c r="K885" s="30"/>
    </row>
    <row r="886" customFormat="false" ht="15.75" hidden="false" customHeight="false" outlineLevel="0" collapsed="false">
      <c r="B886" s="30"/>
      <c r="E886" s="30"/>
      <c r="F886" s="30"/>
      <c r="G886" s="30"/>
      <c r="H886" s="30"/>
      <c r="I886" s="30"/>
      <c r="J886" s="30"/>
      <c r="K886" s="30"/>
    </row>
    <row r="887" customFormat="false" ht="15.75" hidden="false" customHeight="false" outlineLevel="0" collapsed="false">
      <c r="B887" s="30"/>
      <c r="E887" s="30"/>
      <c r="F887" s="30"/>
      <c r="G887" s="30"/>
      <c r="H887" s="30"/>
      <c r="I887" s="30"/>
      <c r="J887" s="30"/>
      <c r="K887" s="30"/>
    </row>
    <row r="888" customFormat="false" ht="15.75" hidden="false" customHeight="false" outlineLevel="0" collapsed="false">
      <c r="B888" s="30"/>
      <c r="E888" s="30"/>
      <c r="F888" s="30"/>
      <c r="G888" s="30"/>
      <c r="H888" s="30"/>
      <c r="I888" s="30"/>
      <c r="J888" s="30"/>
      <c r="K888" s="30"/>
    </row>
    <row r="889" customFormat="false" ht="15.75" hidden="false" customHeight="false" outlineLevel="0" collapsed="false">
      <c r="B889" s="30"/>
      <c r="E889" s="30"/>
      <c r="F889" s="30"/>
      <c r="G889" s="30"/>
      <c r="H889" s="30"/>
      <c r="I889" s="30"/>
      <c r="J889" s="30"/>
      <c r="K889" s="30"/>
    </row>
    <row r="890" customFormat="false" ht="15.75" hidden="false" customHeight="false" outlineLevel="0" collapsed="false">
      <c r="B890" s="30"/>
      <c r="E890" s="30"/>
      <c r="F890" s="30"/>
      <c r="G890" s="30"/>
      <c r="H890" s="30"/>
      <c r="I890" s="30"/>
      <c r="J890" s="30"/>
      <c r="K890" s="30"/>
    </row>
    <row r="891" customFormat="false" ht="15.75" hidden="false" customHeight="false" outlineLevel="0" collapsed="false">
      <c r="B891" s="30"/>
      <c r="E891" s="30"/>
      <c r="F891" s="30"/>
      <c r="G891" s="30"/>
      <c r="H891" s="30"/>
      <c r="I891" s="30"/>
      <c r="J891" s="30"/>
      <c r="K891" s="30"/>
    </row>
    <row r="892" customFormat="false" ht="15.75" hidden="false" customHeight="false" outlineLevel="0" collapsed="false">
      <c r="B892" s="30"/>
      <c r="E892" s="30"/>
      <c r="F892" s="30"/>
      <c r="G892" s="30"/>
      <c r="H892" s="30"/>
      <c r="I892" s="30"/>
      <c r="J892" s="30"/>
      <c r="K892" s="30"/>
    </row>
    <row r="893" customFormat="false" ht="15.75" hidden="false" customHeight="false" outlineLevel="0" collapsed="false">
      <c r="B893" s="30"/>
      <c r="E893" s="30"/>
      <c r="F893" s="30"/>
      <c r="G893" s="30"/>
      <c r="H893" s="30"/>
      <c r="I893" s="30"/>
      <c r="J893" s="30"/>
      <c r="K893" s="30"/>
    </row>
    <row r="894" customFormat="false" ht="15.75" hidden="false" customHeight="false" outlineLevel="0" collapsed="false">
      <c r="B894" s="30"/>
      <c r="E894" s="30"/>
      <c r="F894" s="30"/>
      <c r="G894" s="30"/>
      <c r="H894" s="30"/>
      <c r="I894" s="30"/>
      <c r="J894" s="30"/>
      <c r="K894" s="30"/>
    </row>
    <row r="895" customFormat="false" ht="15.75" hidden="false" customHeight="false" outlineLevel="0" collapsed="false">
      <c r="B895" s="30"/>
      <c r="E895" s="30"/>
      <c r="F895" s="30"/>
      <c r="G895" s="30"/>
      <c r="H895" s="30"/>
      <c r="I895" s="30"/>
      <c r="J895" s="30"/>
      <c r="K895" s="30"/>
    </row>
    <row r="896" customFormat="false" ht="15.75" hidden="false" customHeight="false" outlineLevel="0" collapsed="false">
      <c r="B896" s="30"/>
      <c r="E896" s="30"/>
      <c r="F896" s="30"/>
      <c r="G896" s="30"/>
      <c r="H896" s="30"/>
      <c r="I896" s="30"/>
      <c r="J896" s="30"/>
      <c r="K896" s="30"/>
    </row>
    <row r="897" customFormat="false" ht="15.75" hidden="false" customHeight="false" outlineLevel="0" collapsed="false">
      <c r="B897" s="30"/>
      <c r="E897" s="30"/>
      <c r="F897" s="30"/>
      <c r="G897" s="30"/>
      <c r="H897" s="30"/>
      <c r="I897" s="30"/>
      <c r="J897" s="30"/>
      <c r="K897" s="30"/>
    </row>
    <row r="898" customFormat="false" ht="15.75" hidden="false" customHeight="false" outlineLevel="0" collapsed="false">
      <c r="B898" s="30"/>
      <c r="E898" s="30"/>
      <c r="F898" s="30"/>
      <c r="G898" s="30"/>
      <c r="H898" s="30"/>
      <c r="I898" s="30"/>
      <c r="J898" s="30"/>
      <c r="K898" s="30"/>
    </row>
    <row r="899" customFormat="false" ht="15.75" hidden="false" customHeight="false" outlineLevel="0" collapsed="false">
      <c r="B899" s="30"/>
      <c r="E899" s="30"/>
      <c r="F899" s="30"/>
      <c r="G899" s="30"/>
      <c r="H899" s="30"/>
      <c r="I899" s="30"/>
      <c r="J899" s="30"/>
      <c r="K899" s="30"/>
    </row>
    <row r="900" customFormat="false" ht="15.75" hidden="false" customHeight="false" outlineLevel="0" collapsed="false">
      <c r="B900" s="30"/>
      <c r="E900" s="30"/>
      <c r="F900" s="30"/>
      <c r="G900" s="30"/>
      <c r="H900" s="30"/>
      <c r="I900" s="30"/>
      <c r="J900" s="30"/>
      <c r="K900" s="30"/>
    </row>
    <row r="901" customFormat="false" ht="15.75" hidden="false" customHeight="false" outlineLevel="0" collapsed="false">
      <c r="B901" s="30"/>
      <c r="E901" s="30"/>
      <c r="F901" s="30"/>
      <c r="G901" s="30"/>
      <c r="H901" s="30"/>
      <c r="I901" s="30"/>
      <c r="J901" s="30"/>
      <c r="K901" s="30"/>
    </row>
    <row r="902" customFormat="false" ht="15.75" hidden="false" customHeight="false" outlineLevel="0" collapsed="false">
      <c r="B902" s="30"/>
      <c r="E902" s="30"/>
      <c r="F902" s="30"/>
      <c r="G902" s="30"/>
      <c r="H902" s="30"/>
      <c r="I902" s="30"/>
      <c r="J902" s="30"/>
      <c r="K902" s="30"/>
    </row>
    <row r="903" customFormat="false" ht="15.75" hidden="false" customHeight="false" outlineLevel="0" collapsed="false">
      <c r="B903" s="30"/>
      <c r="E903" s="30"/>
      <c r="F903" s="30"/>
      <c r="G903" s="30"/>
      <c r="H903" s="30"/>
      <c r="I903" s="30"/>
      <c r="J903" s="30"/>
      <c r="K903" s="30"/>
    </row>
    <row r="904" customFormat="false" ht="15.75" hidden="false" customHeight="false" outlineLevel="0" collapsed="false">
      <c r="B904" s="30"/>
      <c r="E904" s="30"/>
      <c r="F904" s="30"/>
      <c r="G904" s="30"/>
      <c r="H904" s="30"/>
      <c r="I904" s="30"/>
      <c r="J904" s="30"/>
      <c r="K904" s="30"/>
    </row>
    <row r="905" customFormat="false" ht="15.75" hidden="false" customHeight="false" outlineLevel="0" collapsed="false">
      <c r="B905" s="30"/>
      <c r="E905" s="30"/>
      <c r="F905" s="30"/>
      <c r="G905" s="30"/>
      <c r="H905" s="30"/>
      <c r="I905" s="30"/>
      <c r="J905" s="30"/>
      <c r="K905" s="30"/>
    </row>
    <row r="906" customFormat="false" ht="15.75" hidden="false" customHeight="false" outlineLevel="0" collapsed="false">
      <c r="B906" s="30"/>
      <c r="E906" s="30"/>
      <c r="F906" s="30"/>
      <c r="G906" s="30"/>
      <c r="H906" s="30"/>
      <c r="I906" s="30"/>
      <c r="J906" s="30"/>
      <c r="K906" s="30"/>
    </row>
    <row r="907" customFormat="false" ht="15.75" hidden="false" customHeight="false" outlineLevel="0" collapsed="false">
      <c r="B907" s="30"/>
      <c r="E907" s="30"/>
      <c r="F907" s="30"/>
      <c r="G907" s="30"/>
      <c r="H907" s="30"/>
      <c r="I907" s="30"/>
      <c r="J907" s="30"/>
      <c r="K907" s="30"/>
    </row>
    <row r="908" customFormat="false" ht="15.75" hidden="false" customHeight="false" outlineLevel="0" collapsed="false">
      <c r="B908" s="30"/>
      <c r="E908" s="30"/>
      <c r="F908" s="30"/>
      <c r="G908" s="30"/>
      <c r="H908" s="30"/>
      <c r="I908" s="30"/>
      <c r="J908" s="30"/>
      <c r="K908" s="30"/>
    </row>
    <row r="909" customFormat="false" ht="15.75" hidden="false" customHeight="false" outlineLevel="0" collapsed="false">
      <c r="B909" s="30"/>
      <c r="E909" s="30"/>
      <c r="F909" s="30"/>
      <c r="G909" s="30"/>
      <c r="H909" s="30"/>
      <c r="I909" s="30"/>
      <c r="J909" s="30"/>
      <c r="K909" s="30"/>
    </row>
    <row r="910" customFormat="false" ht="15.75" hidden="false" customHeight="false" outlineLevel="0" collapsed="false">
      <c r="B910" s="30"/>
      <c r="E910" s="30"/>
      <c r="F910" s="30"/>
      <c r="G910" s="30"/>
      <c r="H910" s="30"/>
      <c r="I910" s="30"/>
      <c r="J910" s="30"/>
      <c r="K910" s="30"/>
    </row>
    <row r="911" customFormat="false" ht="15.75" hidden="false" customHeight="false" outlineLevel="0" collapsed="false">
      <c r="B911" s="30"/>
      <c r="E911" s="30"/>
      <c r="F911" s="30"/>
      <c r="G911" s="30"/>
      <c r="H911" s="30"/>
      <c r="I911" s="30"/>
      <c r="J911" s="30"/>
      <c r="K911" s="30"/>
    </row>
    <row r="912" customFormat="false" ht="15.75" hidden="false" customHeight="false" outlineLevel="0" collapsed="false">
      <c r="B912" s="30"/>
      <c r="E912" s="30"/>
      <c r="F912" s="30"/>
      <c r="G912" s="30"/>
      <c r="H912" s="30"/>
      <c r="I912" s="30"/>
      <c r="J912" s="30"/>
      <c r="K912" s="30"/>
    </row>
    <row r="913" customFormat="false" ht="15.75" hidden="false" customHeight="false" outlineLevel="0" collapsed="false">
      <c r="B913" s="30"/>
      <c r="E913" s="30"/>
      <c r="F913" s="30"/>
      <c r="G913" s="30"/>
      <c r="H913" s="30"/>
      <c r="I913" s="30"/>
      <c r="J913" s="30"/>
      <c r="K913" s="30"/>
    </row>
    <row r="914" customFormat="false" ht="15.75" hidden="false" customHeight="false" outlineLevel="0" collapsed="false">
      <c r="B914" s="30"/>
      <c r="E914" s="30"/>
      <c r="F914" s="30"/>
      <c r="G914" s="30"/>
      <c r="H914" s="30"/>
      <c r="I914" s="30"/>
      <c r="J914" s="30"/>
      <c r="K914" s="30"/>
    </row>
    <row r="915" customFormat="false" ht="15.75" hidden="false" customHeight="false" outlineLevel="0" collapsed="false">
      <c r="B915" s="30"/>
      <c r="E915" s="30"/>
      <c r="F915" s="30"/>
      <c r="G915" s="30"/>
      <c r="H915" s="30"/>
      <c r="I915" s="30"/>
      <c r="J915" s="30"/>
      <c r="K915" s="30"/>
    </row>
    <row r="916" customFormat="false" ht="15.75" hidden="false" customHeight="false" outlineLevel="0" collapsed="false">
      <c r="B916" s="30"/>
      <c r="E916" s="30"/>
      <c r="F916" s="30"/>
      <c r="G916" s="30"/>
      <c r="H916" s="30"/>
      <c r="I916" s="30"/>
      <c r="J916" s="30"/>
      <c r="K916" s="30"/>
    </row>
    <row r="917" customFormat="false" ht="15.75" hidden="false" customHeight="false" outlineLevel="0" collapsed="false">
      <c r="B917" s="30"/>
      <c r="E917" s="30"/>
      <c r="F917" s="30"/>
      <c r="G917" s="30"/>
      <c r="H917" s="30"/>
      <c r="I917" s="30"/>
      <c r="J917" s="30"/>
      <c r="K917" s="30"/>
    </row>
    <row r="918" customFormat="false" ht="15.75" hidden="false" customHeight="false" outlineLevel="0" collapsed="false">
      <c r="B918" s="30"/>
      <c r="E918" s="30"/>
      <c r="F918" s="30"/>
      <c r="G918" s="30"/>
      <c r="H918" s="30"/>
      <c r="I918" s="30"/>
      <c r="J918" s="30"/>
      <c r="K918" s="30"/>
    </row>
    <row r="919" customFormat="false" ht="15.75" hidden="false" customHeight="false" outlineLevel="0" collapsed="false">
      <c r="B919" s="30"/>
      <c r="E919" s="30"/>
      <c r="F919" s="30"/>
      <c r="G919" s="30"/>
      <c r="H919" s="30"/>
      <c r="I919" s="30"/>
      <c r="J919" s="30"/>
      <c r="K919" s="30"/>
    </row>
    <row r="920" customFormat="false" ht="15.75" hidden="false" customHeight="false" outlineLevel="0" collapsed="false">
      <c r="B920" s="30"/>
      <c r="E920" s="30"/>
      <c r="F920" s="30"/>
      <c r="G920" s="30"/>
      <c r="H920" s="30"/>
      <c r="I920" s="30"/>
      <c r="J920" s="30"/>
      <c r="K920" s="30"/>
    </row>
    <row r="921" customFormat="false" ht="15.75" hidden="false" customHeight="false" outlineLevel="0" collapsed="false">
      <c r="B921" s="30"/>
      <c r="E921" s="30"/>
      <c r="F921" s="30"/>
      <c r="G921" s="30"/>
      <c r="H921" s="30"/>
      <c r="I921" s="30"/>
      <c r="J921" s="30"/>
      <c r="K921" s="30"/>
    </row>
    <row r="922" customFormat="false" ht="15.75" hidden="false" customHeight="false" outlineLevel="0" collapsed="false">
      <c r="B922" s="30"/>
      <c r="E922" s="30"/>
      <c r="F922" s="30"/>
      <c r="G922" s="30"/>
      <c r="H922" s="30"/>
      <c r="I922" s="30"/>
      <c r="J922" s="30"/>
      <c r="K922" s="30"/>
    </row>
    <row r="923" customFormat="false" ht="15.75" hidden="false" customHeight="false" outlineLevel="0" collapsed="false">
      <c r="B923" s="30"/>
      <c r="E923" s="30"/>
      <c r="F923" s="30"/>
      <c r="G923" s="30"/>
      <c r="H923" s="30"/>
      <c r="I923" s="30"/>
      <c r="J923" s="30"/>
      <c r="K923" s="30"/>
    </row>
    <row r="924" customFormat="false" ht="15.75" hidden="false" customHeight="false" outlineLevel="0" collapsed="false">
      <c r="B924" s="30"/>
      <c r="E924" s="30"/>
      <c r="F924" s="30"/>
      <c r="G924" s="30"/>
      <c r="H924" s="30"/>
      <c r="I924" s="30"/>
      <c r="J924" s="30"/>
      <c r="K924" s="30"/>
    </row>
    <row r="925" customFormat="false" ht="15.75" hidden="false" customHeight="false" outlineLevel="0" collapsed="false">
      <c r="B925" s="30"/>
      <c r="E925" s="30"/>
      <c r="F925" s="30"/>
      <c r="G925" s="30"/>
      <c r="H925" s="30"/>
      <c r="I925" s="30"/>
      <c r="J925" s="30"/>
      <c r="K925" s="30"/>
    </row>
    <row r="926" customFormat="false" ht="15.75" hidden="false" customHeight="false" outlineLevel="0" collapsed="false">
      <c r="B926" s="30"/>
      <c r="E926" s="30"/>
      <c r="F926" s="30"/>
      <c r="G926" s="30"/>
      <c r="H926" s="30"/>
      <c r="I926" s="30"/>
      <c r="J926" s="30"/>
      <c r="K926" s="30"/>
    </row>
    <row r="927" customFormat="false" ht="15.75" hidden="false" customHeight="false" outlineLevel="0" collapsed="false">
      <c r="B927" s="30"/>
      <c r="E927" s="30"/>
      <c r="F927" s="30"/>
      <c r="G927" s="30"/>
      <c r="H927" s="30"/>
      <c r="I927" s="30"/>
      <c r="J927" s="30"/>
      <c r="K927" s="30"/>
    </row>
    <row r="928" customFormat="false" ht="15.75" hidden="false" customHeight="false" outlineLevel="0" collapsed="false">
      <c r="B928" s="30"/>
      <c r="E928" s="30"/>
      <c r="F928" s="30"/>
      <c r="G928" s="30"/>
      <c r="H928" s="30"/>
      <c r="I928" s="30"/>
      <c r="J928" s="30"/>
      <c r="K928" s="30"/>
    </row>
    <row r="929" customFormat="false" ht="15.75" hidden="false" customHeight="false" outlineLevel="0" collapsed="false">
      <c r="B929" s="30"/>
      <c r="E929" s="30"/>
      <c r="F929" s="30"/>
      <c r="G929" s="30"/>
      <c r="H929" s="30"/>
      <c r="I929" s="30"/>
      <c r="J929" s="30"/>
      <c r="K929" s="30"/>
    </row>
    <row r="930" customFormat="false" ht="15.75" hidden="false" customHeight="false" outlineLevel="0" collapsed="false">
      <c r="B930" s="30"/>
      <c r="E930" s="30"/>
      <c r="F930" s="30"/>
      <c r="G930" s="30"/>
      <c r="H930" s="30"/>
      <c r="I930" s="30"/>
      <c r="J930" s="30"/>
      <c r="K930" s="30"/>
    </row>
    <row r="931" customFormat="false" ht="15.75" hidden="false" customHeight="false" outlineLevel="0" collapsed="false">
      <c r="B931" s="30"/>
      <c r="E931" s="30"/>
      <c r="F931" s="30"/>
      <c r="G931" s="30"/>
      <c r="H931" s="30"/>
      <c r="I931" s="30"/>
      <c r="J931" s="30"/>
      <c r="K931" s="30"/>
    </row>
    <row r="932" customFormat="false" ht="15.75" hidden="false" customHeight="false" outlineLevel="0" collapsed="false">
      <c r="B932" s="30"/>
      <c r="E932" s="30"/>
      <c r="F932" s="30"/>
      <c r="G932" s="30"/>
      <c r="H932" s="30"/>
      <c r="I932" s="30"/>
      <c r="J932" s="30"/>
      <c r="K932" s="30"/>
    </row>
    <row r="933" customFormat="false" ht="15.75" hidden="false" customHeight="false" outlineLevel="0" collapsed="false">
      <c r="B933" s="30"/>
      <c r="E933" s="30"/>
      <c r="F933" s="30"/>
      <c r="G933" s="30"/>
      <c r="H933" s="30"/>
      <c r="I933" s="30"/>
      <c r="J933" s="30"/>
      <c r="K933" s="30"/>
    </row>
    <row r="934" customFormat="false" ht="15.75" hidden="false" customHeight="false" outlineLevel="0" collapsed="false">
      <c r="B934" s="30"/>
      <c r="E934" s="30"/>
      <c r="F934" s="30"/>
      <c r="G934" s="30"/>
      <c r="H934" s="30"/>
      <c r="I934" s="30"/>
      <c r="J934" s="30"/>
      <c r="K934" s="30"/>
    </row>
    <row r="935" customFormat="false" ht="15.75" hidden="false" customHeight="false" outlineLevel="0" collapsed="false">
      <c r="B935" s="30"/>
      <c r="E935" s="30"/>
      <c r="F935" s="30"/>
      <c r="G935" s="30"/>
      <c r="H935" s="30"/>
      <c r="I935" s="30"/>
      <c r="J935" s="30"/>
      <c r="K935" s="30"/>
    </row>
    <row r="936" customFormat="false" ht="15.75" hidden="false" customHeight="false" outlineLevel="0" collapsed="false">
      <c r="B936" s="30"/>
      <c r="E936" s="30"/>
      <c r="F936" s="30"/>
      <c r="G936" s="30"/>
      <c r="H936" s="30"/>
      <c r="I936" s="30"/>
      <c r="J936" s="30"/>
      <c r="K936" s="30"/>
    </row>
    <row r="937" customFormat="false" ht="15.75" hidden="false" customHeight="false" outlineLevel="0" collapsed="false">
      <c r="B937" s="30"/>
      <c r="E937" s="30"/>
      <c r="F937" s="30"/>
      <c r="G937" s="30"/>
      <c r="H937" s="30"/>
      <c r="I937" s="30"/>
      <c r="J937" s="30"/>
      <c r="K937" s="30"/>
    </row>
    <row r="938" customFormat="false" ht="15.75" hidden="false" customHeight="false" outlineLevel="0" collapsed="false">
      <c r="B938" s="30"/>
      <c r="E938" s="30"/>
      <c r="F938" s="30"/>
      <c r="G938" s="30"/>
      <c r="H938" s="30"/>
      <c r="I938" s="30"/>
      <c r="J938" s="30"/>
      <c r="K938" s="30"/>
    </row>
    <row r="939" customFormat="false" ht="15.75" hidden="false" customHeight="false" outlineLevel="0" collapsed="false">
      <c r="B939" s="30"/>
      <c r="E939" s="30"/>
      <c r="F939" s="30"/>
      <c r="G939" s="30"/>
      <c r="H939" s="30"/>
      <c r="I939" s="30"/>
      <c r="J939" s="30"/>
      <c r="K939" s="30"/>
    </row>
    <row r="940" customFormat="false" ht="15.75" hidden="false" customHeight="false" outlineLevel="0" collapsed="false">
      <c r="B940" s="30"/>
      <c r="E940" s="30"/>
      <c r="F940" s="30"/>
      <c r="G940" s="30"/>
      <c r="H940" s="30"/>
      <c r="I940" s="30"/>
      <c r="J940" s="30"/>
      <c r="K940" s="30"/>
    </row>
    <row r="941" customFormat="false" ht="15.75" hidden="false" customHeight="false" outlineLevel="0" collapsed="false">
      <c r="B941" s="30"/>
      <c r="E941" s="30"/>
      <c r="F941" s="30"/>
      <c r="G941" s="30"/>
      <c r="H941" s="30"/>
      <c r="I941" s="30"/>
      <c r="J941" s="30"/>
      <c r="K941" s="30"/>
    </row>
    <row r="942" customFormat="false" ht="15.75" hidden="false" customHeight="false" outlineLevel="0" collapsed="false">
      <c r="B942" s="30"/>
      <c r="E942" s="30"/>
      <c r="F942" s="30"/>
      <c r="G942" s="30"/>
      <c r="H942" s="30"/>
      <c r="I942" s="30"/>
      <c r="J942" s="30"/>
      <c r="K942" s="30"/>
    </row>
    <row r="943" customFormat="false" ht="15.75" hidden="false" customHeight="false" outlineLevel="0" collapsed="false">
      <c r="B943" s="30"/>
      <c r="E943" s="30"/>
      <c r="F943" s="30"/>
      <c r="G943" s="30"/>
      <c r="H943" s="30"/>
      <c r="I943" s="30"/>
      <c r="J943" s="30"/>
      <c r="K943" s="30"/>
    </row>
    <row r="944" customFormat="false" ht="15.75" hidden="false" customHeight="false" outlineLevel="0" collapsed="false">
      <c r="B944" s="30"/>
      <c r="E944" s="30"/>
      <c r="F944" s="30"/>
      <c r="G944" s="30"/>
      <c r="H944" s="30"/>
      <c r="I944" s="30"/>
      <c r="J944" s="30"/>
      <c r="K944" s="30"/>
    </row>
    <row r="945" customFormat="false" ht="15.75" hidden="false" customHeight="false" outlineLevel="0" collapsed="false">
      <c r="B945" s="30"/>
      <c r="E945" s="30"/>
      <c r="F945" s="30"/>
      <c r="G945" s="30"/>
      <c r="H945" s="30"/>
      <c r="I945" s="30"/>
      <c r="J945" s="30"/>
      <c r="K945" s="30"/>
    </row>
    <row r="946" customFormat="false" ht="15.75" hidden="false" customHeight="false" outlineLevel="0" collapsed="false">
      <c r="B946" s="30"/>
      <c r="E946" s="30"/>
      <c r="F946" s="30"/>
      <c r="G946" s="30"/>
      <c r="H946" s="30"/>
      <c r="I946" s="30"/>
      <c r="J946" s="30"/>
      <c r="K946" s="30"/>
    </row>
    <row r="947" customFormat="false" ht="15.75" hidden="false" customHeight="false" outlineLevel="0" collapsed="false">
      <c r="B947" s="30"/>
      <c r="E947" s="30"/>
      <c r="F947" s="30"/>
      <c r="G947" s="30"/>
      <c r="H947" s="30"/>
      <c r="I947" s="30"/>
      <c r="J947" s="30"/>
      <c r="K947" s="30"/>
    </row>
    <row r="948" customFormat="false" ht="15.75" hidden="false" customHeight="false" outlineLevel="0" collapsed="false">
      <c r="B948" s="30"/>
      <c r="E948" s="30"/>
      <c r="F948" s="30"/>
      <c r="G948" s="30"/>
      <c r="H948" s="30"/>
      <c r="I948" s="30"/>
      <c r="J948" s="30"/>
      <c r="K948" s="30"/>
    </row>
    <row r="949" customFormat="false" ht="15.75" hidden="false" customHeight="false" outlineLevel="0" collapsed="false">
      <c r="B949" s="30"/>
      <c r="E949" s="30"/>
      <c r="F949" s="30"/>
      <c r="G949" s="30"/>
      <c r="H949" s="30"/>
      <c r="I949" s="30"/>
      <c r="J949" s="30"/>
      <c r="K949" s="30"/>
    </row>
    <row r="950" customFormat="false" ht="15.75" hidden="false" customHeight="false" outlineLevel="0" collapsed="false">
      <c r="B950" s="30"/>
      <c r="E950" s="30"/>
      <c r="F950" s="30"/>
      <c r="G950" s="30"/>
      <c r="H950" s="30"/>
      <c r="I950" s="30"/>
      <c r="J950" s="30"/>
      <c r="K950" s="30"/>
    </row>
    <row r="951" customFormat="false" ht="15.75" hidden="false" customHeight="false" outlineLevel="0" collapsed="false">
      <c r="B951" s="30"/>
      <c r="E951" s="30"/>
      <c r="F951" s="30"/>
      <c r="G951" s="30"/>
      <c r="H951" s="30"/>
      <c r="I951" s="30"/>
      <c r="J951" s="30"/>
      <c r="K951" s="30"/>
    </row>
    <row r="952" customFormat="false" ht="15.75" hidden="false" customHeight="false" outlineLevel="0" collapsed="false">
      <c r="B952" s="30"/>
      <c r="E952" s="30"/>
      <c r="F952" s="30"/>
      <c r="G952" s="30"/>
      <c r="H952" s="30"/>
      <c r="I952" s="30"/>
      <c r="J952" s="30"/>
      <c r="K952" s="30"/>
    </row>
    <row r="953" customFormat="false" ht="15.75" hidden="false" customHeight="false" outlineLevel="0" collapsed="false">
      <c r="B953" s="30"/>
      <c r="E953" s="30"/>
      <c r="F953" s="30"/>
      <c r="G953" s="30"/>
      <c r="H953" s="30"/>
      <c r="I953" s="30"/>
      <c r="J953" s="30"/>
      <c r="K953" s="30"/>
    </row>
    <row r="954" customFormat="false" ht="15.75" hidden="false" customHeight="false" outlineLevel="0" collapsed="false">
      <c r="B954" s="30"/>
      <c r="E954" s="30"/>
      <c r="F954" s="30"/>
      <c r="G954" s="30"/>
      <c r="H954" s="30"/>
      <c r="I954" s="30"/>
      <c r="J954" s="30"/>
      <c r="K954" s="30"/>
    </row>
    <row r="955" customFormat="false" ht="15.75" hidden="false" customHeight="false" outlineLevel="0" collapsed="false">
      <c r="B955" s="30"/>
      <c r="E955" s="30"/>
      <c r="F955" s="30"/>
      <c r="G955" s="30"/>
      <c r="H955" s="30"/>
      <c r="I955" s="30"/>
      <c r="J955" s="30"/>
      <c r="K955" s="30"/>
    </row>
    <row r="956" customFormat="false" ht="15.75" hidden="false" customHeight="false" outlineLevel="0" collapsed="false">
      <c r="B956" s="30"/>
      <c r="E956" s="30"/>
      <c r="F956" s="30"/>
      <c r="G956" s="30"/>
      <c r="H956" s="30"/>
      <c r="I956" s="30"/>
      <c r="J956" s="30"/>
      <c r="K956" s="30"/>
    </row>
    <row r="957" customFormat="false" ht="15.75" hidden="false" customHeight="false" outlineLevel="0" collapsed="false">
      <c r="B957" s="30"/>
      <c r="E957" s="30"/>
      <c r="F957" s="30"/>
      <c r="G957" s="30"/>
      <c r="H957" s="30"/>
      <c r="I957" s="30"/>
      <c r="J957" s="30"/>
      <c r="K957" s="30"/>
    </row>
    <row r="958" customFormat="false" ht="15.75" hidden="false" customHeight="false" outlineLevel="0" collapsed="false">
      <c r="B958" s="30"/>
      <c r="E958" s="30"/>
      <c r="F958" s="30"/>
      <c r="G958" s="30"/>
      <c r="H958" s="30"/>
      <c r="I958" s="30"/>
      <c r="J958" s="30"/>
      <c r="K958" s="30"/>
    </row>
    <row r="959" customFormat="false" ht="15.75" hidden="false" customHeight="false" outlineLevel="0" collapsed="false">
      <c r="B959" s="30"/>
      <c r="E959" s="30"/>
      <c r="F959" s="30"/>
      <c r="G959" s="30"/>
      <c r="H959" s="30"/>
      <c r="I959" s="30"/>
      <c r="J959" s="30"/>
      <c r="K959" s="30"/>
    </row>
    <row r="960" customFormat="false" ht="15.75" hidden="false" customHeight="false" outlineLevel="0" collapsed="false">
      <c r="B960" s="30"/>
      <c r="E960" s="30"/>
      <c r="F960" s="30"/>
      <c r="G960" s="30"/>
      <c r="H960" s="30"/>
      <c r="I960" s="30"/>
      <c r="J960" s="30"/>
      <c r="K960" s="30"/>
    </row>
    <row r="961" customFormat="false" ht="15.75" hidden="false" customHeight="false" outlineLevel="0" collapsed="false">
      <c r="B961" s="30"/>
      <c r="E961" s="30"/>
      <c r="F961" s="30"/>
      <c r="G961" s="30"/>
      <c r="H961" s="30"/>
      <c r="I961" s="30"/>
      <c r="J961" s="30"/>
      <c r="K961" s="30"/>
    </row>
    <row r="962" customFormat="false" ht="15.75" hidden="false" customHeight="false" outlineLevel="0" collapsed="false">
      <c r="B962" s="30"/>
      <c r="E962" s="30"/>
      <c r="F962" s="30"/>
      <c r="G962" s="30"/>
      <c r="H962" s="30"/>
      <c r="I962" s="30"/>
      <c r="J962" s="30"/>
      <c r="K962" s="30"/>
    </row>
    <row r="963" customFormat="false" ht="15.75" hidden="false" customHeight="false" outlineLevel="0" collapsed="false">
      <c r="B963" s="30"/>
      <c r="E963" s="30"/>
      <c r="F963" s="30"/>
      <c r="G963" s="30"/>
      <c r="H963" s="30"/>
      <c r="I963" s="30"/>
      <c r="J963" s="30"/>
      <c r="K963" s="30"/>
    </row>
    <row r="964" customFormat="false" ht="15.75" hidden="false" customHeight="false" outlineLevel="0" collapsed="false">
      <c r="B964" s="30"/>
      <c r="E964" s="30"/>
      <c r="F964" s="30"/>
      <c r="G964" s="30"/>
      <c r="H964" s="30"/>
      <c r="I964" s="30"/>
      <c r="J964" s="30"/>
      <c r="K964" s="30"/>
    </row>
    <row r="965" customFormat="false" ht="15.75" hidden="false" customHeight="false" outlineLevel="0" collapsed="false">
      <c r="B965" s="30"/>
      <c r="E965" s="30"/>
      <c r="F965" s="30"/>
      <c r="G965" s="30"/>
      <c r="H965" s="30"/>
      <c r="I965" s="30"/>
      <c r="J965" s="30"/>
      <c r="K965" s="30"/>
    </row>
    <row r="966" customFormat="false" ht="15.75" hidden="false" customHeight="false" outlineLevel="0" collapsed="false">
      <c r="B966" s="30"/>
      <c r="E966" s="30"/>
      <c r="F966" s="30"/>
      <c r="G966" s="30"/>
      <c r="H966" s="30"/>
      <c r="I966" s="30"/>
      <c r="J966" s="30"/>
      <c r="K966" s="30"/>
    </row>
    <row r="967" customFormat="false" ht="15.75" hidden="false" customHeight="false" outlineLevel="0" collapsed="false">
      <c r="B967" s="30"/>
      <c r="E967" s="30"/>
      <c r="F967" s="30"/>
      <c r="G967" s="30"/>
      <c r="H967" s="30"/>
      <c r="I967" s="30"/>
      <c r="J967" s="30"/>
      <c r="K967" s="30"/>
    </row>
    <row r="968" customFormat="false" ht="15.75" hidden="false" customHeight="false" outlineLevel="0" collapsed="false">
      <c r="B968" s="30"/>
      <c r="E968" s="30"/>
      <c r="F968" s="30"/>
      <c r="G968" s="30"/>
      <c r="H968" s="30"/>
      <c r="I968" s="30"/>
      <c r="J968" s="30"/>
      <c r="K968" s="30"/>
    </row>
    <row r="969" customFormat="false" ht="15.75" hidden="false" customHeight="false" outlineLevel="0" collapsed="false">
      <c r="B969" s="30"/>
      <c r="E969" s="30"/>
      <c r="F969" s="30"/>
      <c r="G969" s="30"/>
      <c r="H969" s="30"/>
      <c r="I969" s="30"/>
      <c r="J969" s="30"/>
      <c r="K969" s="30"/>
    </row>
    <row r="970" customFormat="false" ht="15.75" hidden="false" customHeight="false" outlineLevel="0" collapsed="false">
      <c r="B970" s="30"/>
      <c r="E970" s="30"/>
      <c r="F970" s="30"/>
      <c r="G970" s="30"/>
      <c r="H970" s="30"/>
      <c r="I970" s="30"/>
      <c r="J970" s="30"/>
      <c r="K970" s="30"/>
    </row>
    <row r="971" customFormat="false" ht="15.75" hidden="false" customHeight="false" outlineLevel="0" collapsed="false">
      <c r="B971" s="30"/>
      <c r="E971" s="30"/>
      <c r="F971" s="30"/>
      <c r="G971" s="30"/>
      <c r="H971" s="30"/>
      <c r="I971" s="30"/>
      <c r="J971" s="30"/>
      <c r="K971" s="30"/>
    </row>
    <row r="972" customFormat="false" ht="15.75" hidden="false" customHeight="false" outlineLevel="0" collapsed="false">
      <c r="B972" s="30"/>
      <c r="E972" s="30"/>
      <c r="F972" s="30"/>
      <c r="G972" s="30"/>
      <c r="H972" s="30"/>
      <c r="I972" s="30"/>
      <c r="J972" s="30"/>
      <c r="K972" s="30"/>
    </row>
    <row r="973" customFormat="false" ht="15.75" hidden="false" customHeight="false" outlineLevel="0" collapsed="false">
      <c r="B973" s="30"/>
      <c r="E973" s="30"/>
      <c r="F973" s="30"/>
      <c r="G973" s="30"/>
      <c r="H973" s="30"/>
      <c r="I973" s="30"/>
      <c r="J973" s="30"/>
      <c r="K973" s="30"/>
    </row>
    <row r="974" customFormat="false" ht="15.75" hidden="false" customHeight="false" outlineLevel="0" collapsed="false">
      <c r="B974" s="30"/>
      <c r="E974" s="30"/>
      <c r="F974" s="30"/>
      <c r="G974" s="30"/>
      <c r="H974" s="30"/>
      <c r="I974" s="30"/>
      <c r="J974" s="30"/>
      <c r="K974" s="30"/>
    </row>
    <row r="975" customFormat="false" ht="15.75" hidden="false" customHeight="false" outlineLevel="0" collapsed="false">
      <c r="B975" s="30"/>
      <c r="E975" s="30"/>
      <c r="F975" s="30"/>
      <c r="G975" s="30"/>
      <c r="H975" s="30"/>
      <c r="I975" s="30"/>
      <c r="J975" s="30"/>
      <c r="K975" s="30"/>
    </row>
    <row r="976" customFormat="false" ht="15.75" hidden="false" customHeight="false" outlineLevel="0" collapsed="false">
      <c r="B976" s="30"/>
      <c r="E976" s="30"/>
      <c r="F976" s="30"/>
      <c r="G976" s="30"/>
      <c r="H976" s="30"/>
      <c r="I976" s="30"/>
      <c r="J976" s="30"/>
      <c r="K976" s="30"/>
    </row>
    <row r="977" customFormat="false" ht="15.75" hidden="false" customHeight="false" outlineLevel="0" collapsed="false">
      <c r="B977" s="30"/>
      <c r="E977" s="30"/>
      <c r="F977" s="30"/>
      <c r="G977" s="30"/>
      <c r="H977" s="30"/>
      <c r="I977" s="30"/>
      <c r="J977" s="30"/>
      <c r="K977" s="30"/>
    </row>
    <row r="978" customFormat="false" ht="15.75" hidden="false" customHeight="false" outlineLevel="0" collapsed="false">
      <c r="B978" s="30"/>
      <c r="E978" s="30"/>
      <c r="F978" s="30"/>
      <c r="G978" s="30"/>
      <c r="H978" s="30"/>
      <c r="I978" s="30"/>
      <c r="J978" s="30"/>
      <c r="K978" s="30"/>
    </row>
    <row r="979" customFormat="false" ht="15.75" hidden="false" customHeight="false" outlineLevel="0" collapsed="false">
      <c r="B979" s="30"/>
      <c r="E979" s="30"/>
      <c r="F979" s="30"/>
      <c r="G979" s="30"/>
      <c r="H979" s="30"/>
      <c r="I979" s="30"/>
      <c r="J979" s="30"/>
      <c r="K979" s="30"/>
    </row>
    <row r="980" customFormat="false" ht="15.75" hidden="false" customHeight="false" outlineLevel="0" collapsed="false">
      <c r="B980" s="30"/>
      <c r="E980" s="30"/>
      <c r="F980" s="30"/>
      <c r="G980" s="30"/>
      <c r="H980" s="30"/>
      <c r="I980" s="30"/>
      <c r="J980" s="30"/>
      <c r="K980" s="30"/>
    </row>
    <row r="981" customFormat="false" ht="15.75" hidden="false" customHeight="false" outlineLevel="0" collapsed="false">
      <c r="B981" s="30"/>
      <c r="E981" s="30"/>
      <c r="F981" s="30"/>
      <c r="G981" s="30"/>
      <c r="H981" s="30"/>
      <c r="I981" s="30"/>
      <c r="J981" s="30"/>
      <c r="K981" s="30"/>
    </row>
    <row r="982" customFormat="false" ht="15.75" hidden="false" customHeight="false" outlineLevel="0" collapsed="false">
      <c r="B982" s="30"/>
      <c r="E982" s="30"/>
      <c r="F982" s="30"/>
      <c r="G982" s="30"/>
      <c r="H982" s="30"/>
      <c r="I982" s="30"/>
      <c r="J982" s="30"/>
      <c r="K982" s="30"/>
    </row>
    <row r="983" customFormat="false" ht="15.75" hidden="false" customHeight="false" outlineLevel="0" collapsed="false">
      <c r="B983" s="30"/>
      <c r="E983" s="30"/>
      <c r="F983" s="30"/>
      <c r="G983" s="30"/>
      <c r="H983" s="30"/>
      <c r="I983" s="30"/>
      <c r="J983" s="30"/>
      <c r="K983" s="30"/>
    </row>
    <row r="984" customFormat="false" ht="15.75" hidden="false" customHeight="false" outlineLevel="0" collapsed="false">
      <c r="B984" s="30"/>
      <c r="E984" s="30"/>
      <c r="F984" s="30"/>
      <c r="G984" s="30"/>
      <c r="H984" s="30"/>
      <c r="I984" s="30"/>
      <c r="J984" s="30"/>
      <c r="K984" s="30"/>
    </row>
    <row r="985" customFormat="false" ht="15.75" hidden="false" customHeight="false" outlineLevel="0" collapsed="false">
      <c r="B985" s="30"/>
      <c r="E985" s="30"/>
      <c r="F985" s="30"/>
      <c r="G985" s="30"/>
      <c r="H985" s="30"/>
      <c r="I985" s="30"/>
      <c r="J985" s="30"/>
      <c r="K985" s="30"/>
    </row>
    <row r="986" customFormat="false" ht="15.75" hidden="false" customHeight="false" outlineLevel="0" collapsed="false">
      <c r="B986" s="30"/>
      <c r="E986" s="30"/>
      <c r="F986" s="30"/>
      <c r="G986" s="30"/>
      <c r="H986" s="30"/>
      <c r="I986" s="30"/>
      <c r="J986" s="30"/>
      <c r="K986" s="30"/>
    </row>
    <row r="987" customFormat="false" ht="15.75" hidden="false" customHeight="false" outlineLevel="0" collapsed="false">
      <c r="B987" s="30"/>
      <c r="E987" s="30"/>
      <c r="F987" s="30"/>
      <c r="G987" s="30"/>
      <c r="H987" s="30"/>
      <c r="I987" s="30"/>
      <c r="J987" s="30"/>
      <c r="K987" s="30"/>
    </row>
    <row r="988" customFormat="false" ht="15.75" hidden="false" customHeight="false" outlineLevel="0" collapsed="false">
      <c r="B988" s="30"/>
      <c r="E988" s="30"/>
      <c r="F988" s="30"/>
      <c r="G988" s="30"/>
      <c r="H988" s="30"/>
      <c r="I988" s="30"/>
      <c r="J988" s="30"/>
      <c r="K988" s="30"/>
    </row>
    <row r="989" customFormat="false" ht="15.75" hidden="false" customHeight="false" outlineLevel="0" collapsed="false">
      <c r="B989" s="30"/>
      <c r="E989" s="30"/>
      <c r="F989" s="30"/>
      <c r="G989" s="30"/>
      <c r="H989" s="30"/>
      <c r="I989" s="30"/>
      <c r="J989" s="30"/>
      <c r="K989" s="30"/>
    </row>
    <row r="990" customFormat="false" ht="15.75" hidden="false" customHeight="false" outlineLevel="0" collapsed="false">
      <c r="B990" s="30"/>
      <c r="E990" s="30"/>
      <c r="F990" s="30"/>
      <c r="G990" s="30"/>
      <c r="H990" s="30"/>
      <c r="I990" s="30"/>
      <c r="J990" s="30"/>
      <c r="K990" s="30"/>
    </row>
    <row r="991" customFormat="false" ht="15.75" hidden="false" customHeight="false" outlineLevel="0" collapsed="false">
      <c r="B991" s="30"/>
      <c r="E991" s="30"/>
      <c r="F991" s="30"/>
      <c r="G991" s="30"/>
      <c r="H991" s="30"/>
      <c r="I991" s="30"/>
      <c r="J991" s="30"/>
      <c r="K991" s="30"/>
    </row>
    <row r="992" customFormat="false" ht="15.75" hidden="false" customHeight="false" outlineLevel="0" collapsed="false">
      <c r="B992" s="30"/>
      <c r="E992" s="30"/>
      <c r="F992" s="30"/>
      <c r="G992" s="30"/>
      <c r="H992" s="30"/>
      <c r="I992" s="30"/>
      <c r="J992" s="30"/>
      <c r="K992" s="30"/>
    </row>
    <row r="993" customFormat="false" ht="15.75" hidden="false" customHeight="false" outlineLevel="0" collapsed="false">
      <c r="B993" s="30"/>
      <c r="E993" s="30"/>
      <c r="F993" s="30"/>
      <c r="G993" s="30"/>
      <c r="H993" s="30"/>
      <c r="I993" s="30"/>
      <c r="J993" s="30"/>
      <c r="K993" s="30"/>
    </row>
    <row r="994" customFormat="false" ht="15.75" hidden="false" customHeight="false" outlineLevel="0" collapsed="false">
      <c r="B994" s="30"/>
      <c r="E994" s="30"/>
      <c r="F994" s="30"/>
      <c r="G994" s="30"/>
      <c r="H994" s="30"/>
      <c r="I994" s="30"/>
      <c r="J994" s="30"/>
      <c r="K994" s="30"/>
    </row>
    <row r="995" customFormat="false" ht="15.75" hidden="false" customHeight="false" outlineLevel="0" collapsed="false">
      <c r="B995" s="30"/>
      <c r="E995" s="30"/>
      <c r="F995" s="30"/>
      <c r="G995" s="30"/>
      <c r="H995" s="30"/>
      <c r="I995" s="30"/>
      <c r="J995" s="30"/>
      <c r="K995" s="30"/>
    </row>
    <row r="996" customFormat="false" ht="15.75" hidden="false" customHeight="false" outlineLevel="0" collapsed="false">
      <c r="B996" s="30"/>
      <c r="E996" s="30"/>
      <c r="F996" s="30"/>
      <c r="G996" s="30"/>
      <c r="H996" s="30"/>
      <c r="I996" s="30"/>
      <c r="J996" s="30"/>
      <c r="K996" s="30"/>
    </row>
    <row r="997" customFormat="false" ht="15.75" hidden="false" customHeight="false" outlineLevel="0" collapsed="false">
      <c r="B997" s="30"/>
      <c r="E997" s="30"/>
      <c r="F997" s="30"/>
      <c r="G997" s="30"/>
      <c r="H997" s="30"/>
      <c r="I997" s="30"/>
      <c r="J997" s="30"/>
      <c r="K997" s="30"/>
    </row>
    <row r="998" customFormat="false" ht="15.75" hidden="false" customHeight="false" outlineLevel="0" collapsed="false">
      <c r="B998" s="30"/>
      <c r="E998" s="30"/>
      <c r="F998" s="30"/>
      <c r="G998" s="30"/>
      <c r="H998" s="30"/>
      <c r="I998" s="30"/>
      <c r="J998" s="30"/>
      <c r="K998" s="30"/>
    </row>
    <row r="999" customFormat="false" ht="15.75" hidden="false" customHeight="false" outlineLevel="0" collapsed="false">
      <c r="B999" s="30"/>
      <c r="E999" s="30"/>
      <c r="F999" s="30"/>
      <c r="G999" s="30"/>
      <c r="H999" s="30"/>
      <c r="I999" s="30"/>
      <c r="J999" s="30"/>
      <c r="K999" s="30"/>
    </row>
    <row r="1000" customFormat="false" ht="15.75" hidden="false" customHeight="false" outlineLevel="0" collapsed="false">
      <c r="B1000" s="30"/>
      <c r="E1000" s="30"/>
      <c r="F1000" s="30"/>
      <c r="G1000" s="30"/>
      <c r="H1000" s="30"/>
      <c r="I1000" s="30"/>
      <c r="J1000" s="30"/>
      <c r="K1000" s="30"/>
    </row>
  </sheetData>
  <autoFilter ref="B2:K151"/>
  <conditionalFormatting sqref="E3:E151">
    <cfRule type="colorScale" priority="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F3:F151">
    <cfRule type="colorScale" priority="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3:G151">
    <cfRule type="colorScale" priority="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H3:H151">
    <cfRule type="colorScale" priority="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3:I151">
    <cfRule type="colorScale" priority="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3:J151">
    <cfRule type="colorScale" priority="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K3:K151">
    <cfRule type="colorScale" priority="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L15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2" min="2" style="0" width="28.88"/>
    <col collapsed="false" customWidth="true" hidden="false" outlineLevel="0" max="4" min="3" style="0" width="18"/>
  </cols>
  <sheetData>
    <row r="1" customFormat="false" ht="15.75" hidden="false" customHeight="false" outlineLevel="0" collapsed="false">
      <c r="B1" s="37" t="s">
        <v>366</v>
      </c>
      <c r="C1" s="37" t="s">
        <v>3</v>
      </c>
      <c r="D1" s="37" t="s">
        <v>4</v>
      </c>
      <c r="E1" s="38" t="s">
        <v>367</v>
      </c>
      <c r="F1" s="38" t="s">
        <v>368</v>
      </c>
      <c r="G1" s="38" t="s">
        <v>369</v>
      </c>
      <c r="H1" s="38" t="s">
        <v>370</v>
      </c>
      <c r="I1" s="38" t="s">
        <v>371</v>
      </c>
      <c r="J1" s="38" t="s">
        <v>372</v>
      </c>
      <c r="K1" s="38" t="s">
        <v>373</v>
      </c>
      <c r="L1" s="38" t="s">
        <v>374</v>
      </c>
    </row>
    <row r="2" customFormat="false" ht="15.75" hidden="false" customHeight="false" outlineLevel="0" collapsed="false">
      <c r="B2" s="39" t="s">
        <v>375</v>
      </c>
      <c r="C2" s="40" t="str">
        <f aca="false">IF(B2="","",IFERROR(INDEX('CLM &amp; IM Mapping'!$B$2:$B$270,MATCH(TRIM(B2),'CLM &amp; IM Mapping'!$A$2:$A$270,0)),"Not Mapped"))</f>
        <v>Not Mapped</v>
      </c>
      <c r="D2" s="40" t="str">
        <f aca="false">IF(B2="","",IFERROR(INDEX('CLM &amp; IM Mapping'!$C$2:$C$270,MATCH(TRIM(B2),'CLM &amp; IM Mapping'!$A$2:$A$270,0)),"Not Mapped"))</f>
        <v>Not Mapped</v>
      </c>
      <c r="E2" s="41" t="n">
        <v>4471</v>
      </c>
      <c r="F2" s="41" t="n">
        <v>4442</v>
      </c>
      <c r="G2" s="41" t="n">
        <v>29</v>
      </c>
      <c r="H2" s="41" t="n">
        <v>0</v>
      </c>
      <c r="I2" s="41" t="n">
        <v>0</v>
      </c>
      <c r="J2" s="41" t="n">
        <v>0</v>
      </c>
      <c r="K2" s="41" t="n">
        <v>0</v>
      </c>
      <c r="L2" s="41" t="n">
        <v>0</v>
      </c>
    </row>
    <row r="3" customFormat="false" ht="15.75" hidden="false" customHeight="false" outlineLevel="0" collapsed="false">
      <c r="B3" s="39" t="s">
        <v>376</v>
      </c>
      <c r="C3" s="40" t="str">
        <f aca="false">IF(B3="","",IFERROR(INDEX('CLM &amp; IM Mapping'!$B$2:$B$270,MATCH(TRIM(B3),'CLM &amp; IM Mapping'!$A$2:$A$270,0)),"Not Mapped"))</f>
        <v>Not Mapped</v>
      </c>
      <c r="D3" s="40" t="str">
        <f aca="false">IF(B3="","",IFERROR(INDEX('CLM &amp; IM Mapping'!$C$2:$C$270,MATCH(TRIM(B3),'CLM &amp; IM Mapping'!$A$2:$A$270,0)),"Not Mapped"))</f>
        <v>Not Mapped</v>
      </c>
      <c r="E3" s="41" t="n">
        <v>0</v>
      </c>
      <c r="F3" s="41" t="n">
        <v>0</v>
      </c>
      <c r="G3" s="41" t="n">
        <v>0</v>
      </c>
      <c r="H3" s="41" t="n">
        <v>0</v>
      </c>
      <c r="I3" s="41" t="n">
        <v>0</v>
      </c>
      <c r="J3" s="41" t="n">
        <v>0</v>
      </c>
      <c r="K3" s="41" t="n">
        <v>0</v>
      </c>
      <c r="L3" s="41" t="n">
        <v>0</v>
      </c>
    </row>
    <row r="4" customFormat="false" ht="15.75" hidden="false" customHeight="false" outlineLevel="0" collapsed="false">
      <c r="B4" s="39" t="s">
        <v>377</v>
      </c>
      <c r="C4" s="40" t="str">
        <f aca="false">IF(B4="","",IFERROR(INDEX('CLM &amp; IM Mapping'!$B$2:$B$270,MATCH(TRIM(B4),'CLM &amp; IM Mapping'!$A$2:$A$270,0)),"Not Mapped"))</f>
        <v>Not Mapped</v>
      </c>
      <c r="D4" s="40" t="str">
        <f aca="false">IF(B4="","",IFERROR(INDEX('CLM &amp; IM Mapping'!$C$2:$C$270,MATCH(TRIM(B4),'CLM &amp; IM Mapping'!$A$2:$A$270,0)),"Not Mapped"))</f>
        <v>Not Mapped</v>
      </c>
      <c r="E4" s="41" t="n">
        <v>5943</v>
      </c>
      <c r="F4" s="41" t="n">
        <v>5943</v>
      </c>
      <c r="G4" s="41" t="n">
        <v>0</v>
      </c>
      <c r="H4" s="41" t="n">
        <v>0</v>
      </c>
      <c r="I4" s="41" t="n">
        <v>0</v>
      </c>
      <c r="J4" s="41" t="n">
        <v>0</v>
      </c>
      <c r="K4" s="41" t="n">
        <v>0</v>
      </c>
      <c r="L4" s="41" t="n">
        <v>0</v>
      </c>
    </row>
    <row r="5" customFormat="false" ht="15.75" hidden="false" customHeight="false" outlineLevel="0" collapsed="false">
      <c r="B5" s="39" t="s">
        <v>378</v>
      </c>
      <c r="C5" s="40" t="str">
        <f aca="false">IF(B5="","",IFERROR(INDEX('CLM &amp; IM Mapping'!$B$2:$B$270,MATCH(TRIM(B5),'CLM &amp; IM Mapping'!$A$2:$A$270,0)),"Not Mapped"))</f>
        <v>Not Mapped</v>
      </c>
      <c r="D5" s="40" t="str">
        <f aca="false">IF(B5="","",IFERROR(INDEX('CLM &amp; IM Mapping'!$C$2:$C$270,MATCH(TRIM(B5),'CLM &amp; IM Mapping'!$A$2:$A$270,0)),"Not Mapped"))</f>
        <v>Not Mapped</v>
      </c>
      <c r="E5" s="41" t="n">
        <v>1896</v>
      </c>
      <c r="F5" s="41" t="n">
        <v>1896</v>
      </c>
      <c r="G5" s="41" t="n">
        <v>0</v>
      </c>
      <c r="H5" s="41" t="n">
        <v>0</v>
      </c>
      <c r="I5" s="41" t="n">
        <v>0</v>
      </c>
      <c r="J5" s="41" t="n">
        <v>0</v>
      </c>
      <c r="K5" s="41" t="n">
        <v>0</v>
      </c>
      <c r="L5" s="41" t="n">
        <v>0</v>
      </c>
    </row>
    <row r="6" customFormat="false" ht="15.75" hidden="false" customHeight="false" outlineLevel="0" collapsed="false">
      <c r="B6" s="39" t="s">
        <v>379</v>
      </c>
      <c r="C6" s="40" t="str">
        <f aca="false">IF(B6="","",IFERROR(INDEX('CLM &amp; IM Mapping'!$B$2:$B$270,MATCH(TRIM(B6),'CLM &amp; IM Mapping'!$A$2:$A$270,0)),"Not Mapped"))</f>
        <v>Not Mapped</v>
      </c>
      <c r="D6" s="40" t="str">
        <f aca="false">IF(B6="","",IFERROR(INDEX('CLM &amp; IM Mapping'!$C$2:$C$270,MATCH(TRIM(B6),'CLM &amp; IM Mapping'!$A$2:$A$270,0)),"Not Mapped"))</f>
        <v>Not Mapped</v>
      </c>
      <c r="E6" s="41" t="n">
        <v>5635</v>
      </c>
      <c r="F6" s="41" t="n">
        <v>5635</v>
      </c>
      <c r="G6" s="41" t="n">
        <v>0</v>
      </c>
      <c r="H6" s="41" t="n">
        <v>0</v>
      </c>
      <c r="I6" s="41" t="n">
        <v>0</v>
      </c>
      <c r="J6" s="41" t="n">
        <v>0</v>
      </c>
      <c r="K6" s="41" t="n">
        <v>0</v>
      </c>
      <c r="L6" s="41" t="n">
        <v>0</v>
      </c>
    </row>
    <row r="7" customFormat="false" ht="15.75" hidden="false" customHeight="false" outlineLevel="0" collapsed="false">
      <c r="B7" s="39" t="s">
        <v>380</v>
      </c>
      <c r="C7" s="40" t="str">
        <f aca="false">IF(B7="","",IFERROR(INDEX('CLM &amp; IM Mapping'!$B$2:$B$270,MATCH(TRIM(B7),'CLM &amp; IM Mapping'!$A$2:$A$270,0)),"Not Mapped"))</f>
        <v>Not Mapped</v>
      </c>
      <c r="D7" s="40" t="str">
        <f aca="false">IF(B7="","",IFERROR(INDEX('CLM &amp; IM Mapping'!$C$2:$C$270,MATCH(TRIM(B7),'CLM &amp; IM Mapping'!$A$2:$A$270,0)),"Not Mapped"))</f>
        <v>Not Mapped</v>
      </c>
      <c r="E7" s="41" t="n">
        <v>7063</v>
      </c>
      <c r="F7" s="41" t="n">
        <v>7063</v>
      </c>
      <c r="G7" s="41" t="n">
        <v>0</v>
      </c>
      <c r="H7" s="41" t="n">
        <v>0</v>
      </c>
      <c r="I7" s="41" t="n">
        <v>0</v>
      </c>
      <c r="J7" s="41" t="n">
        <v>0</v>
      </c>
      <c r="K7" s="41" t="n">
        <v>0</v>
      </c>
      <c r="L7" s="41" t="n">
        <v>0</v>
      </c>
    </row>
    <row r="8" customFormat="false" ht="15.75" hidden="false" customHeight="false" outlineLevel="0" collapsed="false">
      <c r="B8" s="39" t="s">
        <v>381</v>
      </c>
      <c r="C8" s="40" t="str">
        <f aca="false">IF(B8="","",IFERROR(INDEX('CLM &amp; IM Mapping'!$B$2:$B$270,MATCH(TRIM(B8),'CLM &amp; IM Mapping'!$A$2:$A$270,0)),"Not Mapped"))</f>
        <v>Not Mapped</v>
      </c>
      <c r="D8" s="40" t="str">
        <f aca="false">IF(B8="","",IFERROR(INDEX('CLM &amp; IM Mapping'!$C$2:$C$270,MATCH(TRIM(B8),'CLM &amp; IM Mapping'!$A$2:$A$270,0)),"Not Mapped"))</f>
        <v>Not Mapped</v>
      </c>
      <c r="E8" s="41" t="n">
        <v>2775</v>
      </c>
      <c r="F8" s="41" t="n">
        <v>2775</v>
      </c>
      <c r="G8" s="41" t="n">
        <v>0</v>
      </c>
      <c r="H8" s="41" t="n">
        <v>0</v>
      </c>
      <c r="I8" s="41" t="n">
        <v>0</v>
      </c>
      <c r="J8" s="41" t="n">
        <v>0</v>
      </c>
      <c r="K8" s="41" t="n">
        <v>0</v>
      </c>
      <c r="L8" s="41" t="n">
        <v>0</v>
      </c>
    </row>
    <row r="9" customFormat="false" ht="15.75" hidden="false" customHeight="false" outlineLevel="0" collapsed="false">
      <c r="B9" s="39" t="s">
        <v>382</v>
      </c>
      <c r="C9" s="40" t="str">
        <f aca="false">IF(B9="","",IFERROR(INDEX('CLM &amp; IM Mapping'!$B$2:$B$270,MATCH(TRIM(B9),'CLM &amp; IM Mapping'!$A$2:$A$270,0)),"Not Mapped"))</f>
        <v>Not Mapped</v>
      </c>
      <c r="D9" s="40" t="str">
        <f aca="false">IF(B9="","",IFERROR(INDEX('CLM &amp; IM Mapping'!$C$2:$C$270,MATCH(TRIM(B9),'CLM &amp; IM Mapping'!$A$2:$A$270,0)),"Not Mapped"))</f>
        <v>Not Mapped</v>
      </c>
      <c r="E9" s="41" t="n">
        <v>517</v>
      </c>
      <c r="F9" s="41" t="n">
        <v>0</v>
      </c>
      <c r="G9" s="41" t="n">
        <v>0</v>
      </c>
      <c r="H9" s="41" t="n">
        <v>517</v>
      </c>
      <c r="I9" s="41" t="n">
        <v>0</v>
      </c>
      <c r="J9" s="41" t="n">
        <v>0</v>
      </c>
      <c r="K9" s="41" t="n">
        <v>0</v>
      </c>
      <c r="L9" s="41" t="n">
        <v>517</v>
      </c>
    </row>
    <row r="10" customFormat="false" ht="15.75" hidden="false" customHeight="false" outlineLevel="0" collapsed="false">
      <c r="B10" s="39" t="s">
        <v>383</v>
      </c>
      <c r="C10" s="40" t="str">
        <f aca="false">IF(B10="","",IFERROR(INDEX('CLM &amp; IM Mapping'!$B$2:$B$270,MATCH(TRIM(B10),'CLM &amp; IM Mapping'!$A$2:$A$270,0)),"Not Mapped"))</f>
        <v>Not Mapped</v>
      </c>
      <c r="D10" s="40" t="str">
        <f aca="false">IF(B10="","",IFERROR(INDEX('CLM &amp; IM Mapping'!$C$2:$C$270,MATCH(TRIM(B10),'CLM &amp; IM Mapping'!$A$2:$A$270,0)),"Not Mapped"))</f>
        <v>Not Mapped</v>
      </c>
      <c r="E10" s="41" t="n">
        <v>0</v>
      </c>
      <c r="F10" s="41" t="n">
        <v>0</v>
      </c>
      <c r="G10" s="41" t="n">
        <v>0</v>
      </c>
      <c r="H10" s="41" t="n">
        <v>0</v>
      </c>
      <c r="I10" s="41" t="n">
        <v>0</v>
      </c>
      <c r="J10" s="41" t="n">
        <v>0</v>
      </c>
      <c r="K10" s="41" t="n">
        <v>0</v>
      </c>
      <c r="L10" s="41" t="n">
        <v>0</v>
      </c>
    </row>
    <row r="11" customFormat="false" ht="15.75" hidden="false" customHeight="false" outlineLevel="0" collapsed="false">
      <c r="B11" s="39" t="s">
        <v>384</v>
      </c>
      <c r="C11" s="40" t="str">
        <f aca="false">IF(B11="","",IFERROR(INDEX('CLM &amp; IM Mapping'!$B$2:$B$270,MATCH(TRIM(B11),'CLM &amp; IM Mapping'!$A$2:$A$270,0)),"Not Mapped"))</f>
        <v>Not Mapped</v>
      </c>
      <c r="D11" s="40" t="str">
        <f aca="false">IF(B11="","",IFERROR(INDEX('CLM &amp; IM Mapping'!$C$2:$C$270,MATCH(TRIM(B11),'CLM &amp; IM Mapping'!$A$2:$A$270,0)),"Not Mapped"))</f>
        <v>Not Mapped</v>
      </c>
      <c r="E11" s="41" t="n">
        <v>0</v>
      </c>
      <c r="F11" s="41" t="n">
        <v>0</v>
      </c>
      <c r="G11" s="41" t="n">
        <v>0</v>
      </c>
      <c r="H11" s="41" t="n">
        <v>0</v>
      </c>
      <c r="I11" s="41" t="n">
        <v>0</v>
      </c>
      <c r="J11" s="41" t="n">
        <v>0</v>
      </c>
      <c r="K11" s="41" t="n">
        <v>0</v>
      </c>
      <c r="L11" s="41" t="n">
        <v>0</v>
      </c>
    </row>
    <row r="12" customFormat="false" ht="15.75" hidden="false" customHeight="false" outlineLevel="0" collapsed="false">
      <c r="B12" s="39" t="s">
        <v>385</v>
      </c>
      <c r="C12" s="40" t="str">
        <f aca="false">IF(B12="","",IFERROR(INDEX('CLM &amp; IM Mapping'!$B$2:$B$270,MATCH(TRIM(B12),'CLM &amp; IM Mapping'!$A$2:$A$270,0)),"Not Mapped"))</f>
        <v>Not Mapped</v>
      </c>
      <c r="D12" s="40" t="str">
        <f aca="false">IF(B12="","",IFERROR(INDEX('CLM &amp; IM Mapping'!$C$2:$C$270,MATCH(TRIM(B12),'CLM &amp; IM Mapping'!$A$2:$A$270,0)),"Not Mapped"))</f>
        <v>Not Mapped</v>
      </c>
      <c r="E12" s="41" t="n">
        <v>645</v>
      </c>
      <c r="F12" s="41" t="n">
        <v>0</v>
      </c>
      <c r="G12" s="41" t="n">
        <v>645</v>
      </c>
      <c r="H12" s="41" t="n">
        <v>0</v>
      </c>
      <c r="I12" s="41" t="n">
        <v>0</v>
      </c>
      <c r="J12" s="41" t="n">
        <v>0</v>
      </c>
      <c r="K12" s="41" t="n">
        <v>0</v>
      </c>
      <c r="L12" s="41" t="n">
        <v>0</v>
      </c>
    </row>
    <row r="13" customFormat="false" ht="15.75" hidden="false" customHeight="false" outlineLevel="0" collapsed="false">
      <c r="B13" s="39" t="s">
        <v>386</v>
      </c>
      <c r="C13" s="40" t="str">
        <f aca="false">IF(B13="","",IFERROR(INDEX('CLM &amp; IM Mapping'!$B$2:$B$270,MATCH(TRIM(B13),'CLM &amp; IM Mapping'!$A$2:$A$270,0)),"Not Mapped"))</f>
        <v>Not Mapped</v>
      </c>
      <c r="D13" s="40" t="str">
        <f aca="false">IF(B13="","",IFERROR(INDEX('CLM &amp; IM Mapping'!$C$2:$C$270,MATCH(TRIM(B13),'CLM &amp; IM Mapping'!$A$2:$A$270,0)),"Not Mapped"))</f>
        <v>Not Mapped</v>
      </c>
      <c r="E13" s="41" t="n">
        <v>713</v>
      </c>
      <c r="F13" s="41" t="n">
        <v>0</v>
      </c>
      <c r="G13" s="41" t="n">
        <v>713</v>
      </c>
      <c r="H13" s="41" t="n">
        <v>0</v>
      </c>
      <c r="I13" s="41" t="n">
        <v>0</v>
      </c>
      <c r="J13" s="41" t="n">
        <v>0</v>
      </c>
      <c r="K13" s="41" t="n">
        <v>0</v>
      </c>
      <c r="L13" s="41" t="n">
        <v>0</v>
      </c>
    </row>
    <row r="14" customFormat="false" ht="15.75" hidden="false" customHeight="false" outlineLevel="0" collapsed="false">
      <c r="B14" s="39" t="s">
        <v>387</v>
      </c>
      <c r="C14" s="40" t="str">
        <f aca="false">IF(B14="","",IFERROR(INDEX('CLM &amp; IM Mapping'!$B$2:$B$270,MATCH(TRIM(B14),'CLM &amp; IM Mapping'!$A$2:$A$270,0)),"Not Mapped"))</f>
        <v>Not Mapped</v>
      </c>
      <c r="D14" s="40" t="str">
        <f aca="false">IF(B14="","",IFERROR(INDEX('CLM &amp; IM Mapping'!$C$2:$C$270,MATCH(TRIM(B14),'CLM &amp; IM Mapping'!$A$2:$A$270,0)),"Not Mapped"))</f>
        <v>Not Mapped</v>
      </c>
      <c r="E14" s="41" t="n">
        <v>1388</v>
      </c>
      <c r="F14" s="41" t="n">
        <v>0</v>
      </c>
      <c r="G14" s="41" t="n">
        <v>1388</v>
      </c>
      <c r="H14" s="41" t="n">
        <v>0</v>
      </c>
      <c r="I14" s="41" t="n">
        <v>0</v>
      </c>
      <c r="J14" s="41" t="n">
        <v>0</v>
      </c>
      <c r="K14" s="41" t="n">
        <v>0</v>
      </c>
      <c r="L14" s="41" t="n">
        <v>0</v>
      </c>
    </row>
    <row r="15" customFormat="false" ht="15.75" hidden="false" customHeight="false" outlineLevel="0" collapsed="false">
      <c r="B15" s="39" t="s">
        <v>388</v>
      </c>
      <c r="C15" s="40" t="str">
        <f aca="false">IF(B15="","",IFERROR(INDEX('CLM &amp; IM Mapping'!$B$2:$B$270,MATCH(TRIM(B15),'CLM &amp; IM Mapping'!$A$2:$A$270,0)),"Not Mapped"))</f>
        <v>Not Mapped</v>
      </c>
      <c r="D15" s="40" t="str">
        <f aca="false">IF(B15="","",IFERROR(INDEX('CLM &amp; IM Mapping'!$C$2:$C$270,MATCH(TRIM(B15),'CLM &amp; IM Mapping'!$A$2:$A$270,0)),"Not Mapped"))</f>
        <v>Not Mapped</v>
      </c>
      <c r="E15" s="41" t="n">
        <v>360</v>
      </c>
      <c r="F15" s="41" t="n">
        <v>360</v>
      </c>
      <c r="G15" s="41" t="n">
        <v>0</v>
      </c>
      <c r="H15" s="41" t="n">
        <v>0</v>
      </c>
      <c r="I15" s="41" t="n">
        <v>0</v>
      </c>
      <c r="J15" s="41" t="n">
        <v>0</v>
      </c>
      <c r="K15" s="41" t="n">
        <v>0</v>
      </c>
      <c r="L15" s="41" t="n">
        <v>0</v>
      </c>
    </row>
    <row r="16" customFormat="false" ht="15.75" hidden="false" customHeight="false" outlineLevel="0" collapsed="false">
      <c r="B16" s="39" t="s">
        <v>389</v>
      </c>
      <c r="C16" s="40" t="str">
        <f aca="false">IF(B16="","",IFERROR(INDEX('CLM &amp; IM Mapping'!$B$2:$B$270,MATCH(TRIM(B16),'CLM &amp; IM Mapping'!$A$2:$A$270,0)),"Not Mapped"))</f>
        <v>Not Mapped</v>
      </c>
      <c r="D16" s="40" t="str">
        <f aca="false">IF(B16="","",IFERROR(INDEX('CLM &amp; IM Mapping'!$C$2:$C$270,MATCH(TRIM(B16),'CLM &amp; IM Mapping'!$A$2:$A$270,0)),"Not Mapped"))</f>
        <v>Not Mapped</v>
      </c>
      <c r="E16" s="41" t="n">
        <v>0</v>
      </c>
      <c r="F16" s="41" t="n">
        <v>0</v>
      </c>
      <c r="G16" s="41" t="n">
        <v>0</v>
      </c>
      <c r="H16" s="41" t="n">
        <v>0</v>
      </c>
      <c r="I16" s="41" t="n">
        <v>0</v>
      </c>
      <c r="J16" s="41" t="n">
        <v>0</v>
      </c>
      <c r="K16" s="41" t="n">
        <v>0</v>
      </c>
      <c r="L16" s="41" t="n">
        <v>0</v>
      </c>
    </row>
    <row r="17" customFormat="false" ht="15.75" hidden="false" customHeight="false" outlineLevel="0" collapsed="false">
      <c r="B17" s="39" t="s">
        <v>390</v>
      </c>
      <c r="C17" s="40" t="str">
        <f aca="false">IF(B17="","",IFERROR(INDEX('CLM &amp; IM Mapping'!$B$2:$B$270,MATCH(TRIM(B17),'CLM &amp; IM Mapping'!$A$2:$A$270,0)),"Not Mapped"))</f>
        <v>Not Mapped</v>
      </c>
      <c r="D17" s="40" t="str">
        <f aca="false">IF(B17="","",IFERROR(INDEX('CLM &amp; IM Mapping'!$C$2:$C$270,MATCH(TRIM(B17),'CLM &amp; IM Mapping'!$A$2:$A$270,0)),"Not Mapped"))</f>
        <v>Not Mapped</v>
      </c>
      <c r="E17" s="41" t="n">
        <v>17</v>
      </c>
      <c r="F17" s="41" t="n">
        <v>0</v>
      </c>
      <c r="G17" s="41" t="n">
        <v>0</v>
      </c>
      <c r="H17" s="41" t="n">
        <v>17</v>
      </c>
      <c r="I17" s="41" t="n">
        <v>0</v>
      </c>
      <c r="J17" s="41" t="n">
        <v>0</v>
      </c>
      <c r="K17" s="41" t="n">
        <v>0</v>
      </c>
      <c r="L17" s="41" t="n">
        <v>17</v>
      </c>
    </row>
    <row r="18" customFormat="false" ht="15.75" hidden="false" customHeight="false" outlineLevel="0" collapsed="false">
      <c r="B18" s="39" t="s">
        <v>391</v>
      </c>
      <c r="C18" s="40" t="str">
        <f aca="false">IF(B18="","",IFERROR(INDEX('CLM &amp; IM Mapping'!$B$2:$B$270,MATCH(TRIM(B18),'CLM &amp; IM Mapping'!$A$2:$A$270,0)),"Not Mapped"))</f>
        <v>Not Mapped</v>
      </c>
      <c r="D18" s="40" t="str">
        <f aca="false">IF(B18="","",IFERROR(INDEX('CLM &amp; IM Mapping'!$C$2:$C$270,MATCH(TRIM(B18),'CLM &amp; IM Mapping'!$A$2:$A$270,0)),"Not Mapped"))</f>
        <v>Not Mapped</v>
      </c>
      <c r="E18" s="41" t="n">
        <v>31</v>
      </c>
      <c r="F18" s="41" t="n">
        <v>0</v>
      </c>
      <c r="G18" s="41" t="n">
        <v>31</v>
      </c>
      <c r="H18" s="41" t="n">
        <v>0</v>
      </c>
      <c r="I18" s="41" t="n">
        <v>0</v>
      </c>
      <c r="J18" s="41" t="n">
        <v>0</v>
      </c>
      <c r="K18" s="41" t="n">
        <v>0</v>
      </c>
      <c r="L18" s="41" t="n">
        <v>0</v>
      </c>
    </row>
    <row r="19" customFormat="false" ht="15.75" hidden="false" customHeight="false" outlineLevel="0" collapsed="false">
      <c r="B19" s="39" t="s">
        <v>392</v>
      </c>
      <c r="C19" s="40" t="str">
        <f aca="false">IF(B19="","",IFERROR(INDEX('CLM &amp; IM Mapping'!$B$2:$B$270,MATCH(TRIM(B19),'CLM &amp; IM Mapping'!$A$2:$A$270,0)),"Not Mapped"))</f>
        <v>Not Mapped</v>
      </c>
      <c r="D19" s="40" t="str">
        <f aca="false">IF(B19="","",IFERROR(INDEX('CLM &amp; IM Mapping'!$C$2:$C$270,MATCH(TRIM(B19),'CLM &amp; IM Mapping'!$A$2:$A$270,0)),"Not Mapped"))</f>
        <v>Not Mapped</v>
      </c>
      <c r="E19" s="41" t="n">
        <v>0</v>
      </c>
      <c r="F19" s="41" t="n">
        <v>0</v>
      </c>
      <c r="G19" s="41" t="n">
        <v>0</v>
      </c>
      <c r="H19" s="41" t="n">
        <v>0</v>
      </c>
      <c r="I19" s="41" t="n">
        <v>0</v>
      </c>
      <c r="J19" s="41" t="n">
        <v>0</v>
      </c>
      <c r="K19" s="41" t="n">
        <v>0</v>
      </c>
      <c r="L19" s="41" t="n">
        <v>0</v>
      </c>
    </row>
    <row r="20" customFormat="false" ht="15.75" hidden="false" customHeight="false" outlineLevel="0" collapsed="false">
      <c r="B20" s="39" t="s">
        <v>393</v>
      </c>
      <c r="C20" s="40" t="str">
        <f aca="false">IF(B20="","",IFERROR(INDEX('CLM &amp; IM Mapping'!$B$2:$B$270,MATCH(TRIM(B20),'CLM &amp; IM Mapping'!$A$2:$A$270,0)),"Not Mapped"))</f>
        <v>Not Mapped</v>
      </c>
      <c r="D20" s="40" t="str">
        <f aca="false">IF(B20="","",IFERROR(INDEX('CLM &amp; IM Mapping'!$C$2:$C$270,MATCH(TRIM(B20),'CLM &amp; IM Mapping'!$A$2:$A$270,0)),"Not Mapped"))</f>
        <v>Not Mapped</v>
      </c>
      <c r="E20" s="41" t="n">
        <v>0</v>
      </c>
      <c r="F20" s="41" t="n">
        <v>0</v>
      </c>
      <c r="G20" s="41" t="n">
        <v>0</v>
      </c>
      <c r="H20" s="41" t="n">
        <v>0</v>
      </c>
      <c r="I20" s="41" t="n">
        <v>0</v>
      </c>
      <c r="J20" s="41" t="n">
        <v>0</v>
      </c>
      <c r="K20" s="41" t="n">
        <v>0</v>
      </c>
      <c r="L20" s="41" t="n">
        <v>0</v>
      </c>
    </row>
    <row r="21" customFormat="false" ht="15.75" hidden="false" customHeight="false" outlineLevel="0" collapsed="false">
      <c r="B21" s="39" t="s">
        <v>394</v>
      </c>
      <c r="C21" s="40" t="str">
        <f aca="false">IF(B21="","",IFERROR(INDEX('CLM &amp; IM Mapping'!$B$2:$B$270,MATCH(TRIM(B21),'CLM &amp; IM Mapping'!$A$2:$A$270,0)),"Not Mapped"))</f>
        <v>Not Mapped</v>
      </c>
      <c r="D21" s="40" t="str">
        <f aca="false">IF(B21="","",IFERROR(INDEX('CLM &amp; IM Mapping'!$C$2:$C$270,MATCH(TRIM(B21),'CLM &amp; IM Mapping'!$A$2:$A$270,0)),"Not Mapped"))</f>
        <v>Not Mapped</v>
      </c>
      <c r="E21" s="41" t="n">
        <v>0</v>
      </c>
      <c r="F21" s="41" t="n">
        <v>0</v>
      </c>
      <c r="G21" s="41" t="n">
        <v>0</v>
      </c>
      <c r="H21" s="41" t="n">
        <v>0</v>
      </c>
      <c r="I21" s="41" t="n">
        <v>0</v>
      </c>
      <c r="J21" s="41" t="n">
        <v>0</v>
      </c>
      <c r="K21" s="41" t="n">
        <v>0</v>
      </c>
      <c r="L21" s="41" t="n">
        <v>0</v>
      </c>
    </row>
    <row r="22" customFormat="false" ht="15.75" hidden="false" customHeight="false" outlineLevel="0" collapsed="false">
      <c r="B22" s="39" t="s">
        <v>395</v>
      </c>
      <c r="C22" s="40" t="str">
        <f aca="false">IF(B22="","",IFERROR(INDEX('CLM &amp; IM Mapping'!$B$2:$B$270,MATCH(TRIM(B22),'CLM &amp; IM Mapping'!$A$2:$A$270,0)),"Not Mapped"))</f>
        <v>Not Mapped</v>
      </c>
      <c r="D22" s="40" t="str">
        <f aca="false">IF(B22="","",IFERROR(INDEX('CLM &amp; IM Mapping'!$C$2:$C$270,MATCH(TRIM(B22),'CLM &amp; IM Mapping'!$A$2:$A$270,0)),"Not Mapped"))</f>
        <v>Not Mapped</v>
      </c>
      <c r="E22" s="41" t="n">
        <v>10</v>
      </c>
      <c r="F22" s="41" t="n">
        <v>0</v>
      </c>
      <c r="G22" s="41" t="n">
        <v>0</v>
      </c>
      <c r="H22" s="41" t="n">
        <v>10</v>
      </c>
      <c r="I22" s="41" t="n">
        <v>0</v>
      </c>
      <c r="J22" s="41" t="n">
        <v>0</v>
      </c>
      <c r="K22" s="41" t="n">
        <v>0</v>
      </c>
      <c r="L22" s="41" t="n">
        <v>10</v>
      </c>
    </row>
    <row r="23" customFormat="false" ht="15.75" hidden="false" customHeight="false" outlineLevel="0" collapsed="false">
      <c r="B23" s="39" t="s">
        <v>396</v>
      </c>
      <c r="C23" s="40" t="str">
        <f aca="false">IF(B23="","",IFERROR(INDEX('CLM &amp; IM Mapping'!$B$2:$B$270,MATCH(TRIM(B23),'CLM &amp; IM Mapping'!$A$2:$A$270,0)),"Not Mapped"))</f>
        <v>Not Mapped</v>
      </c>
      <c r="D23" s="40" t="str">
        <f aca="false">IF(B23="","",IFERROR(INDEX('CLM &amp; IM Mapping'!$C$2:$C$270,MATCH(TRIM(B23),'CLM &amp; IM Mapping'!$A$2:$A$270,0)),"Not Mapped"))</f>
        <v>Not Mapped</v>
      </c>
      <c r="E23" s="41" t="n">
        <v>12</v>
      </c>
      <c r="F23" s="41" t="n">
        <v>0</v>
      </c>
      <c r="G23" s="41" t="n">
        <v>12</v>
      </c>
      <c r="H23" s="41" t="n">
        <v>0</v>
      </c>
      <c r="I23" s="41" t="n">
        <v>0</v>
      </c>
      <c r="J23" s="41" t="n">
        <v>0</v>
      </c>
      <c r="K23" s="41" t="n">
        <v>0</v>
      </c>
      <c r="L23" s="41" t="n">
        <v>0</v>
      </c>
    </row>
    <row r="24" customFormat="false" ht="15.75" hidden="false" customHeight="false" outlineLevel="0" collapsed="false">
      <c r="B24" s="39" t="s">
        <v>397</v>
      </c>
      <c r="C24" s="40" t="str">
        <f aca="false">IF(B24="","",IFERROR(INDEX('CLM &amp; IM Mapping'!$B$2:$B$270,MATCH(TRIM(B24),'CLM &amp; IM Mapping'!$A$2:$A$270,0)),"Not Mapped"))</f>
        <v>Not Mapped</v>
      </c>
      <c r="D24" s="40" t="str">
        <f aca="false">IF(B24="","",IFERROR(INDEX('CLM &amp; IM Mapping'!$C$2:$C$270,MATCH(TRIM(B24),'CLM &amp; IM Mapping'!$A$2:$A$270,0)),"Not Mapped"))</f>
        <v>Not Mapped</v>
      </c>
      <c r="E24" s="41" t="n">
        <v>853</v>
      </c>
      <c r="F24" s="41" t="n">
        <v>2</v>
      </c>
      <c r="G24" s="41" t="n">
        <v>851</v>
      </c>
      <c r="H24" s="41" t="n">
        <v>0</v>
      </c>
      <c r="I24" s="41" t="n">
        <v>0</v>
      </c>
      <c r="J24" s="41" t="n">
        <v>0</v>
      </c>
      <c r="K24" s="41" t="n">
        <v>0</v>
      </c>
      <c r="L24" s="41" t="n">
        <v>0</v>
      </c>
    </row>
    <row r="25" customFormat="false" ht="15.75" hidden="false" customHeight="false" outlineLevel="0" collapsed="false">
      <c r="B25" s="39" t="s">
        <v>398</v>
      </c>
      <c r="C25" s="40" t="str">
        <f aca="false">IF(B25="","",IFERROR(INDEX('CLM &amp; IM Mapping'!$B$2:$B$270,MATCH(TRIM(B25),'CLM &amp; IM Mapping'!$A$2:$A$270,0)),"Not Mapped"))</f>
        <v>Not Mapped</v>
      </c>
      <c r="D25" s="40" t="str">
        <f aca="false">IF(B25="","",IFERROR(INDEX('CLM &amp; IM Mapping'!$C$2:$C$270,MATCH(TRIM(B25),'CLM &amp; IM Mapping'!$A$2:$A$270,0)),"Not Mapped"))</f>
        <v>Not Mapped</v>
      </c>
      <c r="E25" s="41" t="n">
        <v>1361</v>
      </c>
      <c r="F25" s="41" t="n">
        <v>0</v>
      </c>
      <c r="G25" s="41" t="n">
        <v>1361</v>
      </c>
      <c r="H25" s="41" t="n">
        <v>0</v>
      </c>
      <c r="I25" s="41" t="n">
        <v>0</v>
      </c>
      <c r="J25" s="41" t="n">
        <v>0</v>
      </c>
      <c r="K25" s="41" t="n">
        <v>0</v>
      </c>
      <c r="L25" s="41" t="n">
        <v>0</v>
      </c>
    </row>
    <row r="26" customFormat="false" ht="15.75" hidden="false" customHeight="false" outlineLevel="0" collapsed="false">
      <c r="B26" s="39" t="s">
        <v>399</v>
      </c>
      <c r="C26" s="40" t="str">
        <f aca="false">IF(B26="","",IFERROR(INDEX('CLM &amp; IM Mapping'!$B$2:$B$270,MATCH(TRIM(B26),'CLM &amp; IM Mapping'!$A$2:$A$270,0)),"Not Mapped"))</f>
        <v>Not Mapped</v>
      </c>
      <c r="D26" s="40" t="str">
        <f aca="false">IF(B26="","",IFERROR(INDEX('CLM &amp; IM Mapping'!$C$2:$C$270,MATCH(TRIM(B26),'CLM &amp; IM Mapping'!$A$2:$A$270,0)),"Not Mapped"))</f>
        <v>Not Mapped</v>
      </c>
      <c r="E26" s="41" t="n">
        <v>662</v>
      </c>
      <c r="F26" s="41" t="n">
        <v>0</v>
      </c>
      <c r="G26" s="41" t="n">
        <v>0</v>
      </c>
      <c r="H26" s="41" t="n">
        <v>639</v>
      </c>
      <c r="I26" s="41" t="n">
        <v>0</v>
      </c>
      <c r="J26" s="41" t="n">
        <v>23</v>
      </c>
      <c r="K26" s="41" t="n">
        <v>0</v>
      </c>
      <c r="L26" s="41" t="n">
        <v>662</v>
      </c>
    </row>
    <row r="27" customFormat="false" ht="15.75" hidden="false" customHeight="false" outlineLevel="0" collapsed="false">
      <c r="B27" s="39" t="s">
        <v>400</v>
      </c>
      <c r="C27" s="40" t="str">
        <f aca="false">IF(B27="","",IFERROR(INDEX('CLM &amp; IM Mapping'!$B$2:$B$270,MATCH(TRIM(B27),'CLM &amp; IM Mapping'!$A$2:$A$270,0)),"Not Mapped"))</f>
        <v>Not Mapped</v>
      </c>
      <c r="D27" s="40" t="str">
        <f aca="false">IF(B27="","",IFERROR(INDEX('CLM &amp; IM Mapping'!$C$2:$C$270,MATCH(TRIM(B27),'CLM &amp; IM Mapping'!$A$2:$A$270,0)),"Not Mapped"))</f>
        <v>Not Mapped</v>
      </c>
      <c r="E27" s="41" t="n">
        <v>1413</v>
      </c>
      <c r="F27" s="41" t="n">
        <v>0</v>
      </c>
      <c r="G27" s="41" t="n">
        <v>1413</v>
      </c>
      <c r="H27" s="41" t="n">
        <v>0</v>
      </c>
      <c r="I27" s="41" t="n">
        <v>0</v>
      </c>
      <c r="J27" s="41" t="n">
        <v>0</v>
      </c>
      <c r="K27" s="41" t="n">
        <v>0</v>
      </c>
      <c r="L27" s="41" t="n">
        <v>0</v>
      </c>
    </row>
    <row r="28" customFormat="false" ht="15.75" hidden="false" customHeight="false" outlineLevel="0" collapsed="false">
      <c r="B28" s="39" t="s">
        <v>401</v>
      </c>
      <c r="C28" s="40" t="str">
        <f aca="false">IF(B28="","",IFERROR(INDEX('CLM &amp; IM Mapping'!$B$2:$B$270,MATCH(TRIM(B28),'CLM &amp; IM Mapping'!$A$2:$A$270,0)),"Not Mapped"))</f>
        <v>Not Mapped</v>
      </c>
      <c r="D28" s="40" t="str">
        <f aca="false">IF(B28="","",IFERROR(INDEX('CLM &amp; IM Mapping'!$C$2:$C$270,MATCH(TRIM(B28),'CLM &amp; IM Mapping'!$A$2:$A$270,0)),"Not Mapped"))</f>
        <v>Not Mapped</v>
      </c>
      <c r="E28" s="41" t="n">
        <v>6680</v>
      </c>
      <c r="F28" s="41" t="n">
        <v>0</v>
      </c>
      <c r="G28" s="41" t="n">
        <v>4029</v>
      </c>
      <c r="H28" s="41" t="n">
        <v>31</v>
      </c>
      <c r="I28" s="41" t="n">
        <v>1409</v>
      </c>
      <c r="J28" s="41" t="n">
        <v>0</v>
      </c>
      <c r="K28" s="41" t="n">
        <v>1211</v>
      </c>
      <c r="L28" s="41" t="n">
        <v>2651</v>
      </c>
    </row>
    <row r="29" customFormat="false" ht="15.75" hidden="false" customHeight="false" outlineLevel="0" collapsed="false">
      <c r="B29" s="39" t="s">
        <v>402</v>
      </c>
      <c r="C29" s="40" t="str">
        <f aca="false">IF(B29="","",IFERROR(INDEX('CLM &amp; IM Mapping'!$B$2:$B$270,MATCH(TRIM(B29),'CLM &amp; IM Mapping'!$A$2:$A$270,0)),"Not Mapped"))</f>
        <v>Not Mapped</v>
      </c>
      <c r="D29" s="40" t="str">
        <f aca="false">IF(B29="","",IFERROR(INDEX('CLM &amp; IM Mapping'!$C$2:$C$270,MATCH(TRIM(B29),'CLM &amp; IM Mapping'!$A$2:$A$270,0)),"Not Mapped"))</f>
        <v>Not Mapped</v>
      </c>
      <c r="E29" s="41" t="n">
        <v>0</v>
      </c>
      <c r="F29" s="41" t="n">
        <v>0</v>
      </c>
      <c r="G29" s="41" t="n">
        <v>0</v>
      </c>
      <c r="H29" s="41" t="n">
        <v>0</v>
      </c>
      <c r="I29" s="41" t="n">
        <v>0</v>
      </c>
      <c r="J29" s="41" t="n">
        <v>0</v>
      </c>
      <c r="K29" s="41" t="n">
        <v>0</v>
      </c>
      <c r="L29" s="41" t="n">
        <v>0</v>
      </c>
    </row>
    <row r="30" customFormat="false" ht="15.75" hidden="false" customHeight="false" outlineLevel="0" collapsed="false">
      <c r="B30" s="39" t="s">
        <v>403</v>
      </c>
      <c r="C30" s="40" t="str">
        <f aca="false">IF(B30="","",IFERROR(INDEX('CLM &amp; IM Mapping'!$B$2:$B$270,MATCH(TRIM(B30),'CLM &amp; IM Mapping'!$A$2:$A$270,0)),"Not Mapped"))</f>
        <v>Not Mapped</v>
      </c>
      <c r="D30" s="40" t="str">
        <f aca="false">IF(B30="","",IFERROR(INDEX('CLM &amp; IM Mapping'!$C$2:$C$270,MATCH(TRIM(B30),'CLM &amp; IM Mapping'!$A$2:$A$270,0)),"Not Mapped"))</f>
        <v>Not Mapped</v>
      </c>
      <c r="E30" s="41" t="n">
        <v>0</v>
      </c>
      <c r="F30" s="41" t="n">
        <v>0</v>
      </c>
      <c r="G30" s="41" t="n">
        <v>0</v>
      </c>
      <c r="H30" s="41" t="n">
        <v>0</v>
      </c>
      <c r="I30" s="41" t="n">
        <v>0</v>
      </c>
      <c r="J30" s="41" t="n">
        <v>0</v>
      </c>
      <c r="K30" s="41" t="n">
        <v>0</v>
      </c>
      <c r="L30" s="41" t="n">
        <v>0</v>
      </c>
    </row>
    <row r="31" customFormat="false" ht="15.75" hidden="false" customHeight="false" outlineLevel="0" collapsed="false">
      <c r="B31" s="39" t="s">
        <v>404</v>
      </c>
      <c r="C31" s="40" t="str">
        <f aca="false">IF(B31="","",IFERROR(INDEX('CLM &amp; IM Mapping'!$B$2:$B$270,MATCH(TRIM(B31),'CLM &amp; IM Mapping'!$A$2:$A$270,0)),"Not Mapped"))</f>
        <v>Not Mapped</v>
      </c>
      <c r="D31" s="40" t="str">
        <f aca="false">IF(B31="","",IFERROR(INDEX('CLM &amp; IM Mapping'!$C$2:$C$270,MATCH(TRIM(B31),'CLM &amp; IM Mapping'!$A$2:$A$270,0)),"Not Mapped"))</f>
        <v>Not Mapped</v>
      </c>
      <c r="E31" s="41" t="n">
        <v>0</v>
      </c>
      <c r="F31" s="41" t="n">
        <v>0</v>
      </c>
      <c r="G31" s="41" t="n">
        <v>0</v>
      </c>
      <c r="H31" s="41" t="n">
        <v>0</v>
      </c>
      <c r="I31" s="41" t="n">
        <v>0</v>
      </c>
      <c r="J31" s="41" t="n">
        <v>0</v>
      </c>
      <c r="K31" s="41" t="n">
        <v>0</v>
      </c>
      <c r="L31" s="41" t="n">
        <v>0</v>
      </c>
    </row>
    <row r="32" customFormat="false" ht="15.75" hidden="false" customHeight="false" outlineLevel="0" collapsed="false">
      <c r="B32" s="39" t="s">
        <v>405</v>
      </c>
      <c r="C32" s="40" t="str">
        <f aca="false">IF(B32="","",IFERROR(INDEX('CLM &amp; IM Mapping'!$B$2:$B$270,MATCH(TRIM(B32),'CLM &amp; IM Mapping'!$A$2:$A$270,0)),"Not Mapped"))</f>
        <v>Not Mapped</v>
      </c>
      <c r="D32" s="40" t="str">
        <f aca="false">IF(B32="","",IFERROR(INDEX('CLM &amp; IM Mapping'!$C$2:$C$270,MATCH(TRIM(B32),'CLM &amp; IM Mapping'!$A$2:$A$270,0)),"Not Mapped"))</f>
        <v>Not Mapped</v>
      </c>
      <c r="E32" s="41" t="n">
        <v>2667</v>
      </c>
      <c r="F32" s="41" t="n">
        <v>0</v>
      </c>
      <c r="G32" s="41" t="n">
        <v>2667</v>
      </c>
      <c r="H32" s="41" t="n">
        <v>0</v>
      </c>
      <c r="I32" s="41" t="n">
        <v>0</v>
      </c>
      <c r="J32" s="41" t="n">
        <v>0</v>
      </c>
      <c r="K32" s="41" t="n">
        <v>0</v>
      </c>
      <c r="L32" s="41" t="n">
        <v>0</v>
      </c>
    </row>
    <row r="33" customFormat="false" ht="15.75" hidden="false" customHeight="false" outlineLevel="0" collapsed="false">
      <c r="B33" s="39" t="s">
        <v>406</v>
      </c>
      <c r="C33" s="40" t="str">
        <f aca="false">IF(B33="","",IFERROR(INDEX('CLM &amp; IM Mapping'!$B$2:$B$270,MATCH(TRIM(B33),'CLM &amp; IM Mapping'!$A$2:$A$270,0)),"Not Mapped"))</f>
        <v>Not Mapped</v>
      </c>
      <c r="D33" s="40" t="str">
        <f aca="false">IF(B33="","",IFERROR(INDEX('CLM &amp; IM Mapping'!$C$2:$C$270,MATCH(TRIM(B33),'CLM &amp; IM Mapping'!$A$2:$A$270,0)),"Not Mapped"))</f>
        <v>Not Mapped</v>
      </c>
      <c r="E33" s="41" t="n">
        <v>670</v>
      </c>
      <c r="F33" s="41" t="n">
        <v>0</v>
      </c>
      <c r="G33" s="41" t="n">
        <v>670</v>
      </c>
      <c r="H33" s="41" t="n">
        <v>0</v>
      </c>
      <c r="I33" s="41" t="n">
        <v>0</v>
      </c>
      <c r="J33" s="41" t="n">
        <v>0</v>
      </c>
      <c r="K33" s="41" t="n">
        <v>0</v>
      </c>
      <c r="L33" s="41" t="n">
        <v>0</v>
      </c>
    </row>
    <row r="34" customFormat="false" ht="15.75" hidden="false" customHeight="false" outlineLevel="0" collapsed="false">
      <c r="B34" s="39" t="s">
        <v>407</v>
      </c>
      <c r="C34" s="40" t="str">
        <f aca="false">IF(B34="","",IFERROR(INDEX('CLM &amp; IM Mapping'!$B$2:$B$270,MATCH(TRIM(B34),'CLM &amp; IM Mapping'!$A$2:$A$270,0)),"Not Mapped"))</f>
        <v>Not Mapped</v>
      </c>
      <c r="D34" s="40" t="str">
        <f aca="false">IF(B34="","",IFERROR(INDEX('CLM &amp; IM Mapping'!$C$2:$C$270,MATCH(TRIM(B34),'CLM &amp; IM Mapping'!$A$2:$A$270,0)),"Not Mapped"))</f>
        <v>Not Mapped</v>
      </c>
      <c r="E34" s="41" t="n">
        <v>1572</v>
      </c>
      <c r="F34" s="41" t="n">
        <v>0</v>
      </c>
      <c r="G34" s="41" t="n">
        <v>0</v>
      </c>
      <c r="H34" s="41" t="n">
        <v>1572</v>
      </c>
      <c r="I34" s="41" t="n">
        <v>0</v>
      </c>
      <c r="J34" s="41" t="n">
        <v>0</v>
      </c>
      <c r="K34" s="41" t="n">
        <v>0</v>
      </c>
      <c r="L34" s="41" t="n">
        <v>1572</v>
      </c>
    </row>
    <row r="35" customFormat="false" ht="15.75" hidden="false" customHeight="false" outlineLevel="0" collapsed="false">
      <c r="B35" s="39" t="s">
        <v>408</v>
      </c>
      <c r="C35" s="40" t="str">
        <f aca="false">IF(B35="","",IFERROR(INDEX('CLM &amp; IM Mapping'!$B$2:$B$270,MATCH(TRIM(B35),'CLM &amp; IM Mapping'!$A$2:$A$270,0)),"Not Mapped"))</f>
        <v>Not Mapped</v>
      </c>
      <c r="D35" s="40" t="str">
        <f aca="false">IF(B35="","",IFERROR(INDEX('CLM &amp; IM Mapping'!$C$2:$C$270,MATCH(TRIM(B35),'CLM &amp; IM Mapping'!$A$2:$A$270,0)),"Not Mapped"))</f>
        <v>Not Mapped</v>
      </c>
      <c r="E35" s="41" t="n">
        <v>0</v>
      </c>
      <c r="F35" s="41" t="n">
        <v>0</v>
      </c>
      <c r="G35" s="41" t="n">
        <v>0</v>
      </c>
      <c r="H35" s="41" t="n">
        <v>0</v>
      </c>
      <c r="I35" s="41" t="n">
        <v>0</v>
      </c>
      <c r="J35" s="41" t="n">
        <v>0</v>
      </c>
      <c r="K35" s="41" t="n">
        <v>0</v>
      </c>
      <c r="L35" s="41" t="n">
        <v>0</v>
      </c>
    </row>
    <row r="36" customFormat="false" ht="15.75" hidden="false" customHeight="false" outlineLevel="0" collapsed="false">
      <c r="B36" s="39" t="s">
        <v>409</v>
      </c>
      <c r="C36" s="40" t="str">
        <f aca="false">IF(B36="","",IFERROR(INDEX('CLM &amp; IM Mapping'!$B$2:$B$270,MATCH(TRIM(B36),'CLM &amp; IM Mapping'!$A$2:$A$270,0)),"Not Mapped"))</f>
        <v>Not Mapped</v>
      </c>
      <c r="D36" s="40" t="str">
        <f aca="false">IF(B36="","",IFERROR(INDEX('CLM &amp; IM Mapping'!$C$2:$C$270,MATCH(TRIM(B36),'CLM &amp; IM Mapping'!$A$2:$A$270,0)),"Not Mapped"))</f>
        <v>Not Mapped</v>
      </c>
      <c r="E36" s="41" t="n">
        <v>0</v>
      </c>
      <c r="F36" s="41" t="n">
        <v>0</v>
      </c>
      <c r="G36" s="41" t="n">
        <v>0</v>
      </c>
      <c r="H36" s="41" t="n">
        <v>0</v>
      </c>
      <c r="I36" s="41" t="n">
        <v>0</v>
      </c>
      <c r="J36" s="41" t="n">
        <v>0</v>
      </c>
      <c r="K36" s="41" t="n">
        <v>0</v>
      </c>
      <c r="L36" s="41" t="n">
        <v>0</v>
      </c>
    </row>
    <row r="37" customFormat="false" ht="15.75" hidden="false" customHeight="false" outlineLevel="0" collapsed="false">
      <c r="B37" s="39" t="s">
        <v>410</v>
      </c>
      <c r="C37" s="40" t="str">
        <f aca="false">IF(B37="","",IFERROR(INDEX('CLM &amp; IM Mapping'!$B$2:$B$270,MATCH(TRIM(B37),'CLM &amp; IM Mapping'!$A$2:$A$270,0)),"Not Mapped"))</f>
        <v>Not Mapped</v>
      </c>
      <c r="D37" s="40" t="str">
        <f aca="false">IF(B37="","",IFERROR(INDEX('CLM &amp; IM Mapping'!$C$2:$C$270,MATCH(TRIM(B37),'CLM &amp; IM Mapping'!$A$2:$A$270,0)),"Not Mapped"))</f>
        <v>Not Mapped</v>
      </c>
      <c r="E37" s="41" t="n">
        <v>5486</v>
      </c>
      <c r="F37" s="41" t="n">
        <v>1170</v>
      </c>
      <c r="G37" s="41" t="n">
        <v>4316</v>
      </c>
      <c r="H37" s="41" t="n">
        <v>0</v>
      </c>
      <c r="I37" s="41" t="n">
        <v>0</v>
      </c>
      <c r="J37" s="41" t="n">
        <v>0</v>
      </c>
      <c r="K37" s="41" t="n">
        <v>0</v>
      </c>
      <c r="L37" s="41" t="n">
        <v>0</v>
      </c>
    </row>
    <row r="38" customFormat="false" ht="15.75" hidden="false" customHeight="false" outlineLevel="0" collapsed="false">
      <c r="B38" s="39" t="s">
        <v>411</v>
      </c>
      <c r="C38" s="40" t="str">
        <f aca="false">IF(B38="","",IFERROR(INDEX('CLM &amp; IM Mapping'!$B$2:$B$270,MATCH(TRIM(B38),'CLM &amp; IM Mapping'!$A$2:$A$270,0)),"Not Mapped"))</f>
        <v>Not Mapped</v>
      </c>
      <c r="D38" s="40" t="str">
        <f aca="false">IF(B38="","",IFERROR(INDEX('CLM &amp; IM Mapping'!$C$2:$C$270,MATCH(TRIM(B38),'CLM &amp; IM Mapping'!$A$2:$A$270,0)),"Not Mapped"))</f>
        <v>Not Mapped</v>
      </c>
      <c r="E38" s="41" t="n">
        <v>0</v>
      </c>
      <c r="F38" s="41" t="n">
        <v>0</v>
      </c>
      <c r="G38" s="41" t="n">
        <v>0</v>
      </c>
      <c r="H38" s="41" t="n">
        <v>0</v>
      </c>
      <c r="I38" s="41" t="n">
        <v>0</v>
      </c>
      <c r="J38" s="41" t="n">
        <v>0</v>
      </c>
      <c r="K38" s="41" t="n">
        <v>0</v>
      </c>
      <c r="L38" s="41" t="n">
        <v>0</v>
      </c>
    </row>
    <row r="39" customFormat="false" ht="15.75" hidden="false" customHeight="false" outlineLevel="0" collapsed="false">
      <c r="B39" s="39" t="s">
        <v>412</v>
      </c>
      <c r="C39" s="40" t="str">
        <f aca="false">IF(B39="","",IFERROR(INDEX('CLM &amp; IM Mapping'!$B$2:$B$270,MATCH(TRIM(B39),'CLM &amp; IM Mapping'!$A$2:$A$270,0)),"Not Mapped"))</f>
        <v>Not Mapped</v>
      </c>
      <c r="D39" s="40" t="str">
        <f aca="false">IF(B39="","",IFERROR(INDEX('CLM &amp; IM Mapping'!$C$2:$C$270,MATCH(TRIM(B39),'CLM &amp; IM Mapping'!$A$2:$A$270,0)),"Not Mapped"))</f>
        <v>Not Mapped</v>
      </c>
      <c r="E39" s="41" t="n">
        <v>0</v>
      </c>
      <c r="F39" s="41" t="n">
        <v>0</v>
      </c>
      <c r="G39" s="41" t="n">
        <v>0</v>
      </c>
      <c r="H39" s="41" t="n">
        <v>0</v>
      </c>
      <c r="I39" s="41" t="n">
        <v>0</v>
      </c>
      <c r="J39" s="41" t="n">
        <v>0</v>
      </c>
      <c r="K39" s="41" t="n">
        <v>0</v>
      </c>
      <c r="L39" s="41" t="n">
        <v>0</v>
      </c>
    </row>
    <row r="40" customFormat="false" ht="15.75" hidden="false" customHeight="false" outlineLevel="0" collapsed="false">
      <c r="B40" s="39" t="s">
        <v>413</v>
      </c>
      <c r="C40" s="40" t="str">
        <f aca="false">IF(B40="","",IFERROR(INDEX('CLM &amp; IM Mapping'!$B$2:$B$270,MATCH(TRIM(B40),'CLM &amp; IM Mapping'!$A$2:$A$270,0)),"Not Mapped"))</f>
        <v>Not Mapped</v>
      </c>
      <c r="D40" s="40" t="str">
        <f aca="false">IF(B40="","",IFERROR(INDEX('CLM &amp; IM Mapping'!$C$2:$C$270,MATCH(TRIM(B40),'CLM &amp; IM Mapping'!$A$2:$A$270,0)),"Not Mapped"))</f>
        <v>Not Mapped</v>
      </c>
      <c r="E40" s="41" t="n">
        <v>2096</v>
      </c>
      <c r="F40" s="41" t="n">
        <v>0</v>
      </c>
      <c r="G40" s="41" t="n">
        <v>2096</v>
      </c>
      <c r="H40" s="41" t="n">
        <v>0</v>
      </c>
      <c r="I40" s="41" t="n">
        <v>0</v>
      </c>
      <c r="J40" s="41" t="n">
        <v>0</v>
      </c>
      <c r="K40" s="41" t="n">
        <v>0</v>
      </c>
      <c r="L40" s="41" t="n">
        <v>0</v>
      </c>
    </row>
    <row r="41" customFormat="false" ht="15.75" hidden="false" customHeight="false" outlineLevel="0" collapsed="false">
      <c r="B41" s="39" t="s">
        <v>414</v>
      </c>
      <c r="C41" s="40" t="str">
        <f aca="false">IF(B41="","",IFERROR(INDEX('CLM &amp; IM Mapping'!$B$2:$B$270,MATCH(TRIM(B41),'CLM &amp; IM Mapping'!$A$2:$A$270,0)),"Not Mapped"))</f>
        <v>Not Mapped</v>
      </c>
      <c r="D41" s="40" t="str">
        <f aca="false">IF(B41="","",IFERROR(INDEX('CLM &amp; IM Mapping'!$C$2:$C$270,MATCH(TRIM(B41),'CLM &amp; IM Mapping'!$A$2:$A$270,0)),"Not Mapped"))</f>
        <v>Not Mapped</v>
      </c>
      <c r="E41" s="41" t="n">
        <v>2290</v>
      </c>
      <c r="F41" s="41" t="n">
        <v>0</v>
      </c>
      <c r="G41" s="41" t="n">
        <v>2290</v>
      </c>
      <c r="H41" s="41" t="n">
        <v>0</v>
      </c>
      <c r="I41" s="41" t="n">
        <v>0</v>
      </c>
      <c r="J41" s="41" t="n">
        <v>0</v>
      </c>
      <c r="K41" s="41" t="n">
        <v>0</v>
      </c>
      <c r="L41" s="41" t="n">
        <v>0</v>
      </c>
    </row>
    <row r="42" customFormat="false" ht="15.75" hidden="false" customHeight="false" outlineLevel="0" collapsed="false">
      <c r="B42" s="39" t="s">
        <v>415</v>
      </c>
      <c r="C42" s="40" t="str">
        <f aca="false">IF(B42="","",IFERROR(INDEX('CLM &amp; IM Mapping'!$B$2:$B$270,MATCH(TRIM(B42),'CLM &amp; IM Mapping'!$A$2:$A$270,0)),"Not Mapped"))</f>
        <v>Not Mapped</v>
      </c>
      <c r="D42" s="40" t="str">
        <f aca="false">IF(B42="","",IFERROR(INDEX('CLM &amp; IM Mapping'!$C$2:$C$270,MATCH(TRIM(B42),'CLM &amp; IM Mapping'!$A$2:$A$270,0)),"Not Mapped"))</f>
        <v>Not Mapped</v>
      </c>
      <c r="E42" s="41" t="n">
        <v>0</v>
      </c>
      <c r="F42" s="41" t="n">
        <v>0</v>
      </c>
      <c r="G42" s="41" t="n">
        <v>0</v>
      </c>
      <c r="H42" s="41" t="n">
        <v>0</v>
      </c>
      <c r="I42" s="41" t="n">
        <v>0</v>
      </c>
      <c r="J42" s="41" t="n">
        <v>0</v>
      </c>
      <c r="K42" s="41" t="n">
        <v>0</v>
      </c>
      <c r="L42" s="41" t="n">
        <v>0</v>
      </c>
    </row>
    <row r="43" customFormat="false" ht="15.75" hidden="false" customHeight="false" outlineLevel="0" collapsed="false">
      <c r="B43" s="39" t="s">
        <v>416</v>
      </c>
      <c r="C43" s="40" t="str">
        <f aca="false">IF(B43="","",IFERROR(INDEX('CLM &amp; IM Mapping'!$B$2:$B$270,MATCH(TRIM(B43),'CLM &amp; IM Mapping'!$A$2:$A$270,0)),"Not Mapped"))</f>
        <v>Not Mapped</v>
      </c>
      <c r="D43" s="40" t="str">
        <f aca="false">IF(B43="","",IFERROR(INDEX('CLM &amp; IM Mapping'!$C$2:$C$270,MATCH(TRIM(B43),'CLM &amp; IM Mapping'!$A$2:$A$270,0)),"Not Mapped"))</f>
        <v>Not Mapped</v>
      </c>
      <c r="E43" s="41" t="n">
        <v>0</v>
      </c>
      <c r="F43" s="41" t="n">
        <v>0</v>
      </c>
      <c r="G43" s="41" t="n">
        <v>0</v>
      </c>
      <c r="H43" s="41" t="n">
        <v>0</v>
      </c>
      <c r="I43" s="41" t="n">
        <v>0</v>
      </c>
      <c r="J43" s="41" t="n">
        <v>0</v>
      </c>
      <c r="K43" s="41" t="n">
        <v>0</v>
      </c>
      <c r="L43" s="41" t="n">
        <v>0</v>
      </c>
    </row>
    <row r="44" customFormat="false" ht="15.75" hidden="false" customHeight="false" outlineLevel="0" collapsed="false">
      <c r="B44" s="39" t="s">
        <v>417</v>
      </c>
      <c r="C44" s="40" t="str">
        <f aca="false">IF(B44="","",IFERROR(INDEX('CLM &amp; IM Mapping'!$B$2:$B$270,MATCH(TRIM(B44),'CLM &amp; IM Mapping'!$A$2:$A$270,0)),"Not Mapped"))</f>
        <v>Not Mapped</v>
      </c>
      <c r="D44" s="40" t="str">
        <f aca="false">IF(B44="","",IFERROR(INDEX('CLM &amp; IM Mapping'!$C$2:$C$270,MATCH(TRIM(B44),'CLM &amp; IM Mapping'!$A$2:$A$270,0)),"Not Mapped"))</f>
        <v>Not Mapped</v>
      </c>
      <c r="E44" s="41" t="n">
        <v>0</v>
      </c>
      <c r="F44" s="41" t="n">
        <v>0</v>
      </c>
      <c r="G44" s="41" t="n">
        <v>0</v>
      </c>
      <c r="H44" s="41" t="n">
        <v>0</v>
      </c>
      <c r="I44" s="41" t="n">
        <v>0</v>
      </c>
      <c r="J44" s="41" t="n">
        <v>0</v>
      </c>
      <c r="K44" s="41" t="n">
        <v>0</v>
      </c>
      <c r="L44" s="41" t="n">
        <v>0</v>
      </c>
    </row>
    <row r="45" customFormat="false" ht="15.75" hidden="false" customHeight="false" outlineLevel="0" collapsed="false">
      <c r="B45" s="39" t="s">
        <v>418</v>
      </c>
      <c r="C45" s="40" t="str">
        <f aca="false">IF(B45="","",IFERROR(INDEX('CLM &amp; IM Mapping'!$B$2:$B$270,MATCH(TRIM(B45),'CLM &amp; IM Mapping'!$A$2:$A$270,0)),"Not Mapped"))</f>
        <v>Not Mapped</v>
      </c>
      <c r="D45" s="40" t="str">
        <f aca="false">IF(B45="","",IFERROR(INDEX('CLM &amp; IM Mapping'!$C$2:$C$270,MATCH(TRIM(B45),'CLM &amp; IM Mapping'!$A$2:$A$270,0)),"Not Mapped"))</f>
        <v>Not Mapped</v>
      </c>
      <c r="E45" s="41" t="n">
        <v>54</v>
      </c>
      <c r="F45" s="41" t="n">
        <v>0</v>
      </c>
      <c r="G45" s="41" t="n">
        <v>54</v>
      </c>
      <c r="H45" s="41" t="n">
        <v>0</v>
      </c>
      <c r="I45" s="41" t="n">
        <v>0</v>
      </c>
      <c r="J45" s="41" t="n">
        <v>0</v>
      </c>
      <c r="K45" s="41" t="n">
        <v>0</v>
      </c>
      <c r="L45" s="41" t="n">
        <v>0</v>
      </c>
    </row>
    <row r="46" customFormat="false" ht="15.75" hidden="false" customHeight="false" outlineLevel="0" collapsed="false">
      <c r="B46" s="39" t="s">
        <v>419</v>
      </c>
      <c r="C46" s="40" t="str">
        <f aca="false">IF(B46="","",IFERROR(INDEX('CLM &amp; IM Mapping'!$B$2:$B$270,MATCH(TRIM(B46),'CLM &amp; IM Mapping'!$A$2:$A$270,0)),"Not Mapped"))</f>
        <v>Not Mapped</v>
      </c>
      <c r="D46" s="40" t="str">
        <f aca="false">IF(B46="","",IFERROR(INDEX('CLM &amp; IM Mapping'!$C$2:$C$270,MATCH(TRIM(B46),'CLM &amp; IM Mapping'!$A$2:$A$270,0)),"Not Mapped"))</f>
        <v>Not Mapped</v>
      </c>
      <c r="E46" s="41" t="n">
        <v>0</v>
      </c>
      <c r="F46" s="41" t="n">
        <v>0</v>
      </c>
      <c r="G46" s="41" t="n">
        <v>0</v>
      </c>
      <c r="H46" s="41" t="n">
        <v>0</v>
      </c>
      <c r="I46" s="41" t="n">
        <v>0</v>
      </c>
      <c r="J46" s="41" t="n">
        <v>0</v>
      </c>
      <c r="K46" s="41" t="n">
        <v>0</v>
      </c>
      <c r="L46" s="41" t="n">
        <v>0</v>
      </c>
    </row>
    <row r="47" customFormat="false" ht="15.75" hidden="false" customHeight="false" outlineLevel="0" collapsed="false">
      <c r="B47" s="39" t="s">
        <v>420</v>
      </c>
      <c r="C47" s="40" t="str">
        <f aca="false">IF(B47="","",IFERROR(INDEX('CLM &amp; IM Mapping'!$B$2:$B$270,MATCH(TRIM(B47),'CLM &amp; IM Mapping'!$A$2:$A$270,0)),"Not Mapped"))</f>
        <v>Not Mapped</v>
      </c>
      <c r="D47" s="40" t="str">
        <f aca="false">IF(B47="","",IFERROR(INDEX('CLM &amp; IM Mapping'!$C$2:$C$270,MATCH(TRIM(B47),'CLM &amp; IM Mapping'!$A$2:$A$270,0)),"Not Mapped"))</f>
        <v>Not Mapped</v>
      </c>
      <c r="E47" s="41" t="n">
        <v>1611</v>
      </c>
      <c r="F47" s="41" t="n">
        <v>0</v>
      </c>
      <c r="G47" s="41" t="n">
        <v>0</v>
      </c>
      <c r="H47" s="41" t="n">
        <v>1611</v>
      </c>
      <c r="I47" s="41" t="n">
        <v>0</v>
      </c>
      <c r="J47" s="41" t="n">
        <v>0</v>
      </c>
      <c r="K47" s="41" t="n">
        <v>0</v>
      </c>
      <c r="L47" s="41" t="n">
        <v>1611</v>
      </c>
    </row>
    <row r="48" customFormat="false" ht="15.75" hidden="false" customHeight="false" outlineLevel="0" collapsed="false">
      <c r="B48" s="39" t="s">
        <v>421</v>
      </c>
      <c r="C48" s="40" t="str">
        <f aca="false">IF(B48="","",IFERROR(INDEX('CLM &amp; IM Mapping'!$B$2:$B$270,MATCH(TRIM(B48),'CLM &amp; IM Mapping'!$A$2:$A$270,0)),"Not Mapped"))</f>
        <v>Not Mapped</v>
      </c>
      <c r="D48" s="40" t="str">
        <f aca="false">IF(B48="","",IFERROR(INDEX('CLM &amp; IM Mapping'!$C$2:$C$270,MATCH(TRIM(B48),'CLM &amp; IM Mapping'!$A$2:$A$270,0)),"Not Mapped"))</f>
        <v>Not Mapped</v>
      </c>
      <c r="E48" s="41" t="n">
        <v>5110</v>
      </c>
      <c r="F48" s="41" t="n">
        <v>3338</v>
      </c>
      <c r="G48" s="41" t="n">
        <v>0</v>
      </c>
      <c r="H48" s="41" t="n">
        <v>20</v>
      </c>
      <c r="I48" s="41" t="n">
        <v>1474</v>
      </c>
      <c r="J48" s="41" t="n">
        <v>0</v>
      </c>
      <c r="K48" s="41" t="n">
        <v>278</v>
      </c>
      <c r="L48" s="41" t="n">
        <v>1772</v>
      </c>
    </row>
    <row r="49" customFormat="false" ht="15.75" hidden="false" customHeight="false" outlineLevel="0" collapsed="false">
      <c r="B49" s="39" t="s">
        <v>422</v>
      </c>
      <c r="C49" s="40" t="str">
        <f aca="false">IF(B49="","",IFERROR(INDEX('CLM &amp; IM Mapping'!$B$2:$B$270,MATCH(TRIM(B49),'CLM &amp; IM Mapping'!$A$2:$A$270,0)),"Not Mapped"))</f>
        <v>Not Mapped</v>
      </c>
      <c r="D49" s="40" t="str">
        <f aca="false">IF(B49="","",IFERROR(INDEX('CLM &amp; IM Mapping'!$C$2:$C$270,MATCH(TRIM(B49),'CLM &amp; IM Mapping'!$A$2:$A$270,0)),"Not Mapped"))</f>
        <v>Not Mapped</v>
      </c>
      <c r="E49" s="41" t="n">
        <v>1413</v>
      </c>
      <c r="F49" s="41" t="n">
        <v>2</v>
      </c>
      <c r="G49" s="41" t="n">
        <v>0</v>
      </c>
      <c r="H49" s="41" t="n">
        <v>1409</v>
      </c>
      <c r="I49" s="41" t="n">
        <v>0</v>
      </c>
      <c r="J49" s="41" t="n">
        <v>0</v>
      </c>
      <c r="K49" s="41" t="n">
        <v>2</v>
      </c>
      <c r="L49" s="41" t="n">
        <v>1411</v>
      </c>
    </row>
    <row r="50" customFormat="false" ht="15.75" hidden="false" customHeight="false" outlineLevel="0" collapsed="false">
      <c r="B50" s="39" t="s">
        <v>423</v>
      </c>
      <c r="C50" s="40" t="str">
        <f aca="false">IF(B50="","",IFERROR(INDEX('CLM &amp; IM Mapping'!$B$2:$B$270,MATCH(TRIM(B50),'CLM &amp; IM Mapping'!$A$2:$A$270,0)),"Not Mapped"))</f>
        <v>Not Mapped</v>
      </c>
      <c r="D50" s="40" t="str">
        <f aca="false">IF(B50="","",IFERROR(INDEX('CLM &amp; IM Mapping'!$C$2:$C$270,MATCH(TRIM(B50),'CLM &amp; IM Mapping'!$A$2:$A$270,0)),"Not Mapped"))</f>
        <v>Not Mapped</v>
      </c>
      <c r="E50" s="41" t="n">
        <v>5</v>
      </c>
      <c r="F50" s="41" t="n">
        <v>0</v>
      </c>
      <c r="G50" s="41" t="n">
        <v>0</v>
      </c>
      <c r="H50" s="41" t="n">
        <v>5</v>
      </c>
      <c r="I50" s="41" t="n">
        <v>0</v>
      </c>
      <c r="J50" s="41" t="n">
        <v>0</v>
      </c>
      <c r="K50" s="41" t="n">
        <v>0</v>
      </c>
      <c r="L50" s="41" t="n">
        <v>5</v>
      </c>
    </row>
    <row r="51" customFormat="false" ht="15.75" hidden="false" customHeight="false" outlineLevel="0" collapsed="false">
      <c r="B51" s="39" t="s">
        <v>424</v>
      </c>
      <c r="C51" s="40" t="str">
        <f aca="false">IF(B51="","",IFERROR(INDEX('CLM &amp; IM Mapping'!$B$2:$B$270,MATCH(TRIM(B51),'CLM &amp; IM Mapping'!$A$2:$A$270,0)),"Not Mapped"))</f>
        <v>Not Mapped</v>
      </c>
      <c r="D51" s="40" t="str">
        <f aca="false">IF(B51="","",IFERROR(INDEX('CLM &amp; IM Mapping'!$C$2:$C$270,MATCH(TRIM(B51),'CLM &amp; IM Mapping'!$A$2:$A$270,0)),"Not Mapped"))</f>
        <v>Not Mapped</v>
      </c>
      <c r="E51" s="41" t="n">
        <v>981</v>
      </c>
      <c r="F51" s="41" t="n">
        <v>981</v>
      </c>
      <c r="G51" s="41" t="n">
        <v>0</v>
      </c>
      <c r="H51" s="41" t="n">
        <v>0</v>
      </c>
      <c r="I51" s="41" t="n">
        <v>0</v>
      </c>
      <c r="J51" s="41" t="n">
        <v>0</v>
      </c>
      <c r="K51" s="41" t="n">
        <v>0</v>
      </c>
      <c r="L51" s="41" t="n">
        <v>0</v>
      </c>
    </row>
    <row r="52" customFormat="false" ht="15.75" hidden="false" customHeight="false" outlineLevel="0" collapsed="false">
      <c r="B52" s="39" t="s">
        <v>425</v>
      </c>
      <c r="C52" s="40" t="str">
        <f aca="false">IF(B52="","",IFERROR(INDEX('CLM &amp; IM Mapping'!$B$2:$B$270,MATCH(TRIM(B52),'CLM &amp; IM Mapping'!$A$2:$A$270,0)),"Not Mapped"))</f>
        <v>Not Mapped</v>
      </c>
      <c r="D52" s="40" t="str">
        <f aca="false">IF(B52="","",IFERROR(INDEX('CLM &amp; IM Mapping'!$C$2:$C$270,MATCH(TRIM(B52),'CLM &amp; IM Mapping'!$A$2:$A$270,0)),"Not Mapped"))</f>
        <v>Not Mapped</v>
      </c>
      <c r="E52" s="41" t="n">
        <v>2968</v>
      </c>
      <c r="F52" s="41" t="n">
        <v>2967</v>
      </c>
      <c r="G52" s="41" t="n">
        <v>1</v>
      </c>
      <c r="H52" s="41" t="n">
        <v>0</v>
      </c>
      <c r="I52" s="41" t="n">
        <v>0</v>
      </c>
      <c r="J52" s="41" t="n">
        <v>0</v>
      </c>
      <c r="K52" s="41" t="n">
        <v>0</v>
      </c>
      <c r="L52" s="41" t="n">
        <v>0</v>
      </c>
    </row>
    <row r="53" customFormat="false" ht="15.75" hidden="false" customHeight="false" outlineLevel="0" collapsed="false">
      <c r="B53" s="39" t="s">
        <v>426</v>
      </c>
      <c r="C53" s="40" t="str">
        <f aca="false">IF(B53="","",IFERROR(INDEX('CLM &amp; IM Mapping'!$B$2:$B$270,MATCH(TRIM(B53),'CLM &amp; IM Mapping'!$A$2:$A$270,0)),"Not Mapped"))</f>
        <v>Not Mapped</v>
      </c>
      <c r="D53" s="40" t="str">
        <f aca="false">IF(B53="","",IFERROR(INDEX('CLM &amp; IM Mapping'!$C$2:$C$270,MATCH(TRIM(B53),'CLM &amp; IM Mapping'!$A$2:$A$270,0)),"Not Mapped"))</f>
        <v>Not Mapped</v>
      </c>
      <c r="E53" s="41" t="n">
        <v>1148</v>
      </c>
      <c r="F53" s="41" t="n">
        <v>324</v>
      </c>
      <c r="G53" s="41" t="n">
        <v>824</v>
      </c>
      <c r="H53" s="41" t="n">
        <v>0</v>
      </c>
      <c r="I53" s="41" t="n">
        <v>0</v>
      </c>
      <c r="J53" s="41" t="n">
        <v>0</v>
      </c>
      <c r="K53" s="41" t="n">
        <v>0</v>
      </c>
      <c r="L53" s="41" t="n">
        <v>0</v>
      </c>
    </row>
    <row r="54" customFormat="false" ht="15.75" hidden="false" customHeight="false" outlineLevel="0" collapsed="false">
      <c r="B54" s="39" t="s">
        <v>427</v>
      </c>
      <c r="C54" s="40" t="str">
        <f aca="false">IF(B54="","",IFERROR(INDEX('CLM &amp; IM Mapping'!$B$2:$B$270,MATCH(TRIM(B54),'CLM &amp; IM Mapping'!$A$2:$A$270,0)),"Not Mapped"))</f>
        <v>Not Mapped</v>
      </c>
      <c r="D54" s="40" t="str">
        <f aca="false">IF(B54="","",IFERROR(INDEX('CLM &amp; IM Mapping'!$C$2:$C$270,MATCH(TRIM(B54),'CLM &amp; IM Mapping'!$A$2:$A$270,0)),"Not Mapped"))</f>
        <v>Not Mapped</v>
      </c>
      <c r="E54" s="41" t="n">
        <v>2204</v>
      </c>
      <c r="F54" s="41" t="n">
        <v>2204</v>
      </c>
      <c r="G54" s="41" t="n">
        <v>0</v>
      </c>
      <c r="H54" s="41" t="n">
        <v>0</v>
      </c>
      <c r="I54" s="41" t="n">
        <v>0</v>
      </c>
      <c r="J54" s="41" t="n">
        <v>0</v>
      </c>
      <c r="K54" s="41" t="n">
        <v>0</v>
      </c>
      <c r="L54" s="41" t="n">
        <v>0</v>
      </c>
    </row>
    <row r="55" customFormat="false" ht="15.75" hidden="false" customHeight="false" outlineLevel="0" collapsed="false">
      <c r="B55" s="39" t="s">
        <v>428</v>
      </c>
      <c r="C55" s="40" t="str">
        <f aca="false">IF(B55="","",IFERROR(INDEX('CLM &amp; IM Mapping'!$B$2:$B$270,MATCH(TRIM(B55),'CLM &amp; IM Mapping'!$A$2:$A$270,0)),"Not Mapped"))</f>
        <v>Not Mapped</v>
      </c>
      <c r="D55" s="40" t="str">
        <f aca="false">IF(B55="","",IFERROR(INDEX('CLM &amp; IM Mapping'!$C$2:$C$270,MATCH(TRIM(B55),'CLM &amp; IM Mapping'!$A$2:$A$270,0)),"Not Mapped"))</f>
        <v>Not Mapped</v>
      </c>
      <c r="E55" s="41" t="n">
        <v>1509</v>
      </c>
      <c r="F55" s="41" t="n">
        <v>1509</v>
      </c>
      <c r="G55" s="41" t="n">
        <v>0</v>
      </c>
      <c r="H55" s="41" t="n">
        <v>0</v>
      </c>
      <c r="I55" s="41" t="n">
        <v>0</v>
      </c>
      <c r="J55" s="41" t="n">
        <v>0</v>
      </c>
      <c r="K55" s="41" t="n">
        <v>0</v>
      </c>
      <c r="L55" s="41" t="n">
        <v>0</v>
      </c>
    </row>
    <row r="56" customFormat="false" ht="15.75" hidden="false" customHeight="false" outlineLevel="0" collapsed="false">
      <c r="B56" s="39" t="s">
        <v>429</v>
      </c>
      <c r="C56" s="40" t="str">
        <f aca="false">IF(B56="","",IFERROR(INDEX('CLM &amp; IM Mapping'!$B$2:$B$270,MATCH(TRIM(B56),'CLM &amp; IM Mapping'!$A$2:$A$270,0)),"Not Mapped"))</f>
        <v>Not Mapped</v>
      </c>
      <c r="D56" s="40" t="str">
        <f aca="false">IF(B56="","",IFERROR(INDEX('CLM &amp; IM Mapping'!$C$2:$C$270,MATCH(TRIM(B56),'CLM &amp; IM Mapping'!$A$2:$A$270,0)),"Not Mapped"))</f>
        <v>Not Mapped</v>
      </c>
      <c r="E56" s="41" t="n">
        <v>373</v>
      </c>
      <c r="F56" s="41" t="n">
        <v>0</v>
      </c>
      <c r="G56" s="41" t="n">
        <v>373</v>
      </c>
      <c r="H56" s="41" t="n">
        <v>0</v>
      </c>
      <c r="I56" s="41" t="n">
        <v>0</v>
      </c>
      <c r="J56" s="41" t="n">
        <v>0</v>
      </c>
      <c r="K56" s="41" t="n">
        <v>0</v>
      </c>
      <c r="L56" s="41" t="n">
        <v>0</v>
      </c>
    </row>
    <row r="57" customFormat="false" ht="15.75" hidden="false" customHeight="false" outlineLevel="0" collapsed="false">
      <c r="B57" s="39" t="s">
        <v>430</v>
      </c>
      <c r="C57" s="40" t="str">
        <f aca="false">IF(B57="","",IFERROR(INDEX('CLM &amp; IM Mapping'!$B$2:$B$270,MATCH(TRIM(B57),'CLM &amp; IM Mapping'!$A$2:$A$270,0)),"Not Mapped"))</f>
        <v>Not Mapped</v>
      </c>
      <c r="D57" s="40" t="str">
        <f aca="false">IF(B57="","",IFERROR(INDEX('CLM &amp; IM Mapping'!$C$2:$C$270,MATCH(TRIM(B57),'CLM &amp; IM Mapping'!$A$2:$A$270,0)),"Not Mapped"))</f>
        <v>Not Mapped</v>
      </c>
      <c r="E57" s="41" t="n">
        <v>0</v>
      </c>
      <c r="F57" s="41" t="n">
        <v>0</v>
      </c>
      <c r="G57" s="41" t="n">
        <v>0</v>
      </c>
      <c r="H57" s="41" t="n">
        <v>0</v>
      </c>
      <c r="I57" s="41" t="n">
        <v>0</v>
      </c>
      <c r="J57" s="41" t="n">
        <v>0</v>
      </c>
      <c r="K57" s="41" t="n">
        <v>0</v>
      </c>
      <c r="L57" s="41" t="n">
        <v>0</v>
      </c>
    </row>
    <row r="58" customFormat="false" ht="15.75" hidden="false" customHeight="false" outlineLevel="0" collapsed="false">
      <c r="B58" s="39" t="s">
        <v>431</v>
      </c>
      <c r="C58" s="40" t="str">
        <f aca="false">IF(B58="","",IFERROR(INDEX('CLM &amp; IM Mapping'!$B$2:$B$270,MATCH(TRIM(B58),'CLM &amp; IM Mapping'!$A$2:$A$270,0)),"Not Mapped"))</f>
        <v>Not Mapped</v>
      </c>
      <c r="D58" s="40" t="str">
        <f aca="false">IF(B58="","",IFERROR(INDEX('CLM &amp; IM Mapping'!$C$2:$C$270,MATCH(TRIM(B58),'CLM &amp; IM Mapping'!$A$2:$A$270,0)),"Not Mapped"))</f>
        <v>Not Mapped</v>
      </c>
      <c r="E58" s="41" t="n">
        <v>0</v>
      </c>
      <c r="F58" s="41" t="n">
        <v>0</v>
      </c>
      <c r="G58" s="41" t="n">
        <v>0</v>
      </c>
      <c r="H58" s="41" t="n">
        <v>0</v>
      </c>
      <c r="I58" s="41" t="n">
        <v>0</v>
      </c>
      <c r="J58" s="41" t="n">
        <v>0</v>
      </c>
      <c r="K58" s="41" t="n">
        <v>0</v>
      </c>
      <c r="L58" s="41" t="n">
        <v>0</v>
      </c>
    </row>
    <row r="59" customFormat="false" ht="15.75" hidden="false" customHeight="false" outlineLevel="0" collapsed="false">
      <c r="B59" s="39" t="s">
        <v>432</v>
      </c>
      <c r="C59" s="40" t="str">
        <f aca="false">IF(B59="","",IFERROR(INDEX('CLM &amp; IM Mapping'!$B$2:$B$270,MATCH(TRIM(B59),'CLM &amp; IM Mapping'!$A$2:$A$270,0)),"Not Mapped"))</f>
        <v>Not Mapped</v>
      </c>
      <c r="D59" s="40" t="str">
        <f aca="false">IF(B59="","",IFERROR(INDEX('CLM &amp; IM Mapping'!$C$2:$C$270,MATCH(TRIM(B59),'CLM &amp; IM Mapping'!$A$2:$A$270,0)),"Not Mapped"))</f>
        <v>Not Mapped</v>
      </c>
      <c r="E59" s="41" t="n">
        <v>3622</v>
      </c>
      <c r="F59" s="41" t="n">
        <v>0</v>
      </c>
      <c r="G59" s="41" t="n">
        <v>69</v>
      </c>
      <c r="H59" s="41" t="n">
        <v>3429</v>
      </c>
      <c r="I59" s="41" t="n">
        <v>0</v>
      </c>
      <c r="J59" s="41" t="n">
        <v>0</v>
      </c>
      <c r="K59" s="41" t="n">
        <v>124</v>
      </c>
      <c r="L59" s="41" t="n">
        <v>3553</v>
      </c>
    </row>
    <row r="60" customFormat="false" ht="15.75" hidden="false" customHeight="false" outlineLevel="0" collapsed="false">
      <c r="B60" s="39" t="s">
        <v>433</v>
      </c>
      <c r="C60" s="40" t="str">
        <f aca="false">IF(B60="","",IFERROR(INDEX('CLM &amp; IM Mapping'!$B$2:$B$270,MATCH(TRIM(B60),'CLM &amp; IM Mapping'!$A$2:$A$270,0)),"Not Mapped"))</f>
        <v>Not Mapped</v>
      </c>
      <c r="D60" s="40" t="str">
        <f aca="false">IF(B60="","",IFERROR(INDEX('CLM &amp; IM Mapping'!$C$2:$C$270,MATCH(TRIM(B60),'CLM &amp; IM Mapping'!$A$2:$A$270,0)),"Not Mapped"))</f>
        <v>Not Mapped</v>
      </c>
      <c r="E60" s="41" t="n">
        <v>321</v>
      </c>
      <c r="F60" s="41" t="n">
        <v>0</v>
      </c>
      <c r="G60" s="41" t="n">
        <v>0</v>
      </c>
      <c r="H60" s="41" t="n">
        <v>0</v>
      </c>
      <c r="I60" s="41" t="n">
        <v>0</v>
      </c>
      <c r="J60" s="41" t="n">
        <v>0</v>
      </c>
      <c r="K60" s="41" t="n">
        <v>321</v>
      </c>
      <c r="L60" s="41" t="n">
        <v>321</v>
      </c>
    </row>
    <row r="61" customFormat="false" ht="15.75" hidden="false" customHeight="false" outlineLevel="0" collapsed="false">
      <c r="B61" s="39" t="s">
        <v>434</v>
      </c>
      <c r="C61" s="40" t="str">
        <f aca="false">IF(B61="","",IFERROR(INDEX('CLM &amp; IM Mapping'!$B$2:$B$270,MATCH(TRIM(B61),'CLM &amp; IM Mapping'!$A$2:$A$270,0)),"Not Mapped"))</f>
        <v>Not Mapped</v>
      </c>
      <c r="D61" s="40" t="str">
        <f aca="false">IF(B61="","",IFERROR(INDEX('CLM &amp; IM Mapping'!$C$2:$C$270,MATCH(TRIM(B61),'CLM &amp; IM Mapping'!$A$2:$A$270,0)),"Not Mapped"))</f>
        <v>Not Mapped</v>
      </c>
      <c r="E61" s="41" t="n">
        <v>0</v>
      </c>
      <c r="F61" s="41" t="n">
        <v>0</v>
      </c>
      <c r="G61" s="41" t="n">
        <v>0</v>
      </c>
      <c r="H61" s="41" t="n">
        <v>0</v>
      </c>
      <c r="I61" s="41" t="n">
        <v>0</v>
      </c>
      <c r="J61" s="41" t="n">
        <v>0</v>
      </c>
      <c r="K61" s="41" t="n">
        <v>0</v>
      </c>
      <c r="L61" s="41" t="n">
        <v>0</v>
      </c>
    </row>
    <row r="62" customFormat="false" ht="15.75" hidden="false" customHeight="false" outlineLevel="0" collapsed="false">
      <c r="B62" s="39" t="s">
        <v>435</v>
      </c>
      <c r="C62" s="40" t="str">
        <f aca="false">IF(B62="","",IFERROR(INDEX('CLM &amp; IM Mapping'!$B$2:$B$270,MATCH(TRIM(B62),'CLM &amp; IM Mapping'!$A$2:$A$270,0)),"Not Mapped"))</f>
        <v>Not Mapped</v>
      </c>
      <c r="D62" s="40" t="str">
        <f aca="false">IF(B62="","",IFERROR(INDEX('CLM &amp; IM Mapping'!$C$2:$C$270,MATCH(TRIM(B62),'CLM &amp; IM Mapping'!$A$2:$A$270,0)),"Not Mapped"))</f>
        <v>Not Mapped</v>
      </c>
      <c r="E62" s="41" t="n">
        <v>37</v>
      </c>
      <c r="F62" s="41" t="n">
        <v>0</v>
      </c>
      <c r="G62" s="41" t="n">
        <v>0</v>
      </c>
      <c r="H62" s="41" t="n">
        <v>0</v>
      </c>
      <c r="I62" s="41" t="n">
        <v>0</v>
      </c>
      <c r="J62" s="41" t="n">
        <v>0</v>
      </c>
      <c r="K62" s="41" t="n">
        <v>37</v>
      </c>
      <c r="L62" s="41" t="n">
        <v>37</v>
      </c>
    </row>
    <row r="63" customFormat="false" ht="15.75" hidden="false" customHeight="false" outlineLevel="0" collapsed="false">
      <c r="B63" s="39" t="s">
        <v>436</v>
      </c>
      <c r="C63" s="40" t="str">
        <f aca="false">IF(B63="","",IFERROR(INDEX('CLM &amp; IM Mapping'!$B$2:$B$270,MATCH(TRIM(B63),'CLM &amp; IM Mapping'!$A$2:$A$270,0)),"Not Mapped"))</f>
        <v>Not Mapped</v>
      </c>
      <c r="D63" s="40" t="str">
        <f aca="false">IF(B63="","",IFERROR(INDEX('CLM &amp; IM Mapping'!$C$2:$C$270,MATCH(TRIM(B63),'CLM &amp; IM Mapping'!$A$2:$A$270,0)),"Not Mapped"))</f>
        <v>Not Mapped</v>
      </c>
      <c r="E63" s="41" t="n">
        <v>0</v>
      </c>
      <c r="F63" s="41" t="n">
        <v>0</v>
      </c>
      <c r="G63" s="41" t="n">
        <v>0</v>
      </c>
      <c r="H63" s="41" t="n">
        <v>0</v>
      </c>
      <c r="I63" s="41" t="n">
        <v>0</v>
      </c>
      <c r="J63" s="41" t="n">
        <v>0</v>
      </c>
      <c r="K63" s="41" t="n">
        <v>0</v>
      </c>
      <c r="L63" s="41" t="n">
        <v>0</v>
      </c>
    </row>
    <row r="64" customFormat="false" ht="15.75" hidden="false" customHeight="false" outlineLevel="0" collapsed="false">
      <c r="B64" s="39" t="s">
        <v>437</v>
      </c>
      <c r="C64" s="40" t="str">
        <f aca="false">IF(B64="","",IFERROR(INDEX('CLM &amp; IM Mapping'!$B$2:$B$270,MATCH(TRIM(B64),'CLM &amp; IM Mapping'!$A$2:$A$270,0)),"Not Mapped"))</f>
        <v>Not Mapped</v>
      </c>
      <c r="D64" s="40" t="str">
        <f aca="false">IF(B64="","",IFERROR(INDEX('CLM &amp; IM Mapping'!$C$2:$C$270,MATCH(TRIM(B64),'CLM &amp; IM Mapping'!$A$2:$A$270,0)),"Not Mapped"))</f>
        <v>Not Mapped</v>
      </c>
      <c r="E64" s="41" t="n">
        <v>0</v>
      </c>
      <c r="F64" s="41" t="n">
        <v>0</v>
      </c>
      <c r="G64" s="41" t="n">
        <v>0</v>
      </c>
      <c r="H64" s="41" t="n">
        <v>0</v>
      </c>
      <c r="I64" s="41" t="n">
        <v>0</v>
      </c>
      <c r="J64" s="41" t="n">
        <v>0</v>
      </c>
      <c r="K64" s="41" t="n">
        <v>0</v>
      </c>
      <c r="L64" s="41" t="n">
        <v>0</v>
      </c>
    </row>
    <row r="65" customFormat="false" ht="15.75" hidden="false" customHeight="false" outlineLevel="0" collapsed="false">
      <c r="B65" s="39" t="s">
        <v>438</v>
      </c>
      <c r="C65" s="40" t="str">
        <f aca="false">IF(B65="","",IFERROR(INDEX('CLM &amp; IM Mapping'!$B$2:$B$270,MATCH(TRIM(B65),'CLM &amp; IM Mapping'!$A$2:$A$270,0)),"Not Mapped"))</f>
        <v>Not Mapped</v>
      </c>
      <c r="D65" s="40" t="str">
        <f aca="false">IF(B65="","",IFERROR(INDEX('CLM &amp; IM Mapping'!$C$2:$C$270,MATCH(TRIM(B65),'CLM &amp; IM Mapping'!$A$2:$A$270,0)),"Not Mapped"))</f>
        <v>Not Mapped</v>
      </c>
      <c r="E65" s="41" t="n">
        <v>0</v>
      </c>
      <c r="F65" s="41" t="n">
        <v>0</v>
      </c>
      <c r="G65" s="41" t="n">
        <v>0</v>
      </c>
      <c r="H65" s="41" t="n">
        <v>0</v>
      </c>
      <c r="I65" s="41" t="n">
        <v>0</v>
      </c>
      <c r="J65" s="41" t="n">
        <v>0</v>
      </c>
      <c r="K65" s="41" t="n">
        <v>0</v>
      </c>
      <c r="L65" s="41" t="n">
        <v>0</v>
      </c>
    </row>
    <row r="66" customFormat="false" ht="15.75" hidden="false" customHeight="false" outlineLevel="0" collapsed="false">
      <c r="B66" s="39" t="s">
        <v>439</v>
      </c>
      <c r="C66" s="40" t="str">
        <f aca="false">IF(B66="","",IFERROR(INDEX('CLM &amp; IM Mapping'!$B$2:$B$270,MATCH(TRIM(B66),'CLM &amp; IM Mapping'!$A$2:$A$270,0)),"Not Mapped"))</f>
        <v>Not Mapped</v>
      </c>
      <c r="D66" s="40" t="str">
        <f aca="false">IF(B66="","",IFERROR(INDEX('CLM &amp; IM Mapping'!$C$2:$C$270,MATCH(TRIM(B66),'CLM &amp; IM Mapping'!$A$2:$A$270,0)),"Not Mapped"))</f>
        <v>Not Mapped</v>
      </c>
      <c r="E66" s="41" t="n">
        <v>2377</v>
      </c>
      <c r="F66" s="41" t="n">
        <v>2377</v>
      </c>
      <c r="G66" s="41" t="n">
        <v>0</v>
      </c>
      <c r="H66" s="41" t="n">
        <v>0</v>
      </c>
      <c r="I66" s="41" t="n">
        <v>0</v>
      </c>
      <c r="J66" s="41" t="n">
        <v>0</v>
      </c>
      <c r="K66" s="41" t="n">
        <v>0</v>
      </c>
      <c r="L66" s="41" t="n">
        <v>0</v>
      </c>
    </row>
    <row r="67" customFormat="false" ht="15.75" hidden="false" customHeight="false" outlineLevel="0" collapsed="false">
      <c r="B67" s="39" t="s">
        <v>440</v>
      </c>
      <c r="C67" s="40" t="str">
        <f aca="false">IF(B67="","",IFERROR(INDEX('CLM &amp; IM Mapping'!$B$2:$B$270,MATCH(TRIM(B67),'CLM &amp; IM Mapping'!$A$2:$A$270,0)),"Not Mapped"))</f>
        <v>Not Mapped</v>
      </c>
      <c r="D67" s="40" t="str">
        <f aca="false">IF(B67="","",IFERROR(INDEX('CLM &amp; IM Mapping'!$C$2:$C$270,MATCH(TRIM(B67),'CLM &amp; IM Mapping'!$A$2:$A$270,0)),"Not Mapped"))</f>
        <v>Not Mapped</v>
      </c>
      <c r="E67" s="41" t="n">
        <v>0</v>
      </c>
      <c r="F67" s="41" t="n">
        <v>0</v>
      </c>
      <c r="G67" s="41" t="n">
        <v>0</v>
      </c>
      <c r="H67" s="41" t="n">
        <v>0</v>
      </c>
      <c r="I67" s="41" t="n">
        <v>0</v>
      </c>
      <c r="J67" s="41" t="n">
        <v>0</v>
      </c>
      <c r="K67" s="41" t="n">
        <v>0</v>
      </c>
      <c r="L67" s="41" t="n">
        <v>0</v>
      </c>
    </row>
    <row r="68" customFormat="false" ht="15.75" hidden="false" customHeight="false" outlineLevel="0" collapsed="false">
      <c r="B68" s="39" t="s">
        <v>441</v>
      </c>
      <c r="C68" s="40" t="str">
        <f aca="false">IF(B68="","",IFERROR(INDEX('CLM &amp; IM Mapping'!$B$2:$B$270,MATCH(TRIM(B68),'CLM &amp; IM Mapping'!$A$2:$A$270,0)),"Not Mapped"))</f>
        <v>Not Mapped</v>
      </c>
      <c r="D68" s="40" t="str">
        <f aca="false">IF(B68="","",IFERROR(INDEX('CLM &amp; IM Mapping'!$C$2:$C$270,MATCH(TRIM(B68),'CLM &amp; IM Mapping'!$A$2:$A$270,0)),"Not Mapped"))</f>
        <v>Not Mapped</v>
      </c>
      <c r="E68" s="41" t="n">
        <v>830</v>
      </c>
      <c r="F68" s="41" t="n">
        <v>0</v>
      </c>
      <c r="G68" s="41" t="n">
        <v>830</v>
      </c>
      <c r="H68" s="41" t="n">
        <v>0</v>
      </c>
      <c r="I68" s="41" t="n">
        <v>0</v>
      </c>
      <c r="J68" s="41" t="n">
        <v>0</v>
      </c>
      <c r="K68" s="41" t="n">
        <v>0</v>
      </c>
      <c r="L68" s="41" t="n">
        <v>0</v>
      </c>
    </row>
    <row r="69" customFormat="false" ht="15.75" hidden="false" customHeight="false" outlineLevel="0" collapsed="false">
      <c r="B69" s="39" t="s">
        <v>139</v>
      </c>
      <c r="C69" s="40" t="str">
        <f aca="false">IF(B69="","",IFERROR(INDEX('CLM &amp; IM Mapping'!$B$2:$B$270,MATCH(TRIM(B69),'CLM &amp; IM Mapping'!$A$2:$A$270,0)),"Not Mapped"))</f>
        <v>Majid Kakatikar</v>
      </c>
      <c r="D69" s="40" t="str">
        <f aca="false">IF(B69="","",IFERROR(INDEX('CLM &amp; IM Mapping'!$C$2:$C$270,MATCH(TRIM(B69),'CLM &amp; IM Mapping'!$A$2:$A$270,0)),"Not Mapped"))</f>
        <v>Kishor K</v>
      </c>
      <c r="E69" s="41" t="n">
        <v>0</v>
      </c>
      <c r="F69" s="41" t="n">
        <v>0</v>
      </c>
      <c r="G69" s="41" t="n">
        <v>0</v>
      </c>
      <c r="H69" s="41" t="n">
        <v>0</v>
      </c>
      <c r="I69" s="41" t="n">
        <v>0</v>
      </c>
      <c r="J69" s="41" t="n">
        <v>0</v>
      </c>
      <c r="K69" s="41" t="n">
        <v>0</v>
      </c>
      <c r="L69" s="41" t="n">
        <v>0</v>
      </c>
    </row>
    <row r="70" customFormat="false" ht="15.75" hidden="false" customHeight="false" outlineLevel="0" collapsed="false">
      <c r="B70" s="39" t="s">
        <v>156</v>
      </c>
      <c r="C70" s="40" t="str">
        <f aca="false">IF(B70="","",IFERROR(INDEX('CLM &amp; IM Mapping'!$B$2:$B$270,MATCH(TRIM(B70),'CLM &amp; IM Mapping'!$A$2:$A$270,0)),"Not Mapped"))</f>
        <v>Majid Kakatikar</v>
      </c>
      <c r="D70" s="40" t="str">
        <f aca="false">IF(B70="","",IFERROR(INDEX('CLM &amp; IM Mapping'!$C$2:$C$270,MATCH(TRIM(B70),'CLM &amp; IM Mapping'!$A$2:$A$270,0)),"Not Mapped"))</f>
        <v>Kishor K</v>
      </c>
      <c r="E70" s="41" t="n">
        <v>0</v>
      </c>
      <c r="F70" s="41" t="n">
        <v>0</v>
      </c>
      <c r="G70" s="41" t="n">
        <v>0</v>
      </c>
      <c r="H70" s="41" t="n">
        <v>0</v>
      </c>
      <c r="I70" s="41" t="n">
        <v>0</v>
      </c>
      <c r="J70" s="41" t="n">
        <v>0</v>
      </c>
      <c r="K70" s="41" t="n">
        <v>0</v>
      </c>
      <c r="L70" s="41" t="n">
        <v>0</v>
      </c>
    </row>
    <row r="71" customFormat="false" ht="15.75" hidden="false" customHeight="false" outlineLevel="0" collapsed="false">
      <c r="B71" s="42" t="s">
        <v>112</v>
      </c>
      <c r="C71" s="43" t="str">
        <f aca="false">IF(B71="","",IFERROR(INDEX('CLM &amp; IM Mapping'!$B$2:$B$270,MATCH(TRIM(B71),'CLM &amp; IM Mapping'!$A$2:$A$270,0)),"Not Mapped"))</f>
        <v>Arun Raj</v>
      </c>
      <c r="D71" s="43" t="str">
        <f aca="false">IF(B71="","",IFERROR(INDEX('CLM &amp; IM Mapping'!$C$2:$C$270,MATCH(TRIM(B71),'CLM &amp; IM Mapping'!$A$2:$A$270,0)),"Not Mapped"))</f>
        <v>Simon Manoharan</v>
      </c>
      <c r="E71" s="41" t="n">
        <v>337</v>
      </c>
      <c r="F71" s="41" t="n">
        <v>0</v>
      </c>
      <c r="G71" s="41" t="n">
        <v>0</v>
      </c>
      <c r="H71" s="41" t="n">
        <v>337</v>
      </c>
      <c r="I71" s="41" t="n">
        <v>0</v>
      </c>
      <c r="J71" s="41" t="n">
        <v>0</v>
      </c>
      <c r="K71" s="41" t="n">
        <v>0</v>
      </c>
      <c r="L71" s="41" t="n">
        <v>0</v>
      </c>
    </row>
    <row r="72" customFormat="false" ht="15.75" hidden="false" customHeight="false" outlineLevel="0" collapsed="false">
      <c r="B72" s="39" t="s">
        <v>147</v>
      </c>
      <c r="C72" s="40" t="str">
        <f aca="false">IF(B72="","",IFERROR(INDEX('CLM &amp; IM Mapping'!$B$2:$B$270,MATCH(TRIM(B72),'CLM &amp; IM Mapping'!$A$2:$A$270,0)),"Not Mapped"))</f>
        <v>Arun Raj</v>
      </c>
      <c r="D72" s="40" t="str">
        <f aca="false">IF(B72="","",IFERROR(INDEX('CLM &amp; IM Mapping'!$C$2:$C$270,MATCH(TRIM(B72),'CLM &amp; IM Mapping'!$A$2:$A$270,0)),"Not Mapped"))</f>
        <v>Simon Manoharan</v>
      </c>
      <c r="E72" s="41" t="n">
        <v>1549</v>
      </c>
      <c r="F72" s="41" t="n">
        <v>0</v>
      </c>
      <c r="G72" s="41" t="n">
        <v>0</v>
      </c>
      <c r="H72" s="41" t="n">
        <v>0</v>
      </c>
      <c r="I72" s="41" t="n">
        <v>0</v>
      </c>
      <c r="J72" s="41" t="n">
        <v>1262</v>
      </c>
      <c r="K72" s="41" t="n">
        <v>287</v>
      </c>
      <c r="L72" s="41" t="n">
        <v>1549</v>
      </c>
    </row>
    <row r="73" customFormat="false" ht="15.75" hidden="false" customHeight="false" outlineLevel="0" collapsed="false">
      <c r="B73" s="39" t="s">
        <v>271</v>
      </c>
      <c r="C73" s="40" t="str">
        <f aca="false">IF(B73="","",IFERROR(INDEX('CLM &amp; IM Mapping'!$B$2:$B$270,MATCH(TRIM(B73),'CLM &amp; IM Mapping'!$A$2:$A$270,0)),"Not Mapped"))</f>
        <v>Ashwath S</v>
      </c>
      <c r="D73" s="40" t="str">
        <f aca="false">IF(B73="","",IFERROR(INDEX('CLM &amp; IM Mapping'!$C$2:$C$270,MATCH(TRIM(B73),'CLM &amp; IM Mapping'!$A$2:$A$270,0)),"Not Mapped"))</f>
        <v>Kantha Kumar</v>
      </c>
      <c r="E73" s="41" t="n">
        <v>0</v>
      </c>
      <c r="F73" s="41" t="n">
        <v>0</v>
      </c>
      <c r="G73" s="41" t="n">
        <v>0</v>
      </c>
      <c r="H73" s="41" t="n">
        <v>0</v>
      </c>
      <c r="I73" s="41" t="n">
        <v>0</v>
      </c>
      <c r="J73" s="41" t="n">
        <v>0</v>
      </c>
      <c r="K73" s="41" t="n">
        <v>0</v>
      </c>
      <c r="L73" s="41" t="n">
        <v>0</v>
      </c>
    </row>
    <row r="74" customFormat="false" ht="15.75" hidden="false" customHeight="false" outlineLevel="0" collapsed="false">
      <c r="B74" s="23" t="s">
        <v>235</v>
      </c>
      <c r="C74" s="44" t="str">
        <f aca="false">IF(B74="","",IFERROR(INDEX('CLM &amp; IM Mapping'!$B$2:$B$270,MATCH(TRIM(B74),'CLM &amp; IM Mapping'!$A$2:$A$270,0)),"Not Mapped"))</f>
        <v>Ravishankar gowda</v>
      </c>
      <c r="D74" s="44" t="str">
        <f aca="false">IF(B74="","",IFERROR(INDEX('CLM &amp; IM Mapping'!$C$2:$C$270,MATCH(TRIM(B74),'CLM &amp; IM Mapping'!$A$2:$A$270,0)),"Not Mapped"))</f>
        <v>Kishor K</v>
      </c>
      <c r="E74" s="41" t="n">
        <v>329</v>
      </c>
      <c r="F74" s="41" t="n">
        <v>0</v>
      </c>
      <c r="G74" s="41" t="n">
        <v>329</v>
      </c>
      <c r="H74" s="41" t="n">
        <v>0</v>
      </c>
      <c r="I74" s="41" t="n">
        <v>0</v>
      </c>
      <c r="J74" s="41" t="n">
        <v>0</v>
      </c>
      <c r="K74" s="41" t="n">
        <v>0</v>
      </c>
      <c r="L74" s="41" t="n">
        <v>0</v>
      </c>
    </row>
    <row r="75" customFormat="false" ht="15.75" hidden="false" customHeight="false" outlineLevel="0" collapsed="false">
      <c r="B75" s="39" t="s">
        <v>212</v>
      </c>
      <c r="C75" s="40" t="str">
        <f aca="false">IF(B75="","",IFERROR(INDEX('CLM &amp; IM Mapping'!$B$2:$B$270,MATCH(TRIM(B75),'CLM &amp; IM Mapping'!$A$2:$A$270,0)),"Not Mapped"))</f>
        <v>Narasimhamurthy R</v>
      </c>
      <c r="D75" s="40" t="str">
        <f aca="false">IF(B75="","",IFERROR(INDEX('CLM &amp; IM Mapping'!$C$2:$C$270,MATCH(TRIM(B75),'CLM &amp; IM Mapping'!$A$2:$A$270,0)),"Not Mapped"))</f>
        <v>Kishor K</v>
      </c>
      <c r="E75" s="41" t="n">
        <v>6957</v>
      </c>
      <c r="F75" s="41" t="n">
        <v>6171</v>
      </c>
      <c r="G75" s="41" t="n">
        <v>10</v>
      </c>
      <c r="H75" s="41" t="n">
        <v>3</v>
      </c>
      <c r="I75" s="41" t="n">
        <v>773</v>
      </c>
      <c r="J75" s="41" t="n">
        <v>0</v>
      </c>
      <c r="K75" s="41" t="n">
        <v>0</v>
      </c>
      <c r="L75" s="41" t="n">
        <v>776</v>
      </c>
    </row>
    <row r="76" customFormat="false" ht="15.75" hidden="false" customHeight="false" outlineLevel="0" collapsed="false">
      <c r="B76" s="39" t="s">
        <v>205</v>
      </c>
      <c r="C76" s="40" t="str">
        <f aca="false">IF(B76="","",IFERROR(INDEX('CLM &amp; IM Mapping'!$B$2:$B$270,MATCH(TRIM(B76),'CLM &amp; IM Mapping'!$A$2:$A$270,0)),"Not Mapped"))</f>
        <v>Saddam Hussain</v>
      </c>
      <c r="D76" s="40" t="str">
        <f aca="false">IF(B76="","",IFERROR(INDEX('CLM &amp; IM Mapping'!$C$2:$C$270,MATCH(TRIM(B76),'CLM &amp; IM Mapping'!$A$2:$A$270,0)),"Not Mapped"))</f>
        <v>Un Mapped</v>
      </c>
      <c r="E76" s="41" t="n">
        <v>0</v>
      </c>
      <c r="F76" s="41" t="n">
        <v>0</v>
      </c>
      <c r="G76" s="41" t="n">
        <v>0</v>
      </c>
      <c r="H76" s="41" t="n">
        <v>0</v>
      </c>
      <c r="I76" s="41" t="n">
        <v>0</v>
      </c>
      <c r="J76" s="41" t="n">
        <v>0</v>
      </c>
      <c r="K76" s="41" t="n">
        <v>0</v>
      </c>
      <c r="L76" s="41" t="n">
        <v>0</v>
      </c>
    </row>
    <row r="77" customFormat="false" ht="15.75" hidden="false" customHeight="false" outlineLevel="0" collapsed="false">
      <c r="B77" s="39" t="s">
        <v>240</v>
      </c>
      <c r="C77" s="40" t="str">
        <f aca="false">IF(B77="","",IFERROR(INDEX('CLM &amp; IM Mapping'!$B$2:$B$270,MATCH(TRIM(B77),'CLM &amp; IM Mapping'!$A$2:$A$270,0)),"Not Mapped"))</f>
        <v>Richard Harris</v>
      </c>
      <c r="D77" s="40" t="str">
        <f aca="false">IF(B77="","",IFERROR(INDEX('CLM &amp; IM Mapping'!$C$2:$C$270,MATCH(TRIM(B77),'CLM &amp; IM Mapping'!$A$2:$A$270,0)),"Not Mapped"))</f>
        <v>Kantha Kumar</v>
      </c>
      <c r="E77" s="41" t="n">
        <v>0</v>
      </c>
      <c r="F77" s="41" t="n">
        <v>0</v>
      </c>
      <c r="G77" s="41" t="n">
        <v>0</v>
      </c>
      <c r="H77" s="41" t="n">
        <v>0</v>
      </c>
      <c r="I77" s="41" t="n">
        <v>0</v>
      </c>
      <c r="J77" s="41" t="n">
        <v>0</v>
      </c>
      <c r="K77" s="41" t="n">
        <v>0</v>
      </c>
      <c r="L77" s="41" t="n">
        <v>0</v>
      </c>
    </row>
    <row r="78" customFormat="false" ht="15.75" hidden="false" customHeight="false" outlineLevel="0" collapsed="false">
      <c r="B78" s="39" t="s">
        <v>198</v>
      </c>
      <c r="C78" s="40" t="str">
        <f aca="false">IF(B78="","",IFERROR(INDEX('CLM &amp; IM Mapping'!$B$2:$B$270,MATCH(TRIM(B78),'CLM &amp; IM Mapping'!$A$2:$A$270,0)),"Not Mapped"))</f>
        <v>Girish N</v>
      </c>
      <c r="D78" s="40" t="str">
        <f aca="false">IF(B78="","",IFERROR(INDEX('CLM &amp; IM Mapping'!$C$2:$C$270,MATCH(TRIM(B78),'CLM &amp; IM Mapping'!$A$2:$A$270,0)),"Not Mapped"))</f>
        <v>Un Mapped</v>
      </c>
      <c r="E78" s="41" t="n">
        <v>3429</v>
      </c>
      <c r="F78" s="41" t="n">
        <v>996</v>
      </c>
      <c r="G78" s="41" t="n">
        <v>2035</v>
      </c>
      <c r="H78" s="41" t="n">
        <v>246</v>
      </c>
      <c r="I78" s="41" t="n">
        <v>0</v>
      </c>
      <c r="J78" s="41" t="n">
        <v>152</v>
      </c>
      <c r="K78" s="41" t="n">
        <v>0</v>
      </c>
      <c r="L78" s="41" t="n">
        <v>398</v>
      </c>
    </row>
    <row r="79" customFormat="false" ht="15.75" hidden="false" customHeight="false" outlineLevel="0" collapsed="false">
      <c r="B79" s="39" t="s">
        <v>231</v>
      </c>
      <c r="C79" s="40" t="str">
        <f aca="false">IF(B79="","",IFERROR(INDEX('CLM &amp; IM Mapping'!$B$2:$B$270,MATCH(TRIM(B79),'CLM &amp; IM Mapping'!$A$2:$A$270,0)),"Not Mapped"))</f>
        <v>Narasimhamurthy R</v>
      </c>
      <c r="D79" s="40" t="str">
        <f aca="false">IF(B79="","",IFERROR(INDEX('CLM &amp; IM Mapping'!$C$2:$C$270,MATCH(TRIM(B79),'CLM &amp; IM Mapping'!$A$2:$A$270,0)),"Not Mapped"))</f>
        <v>Kishor K</v>
      </c>
      <c r="E79" s="41" t="n">
        <v>6070</v>
      </c>
      <c r="F79" s="41" t="n">
        <v>6070</v>
      </c>
      <c r="G79" s="41" t="n">
        <v>0</v>
      </c>
      <c r="H79" s="41" t="n">
        <v>0</v>
      </c>
      <c r="I79" s="41" t="n">
        <v>0</v>
      </c>
      <c r="J79" s="41" t="n">
        <v>0</v>
      </c>
      <c r="K79" s="41" t="n">
        <v>0</v>
      </c>
      <c r="L79" s="41" t="n">
        <v>0</v>
      </c>
    </row>
    <row r="80" customFormat="false" ht="15.75" hidden="false" customHeight="false" outlineLevel="0" collapsed="false">
      <c r="B80" s="39" t="s">
        <v>62</v>
      </c>
      <c r="C80" s="40" t="str">
        <f aca="false">IF(B80="","",IFERROR(INDEX('CLM &amp; IM Mapping'!$B$2:$B$270,MATCH(TRIM(B80),'CLM &amp; IM Mapping'!$A$2:$A$270,0)),"Not Mapped"))</f>
        <v>Sundaresh S</v>
      </c>
      <c r="D80" s="40" t="str">
        <f aca="false">IF(B80="","",IFERROR(INDEX('CLM &amp; IM Mapping'!$C$2:$C$270,MATCH(TRIM(B80),'CLM &amp; IM Mapping'!$A$2:$A$270,0)),"Not Mapped"))</f>
        <v>Un Mapped</v>
      </c>
      <c r="E80" s="41" t="n">
        <v>317</v>
      </c>
      <c r="F80" s="41" t="n">
        <v>191</v>
      </c>
      <c r="G80" s="41" t="n">
        <v>0</v>
      </c>
      <c r="H80" s="41" t="n">
        <v>126</v>
      </c>
      <c r="I80" s="41" t="n">
        <v>0</v>
      </c>
      <c r="J80" s="41" t="n">
        <v>0</v>
      </c>
      <c r="K80" s="41" t="n">
        <v>0</v>
      </c>
      <c r="L80" s="41" t="n">
        <v>126</v>
      </c>
    </row>
    <row r="81" customFormat="false" ht="15.75" hidden="false" customHeight="false" outlineLevel="0" collapsed="false">
      <c r="B81" s="39" t="s">
        <v>192</v>
      </c>
      <c r="C81" s="40" t="str">
        <f aca="false">IF(B81="","",IFERROR(INDEX('CLM &amp; IM Mapping'!$B$2:$B$270,MATCH(TRIM(B81),'CLM &amp; IM Mapping'!$A$2:$A$270,0)),"Not Mapped"))</f>
        <v>Raghavendra Vernekar</v>
      </c>
      <c r="D81" s="40" t="str">
        <f aca="false">IF(B81="","",IFERROR(INDEX('CLM &amp; IM Mapping'!$C$2:$C$270,MATCH(TRIM(B81),'CLM &amp; IM Mapping'!$A$2:$A$270,0)),"Not Mapped"))</f>
        <v>Prakash BS</v>
      </c>
      <c r="E81" s="41" t="n">
        <v>1681</v>
      </c>
      <c r="F81" s="41" t="n">
        <v>1467</v>
      </c>
      <c r="G81" s="41" t="n">
        <v>2</v>
      </c>
      <c r="H81" s="41" t="n">
        <v>24</v>
      </c>
      <c r="I81" s="41" t="n">
        <v>83</v>
      </c>
      <c r="J81" s="41" t="n">
        <v>1</v>
      </c>
      <c r="K81" s="41" t="n">
        <v>104</v>
      </c>
      <c r="L81" s="41" t="n">
        <v>212</v>
      </c>
    </row>
    <row r="82" customFormat="false" ht="15.75" hidden="false" customHeight="false" outlineLevel="0" collapsed="false">
      <c r="B82" s="39" t="s">
        <v>102</v>
      </c>
      <c r="C82" s="40" t="str">
        <f aca="false">IF(B82="","",IFERROR(INDEX('CLM &amp; IM Mapping'!$B$2:$B$270,MATCH(TRIM(B82),'CLM &amp; IM Mapping'!$A$2:$A$270,0)),"Not Mapped"))</f>
        <v>Saddam Hussain</v>
      </c>
      <c r="D82" s="40" t="str">
        <f aca="false">IF(B82="","",IFERROR(INDEX('CLM &amp; IM Mapping'!$C$2:$C$270,MATCH(TRIM(B82),'CLM &amp; IM Mapping'!$A$2:$A$270,0)),"Not Mapped"))</f>
        <v>Un Mapped</v>
      </c>
      <c r="E82" s="41" t="n">
        <v>374</v>
      </c>
      <c r="F82" s="41" t="n">
        <v>4</v>
      </c>
      <c r="G82" s="41" t="n">
        <v>370</v>
      </c>
      <c r="H82" s="41" t="n">
        <v>0</v>
      </c>
      <c r="I82" s="41" t="n">
        <v>0</v>
      </c>
      <c r="J82" s="41" t="n">
        <v>0</v>
      </c>
      <c r="K82" s="41" t="n">
        <v>0</v>
      </c>
      <c r="L82" s="41" t="n">
        <v>0</v>
      </c>
    </row>
    <row r="83" customFormat="false" ht="15.75" hidden="false" customHeight="false" outlineLevel="0" collapsed="false">
      <c r="B83" s="39" t="s">
        <v>85</v>
      </c>
      <c r="C83" s="40" t="str">
        <f aca="false">IF(B83="","",IFERROR(INDEX('CLM &amp; IM Mapping'!$B$2:$B$270,MATCH(TRIM(B83),'CLM &amp; IM Mapping'!$A$2:$A$270,0)),"Not Mapped"))</f>
        <v>Narasimhamurthy R</v>
      </c>
      <c r="D83" s="40" t="str">
        <f aca="false">IF(B83="","",IFERROR(INDEX('CLM &amp; IM Mapping'!$C$2:$C$270,MATCH(TRIM(B83),'CLM &amp; IM Mapping'!$A$2:$A$270,0)),"Not Mapped"))</f>
        <v>Kishor K</v>
      </c>
      <c r="E83" s="41" t="n">
        <v>0</v>
      </c>
      <c r="F83" s="41" t="n">
        <v>0</v>
      </c>
      <c r="G83" s="41" t="n">
        <v>0</v>
      </c>
      <c r="H83" s="41" t="n">
        <v>0</v>
      </c>
      <c r="I83" s="41" t="n">
        <v>0</v>
      </c>
      <c r="J83" s="41" t="n">
        <v>0</v>
      </c>
      <c r="K83" s="41" t="n">
        <v>0</v>
      </c>
      <c r="L83" s="41" t="n">
        <v>0</v>
      </c>
    </row>
    <row r="84" customFormat="false" ht="15.75" hidden="false" customHeight="false" outlineLevel="0" collapsed="false">
      <c r="B84" s="39" t="s">
        <v>99</v>
      </c>
      <c r="C84" s="40" t="str">
        <f aca="false">IF(B84="","",IFERROR(INDEX('CLM &amp; IM Mapping'!$B$2:$B$270,MATCH(TRIM(B84),'CLM &amp; IM Mapping'!$A$2:$A$270,0)),"Not Mapped"))</f>
        <v>Rizwan Ahmed</v>
      </c>
      <c r="D84" s="40" t="str">
        <f aca="false">IF(B84="","",IFERROR(INDEX('CLM &amp; IM Mapping'!$C$2:$C$270,MATCH(TRIM(B84),'CLM &amp; IM Mapping'!$A$2:$A$270,0)),"Not Mapped"))</f>
        <v>Un Mapped</v>
      </c>
      <c r="E84" s="41" t="n">
        <v>1937</v>
      </c>
      <c r="F84" s="41" t="n">
        <v>0</v>
      </c>
      <c r="G84" s="41" t="n">
        <v>1936</v>
      </c>
      <c r="H84" s="41" t="n">
        <v>0</v>
      </c>
      <c r="I84" s="41" t="n">
        <v>0</v>
      </c>
      <c r="J84" s="41" t="n">
        <v>0</v>
      </c>
      <c r="K84" s="41" t="n">
        <v>1</v>
      </c>
      <c r="L84" s="41" t="n">
        <v>1</v>
      </c>
    </row>
    <row r="85" customFormat="false" ht="15.75" hidden="false" customHeight="false" outlineLevel="0" collapsed="false">
      <c r="B85" s="39" t="s">
        <v>263</v>
      </c>
      <c r="C85" s="40" t="str">
        <f aca="false">IF(B85="","",IFERROR(INDEX('CLM &amp; IM Mapping'!$B$2:$B$270,MATCH(TRIM(B85),'CLM &amp; IM Mapping'!$A$2:$A$270,0)),"Not Mapped"))</f>
        <v>Silambarasan E</v>
      </c>
      <c r="D85" s="40" t="str">
        <f aca="false">IF(B85="","",IFERROR(INDEX('CLM &amp; IM Mapping'!$C$2:$C$270,MATCH(TRIM(B85),'CLM &amp; IM Mapping'!$A$2:$A$270,0)),"Not Mapped"))</f>
        <v>Arivind S</v>
      </c>
      <c r="E85" s="41" t="n">
        <v>7560</v>
      </c>
      <c r="F85" s="41" t="n">
        <v>6957</v>
      </c>
      <c r="G85" s="41" t="n">
        <v>0</v>
      </c>
      <c r="H85" s="41" t="n">
        <v>0</v>
      </c>
      <c r="I85" s="41" t="n">
        <v>584</v>
      </c>
      <c r="J85" s="41" t="n">
        <v>0</v>
      </c>
      <c r="K85" s="41" t="n">
        <v>19</v>
      </c>
      <c r="L85" s="41" t="n">
        <v>603</v>
      </c>
    </row>
    <row r="86" customFormat="false" ht="15.75" hidden="false" customHeight="false" outlineLevel="0" collapsed="false">
      <c r="B86" s="23" t="s">
        <v>268</v>
      </c>
      <c r="C86" s="44" t="str">
        <f aca="false">IF(B86="","",IFERROR(INDEX('CLM &amp; IM Mapping'!$B$2:$B$270,MATCH(TRIM(B86),'CLM &amp; IM Mapping'!$A$2:$A$270,0)),"Not Mapped"))</f>
        <v>Arun Raj</v>
      </c>
      <c r="D86" s="44" t="str">
        <f aca="false">IF(B86="","",IFERROR(INDEX('CLM &amp; IM Mapping'!$C$2:$C$270,MATCH(TRIM(B86),'CLM &amp; IM Mapping'!$A$2:$A$270,0)),"Not Mapped"))</f>
        <v>Simon Manoharan</v>
      </c>
      <c r="E86" s="41" t="n">
        <v>15</v>
      </c>
      <c r="F86" s="41" t="n">
        <v>0</v>
      </c>
      <c r="G86" s="41" t="n">
        <v>0</v>
      </c>
      <c r="H86" s="41" t="n">
        <v>0</v>
      </c>
      <c r="I86" s="41" t="n">
        <v>15</v>
      </c>
      <c r="J86" s="41" t="n">
        <v>0</v>
      </c>
      <c r="K86" s="41" t="n">
        <v>0</v>
      </c>
      <c r="L86" s="41" t="n">
        <v>15</v>
      </c>
    </row>
    <row r="87" customFormat="false" ht="15.75" hidden="false" customHeight="false" outlineLevel="0" collapsed="false">
      <c r="B87" s="39" t="s">
        <v>197</v>
      </c>
      <c r="C87" s="40" t="str">
        <f aca="false">IF(B87="","",IFERROR(INDEX('CLM &amp; IM Mapping'!$B$2:$B$270,MATCH(TRIM(B87),'CLM &amp; IM Mapping'!$A$2:$A$270,0)),"Not Mapped"))</f>
        <v>Balaji G</v>
      </c>
      <c r="D87" s="40" t="str">
        <f aca="false">IF(B87="","",IFERROR(INDEX('CLM &amp; IM Mapping'!$C$2:$C$270,MATCH(TRIM(B87),'CLM &amp; IM Mapping'!$A$2:$A$270,0)),"Not Mapped"))</f>
        <v>Mohammed Akbar</v>
      </c>
      <c r="E87" s="41" t="n">
        <v>0</v>
      </c>
      <c r="F87" s="41" t="n">
        <v>0</v>
      </c>
      <c r="G87" s="41" t="n">
        <v>0</v>
      </c>
      <c r="H87" s="41" t="n">
        <v>0</v>
      </c>
      <c r="I87" s="41" t="n">
        <v>0</v>
      </c>
      <c r="J87" s="41" t="n">
        <v>0</v>
      </c>
      <c r="K87" s="41" t="n">
        <v>0</v>
      </c>
      <c r="L87" s="41" t="n">
        <v>0</v>
      </c>
    </row>
    <row r="88" customFormat="false" ht="15.75" hidden="false" customHeight="false" outlineLevel="0" collapsed="false">
      <c r="B88" s="39" t="s">
        <v>257</v>
      </c>
      <c r="C88" s="40" t="str">
        <f aca="false">IF(B88="","",IFERROR(INDEX('CLM &amp; IM Mapping'!$B$2:$B$270,MATCH(TRIM(B88),'CLM &amp; IM Mapping'!$A$2:$A$270,0)),"Not Mapped"))</f>
        <v>Balaji G</v>
      </c>
      <c r="D88" s="40" t="str">
        <f aca="false">IF(B88="","",IFERROR(INDEX('CLM &amp; IM Mapping'!$C$2:$C$270,MATCH(TRIM(B88),'CLM &amp; IM Mapping'!$A$2:$A$270,0)),"Not Mapped"))</f>
        <v>Mohammed Akbar</v>
      </c>
      <c r="E88" s="41" t="n">
        <v>371</v>
      </c>
      <c r="F88" s="41" t="n">
        <v>9</v>
      </c>
      <c r="G88" s="41" t="n">
        <v>0</v>
      </c>
      <c r="H88" s="41" t="n">
        <v>362</v>
      </c>
      <c r="I88" s="41" t="n">
        <v>0</v>
      </c>
      <c r="J88" s="41" t="n">
        <v>0</v>
      </c>
      <c r="K88" s="41" t="n">
        <v>0</v>
      </c>
      <c r="L88" s="41" t="n">
        <v>362</v>
      </c>
    </row>
    <row r="89" customFormat="false" ht="15.75" hidden="false" customHeight="false" outlineLevel="0" collapsed="false">
      <c r="B89" s="39" t="s">
        <v>178</v>
      </c>
      <c r="C89" s="40" t="str">
        <f aca="false">IF(B89="","",IFERROR(INDEX('CLM &amp; IM Mapping'!$B$2:$B$270,MATCH(TRIM(B89),'CLM &amp; IM Mapping'!$A$2:$A$270,0)),"Not Mapped"))</f>
        <v>Balaji G</v>
      </c>
      <c r="D89" s="40" t="str">
        <f aca="false">IF(B89="","",IFERROR(INDEX('CLM &amp; IM Mapping'!$C$2:$C$270,MATCH(TRIM(B89),'CLM &amp; IM Mapping'!$A$2:$A$270,0)),"Not Mapped"))</f>
        <v>Mohammed Akbar</v>
      </c>
      <c r="E89" s="41" t="n">
        <v>0</v>
      </c>
      <c r="F89" s="41" t="n">
        <v>0</v>
      </c>
      <c r="G89" s="41" t="n">
        <v>0</v>
      </c>
      <c r="H89" s="41" t="n">
        <v>0</v>
      </c>
      <c r="I89" s="41" t="n">
        <v>0</v>
      </c>
      <c r="J89" s="41" t="n">
        <v>0</v>
      </c>
      <c r="K89" s="41" t="n">
        <v>0</v>
      </c>
      <c r="L89" s="41" t="n">
        <v>0</v>
      </c>
    </row>
    <row r="90" customFormat="false" ht="15.75" hidden="false" customHeight="false" outlineLevel="0" collapsed="false">
      <c r="B90" s="39" t="s">
        <v>128</v>
      </c>
      <c r="C90" s="40" t="str">
        <f aca="false">IF(B90="","",IFERROR(INDEX('CLM &amp; IM Mapping'!$B$2:$B$270,MATCH(TRIM(B90),'CLM &amp; IM Mapping'!$A$2:$A$270,0)),"Not Mapped"))</f>
        <v>Silambarasan E</v>
      </c>
      <c r="D90" s="40" t="str">
        <f aca="false">IF(B90="","",IFERROR(INDEX('CLM &amp; IM Mapping'!$C$2:$C$270,MATCH(TRIM(B90),'CLM &amp; IM Mapping'!$A$2:$A$270,0)),"Not Mapped"))</f>
        <v>Arivind S</v>
      </c>
      <c r="E90" s="41" t="n">
        <v>914</v>
      </c>
      <c r="F90" s="41" t="n">
        <v>0</v>
      </c>
      <c r="G90" s="41" t="n">
        <v>0</v>
      </c>
      <c r="H90" s="41" t="n">
        <v>914</v>
      </c>
      <c r="I90" s="41" t="n">
        <v>0</v>
      </c>
      <c r="J90" s="41" t="n">
        <v>0</v>
      </c>
      <c r="K90" s="41" t="n">
        <v>0</v>
      </c>
      <c r="L90" s="41" t="n">
        <v>914</v>
      </c>
    </row>
    <row r="91" customFormat="false" ht="15.75" hidden="false" customHeight="false" outlineLevel="0" collapsed="false">
      <c r="B91" s="39" t="s">
        <v>195</v>
      </c>
      <c r="C91" s="40" t="str">
        <f aca="false">IF(B91="","",IFERROR(INDEX('CLM &amp; IM Mapping'!$B$2:$B$270,MATCH(TRIM(B91),'CLM &amp; IM Mapping'!$A$2:$A$270,0)),"Not Mapped"))</f>
        <v>Ravishankar gowda</v>
      </c>
      <c r="D91" s="40" t="str">
        <f aca="false">IF(B91="","",IFERROR(INDEX('CLM &amp; IM Mapping'!$C$2:$C$270,MATCH(TRIM(B91),'CLM &amp; IM Mapping'!$A$2:$A$270,0)),"Not Mapped"))</f>
        <v>Kishor K</v>
      </c>
      <c r="E91" s="41" t="n">
        <v>7312</v>
      </c>
      <c r="F91" s="41" t="n">
        <v>7312</v>
      </c>
      <c r="G91" s="41" t="n">
        <v>0</v>
      </c>
      <c r="H91" s="41" t="n">
        <v>0</v>
      </c>
      <c r="I91" s="41" t="n">
        <v>0</v>
      </c>
      <c r="J91" s="41" t="n">
        <v>0</v>
      </c>
      <c r="K91" s="41" t="n">
        <v>0</v>
      </c>
      <c r="L91" s="41" t="n">
        <v>0</v>
      </c>
    </row>
    <row r="92" customFormat="false" ht="15.75" hidden="false" customHeight="false" outlineLevel="0" collapsed="false">
      <c r="B92" s="39" t="s">
        <v>124</v>
      </c>
      <c r="C92" s="40" t="str">
        <f aca="false">IF(B92="","",IFERROR(INDEX('CLM &amp; IM Mapping'!$B$2:$B$270,MATCH(TRIM(B92),'CLM &amp; IM Mapping'!$A$2:$A$270,0)),"Not Mapped"))</f>
        <v>Akshay P</v>
      </c>
      <c r="D92" s="40" t="str">
        <f aca="false">IF(B92="","",IFERROR(INDEX('CLM &amp; IM Mapping'!$C$2:$C$270,MATCH(TRIM(B92),'CLM &amp; IM Mapping'!$A$2:$A$270,0)),"Not Mapped"))</f>
        <v>Srittam Dhal</v>
      </c>
      <c r="E92" s="41" t="n">
        <v>4262</v>
      </c>
      <c r="F92" s="41" t="n">
        <v>985</v>
      </c>
      <c r="G92" s="41" t="n">
        <v>0</v>
      </c>
      <c r="H92" s="41" t="n">
        <v>3277</v>
      </c>
      <c r="I92" s="41" t="n">
        <v>0</v>
      </c>
      <c r="J92" s="41" t="n">
        <v>0</v>
      </c>
      <c r="K92" s="41" t="n">
        <v>0</v>
      </c>
      <c r="L92" s="41" t="n">
        <v>3277</v>
      </c>
    </row>
    <row r="93" customFormat="false" ht="15.75" hidden="false" customHeight="false" outlineLevel="0" collapsed="false">
      <c r="B93" s="39" t="s">
        <v>104</v>
      </c>
      <c r="C93" s="40" t="str">
        <f aca="false">IF(B93="","",IFERROR(INDEX('CLM &amp; IM Mapping'!$B$2:$B$270,MATCH(TRIM(B93),'CLM &amp; IM Mapping'!$A$2:$A$270,0)),"Not Mapped"))</f>
        <v>Vijay M</v>
      </c>
      <c r="D93" s="40" t="str">
        <f aca="false">IF(B93="","",IFERROR(INDEX('CLM &amp; IM Mapping'!$C$2:$C$270,MATCH(TRIM(B93),'CLM &amp; IM Mapping'!$A$2:$A$270,0)),"Not Mapped"))</f>
        <v>Kantha Kumar</v>
      </c>
      <c r="E93" s="41" t="n">
        <v>7267</v>
      </c>
      <c r="F93" s="41" t="n">
        <v>0</v>
      </c>
      <c r="G93" s="41" t="n">
        <v>6000</v>
      </c>
      <c r="H93" s="41" t="n">
        <v>0</v>
      </c>
      <c r="I93" s="41" t="n">
        <v>519</v>
      </c>
      <c r="J93" s="41" t="n">
        <v>715</v>
      </c>
      <c r="K93" s="41" t="n">
        <v>33</v>
      </c>
      <c r="L93" s="41" t="n">
        <v>1267</v>
      </c>
    </row>
    <row r="94" customFormat="false" ht="15.75" hidden="false" customHeight="false" outlineLevel="0" collapsed="false">
      <c r="B94" s="39" t="s">
        <v>236</v>
      </c>
      <c r="C94" s="40" t="str">
        <f aca="false">IF(B94="","",IFERROR(INDEX('CLM &amp; IM Mapping'!$B$2:$B$270,MATCH(TRIM(B94),'CLM &amp; IM Mapping'!$A$2:$A$270,0)),"Not Mapped"))</f>
        <v>Balaji G</v>
      </c>
      <c r="D94" s="40" t="str">
        <f aca="false">IF(B94="","",IFERROR(INDEX('CLM &amp; IM Mapping'!$C$2:$C$270,MATCH(TRIM(B94),'CLM &amp; IM Mapping'!$A$2:$A$270,0)),"Not Mapped"))</f>
        <v>Mohammed Akbar</v>
      </c>
      <c r="E94" s="41" t="n">
        <v>1600</v>
      </c>
      <c r="F94" s="41" t="n">
        <v>742</v>
      </c>
      <c r="G94" s="41" t="n">
        <v>680</v>
      </c>
      <c r="H94" s="41" t="n">
        <v>178</v>
      </c>
      <c r="I94" s="41" t="n">
        <v>0</v>
      </c>
      <c r="J94" s="41" t="n">
        <v>0</v>
      </c>
      <c r="K94" s="41" t="n">
        <v>0</v>
      </c>
      <c r="L94" s="41" t="n">
        <v>178</v>
      </c>
    </row>
    <row r="95" customFormat="false" ht="15.75" hidden="false" customHeight="false" outlineLevel="0" collapsed="false">
      <c r="B95" s="39" t="s">
        <v>133</v>
      </c>
      <c r="C95" s="40" t="str">
        <f aca="false">IF(B95="","",IFERROR(INDEX('CLM &amp; IM Mapping'!$B$2:$B$270,MATCH(TRIM(B95),'CLM &amp; IM Mapping'!$A$2:$A$270,0)),"Not Mapped"))</f>
        <v>Ashwath S</v>
      </c>
      <c r="D95" s="40" t="str">
        <f aca="false">IF(B95="","",IFERROR(INDEX('CLM &amp; IM Mapping'!$C$2:$C$270,MATCH(TRIM(B95),'CLM &amp; IM Mapping'!$A$2:$A$270,0)),"Not Mapped"))</f>
        <v>Kantha Kumar</v>
      </c>
      <c r="E95" s="41" t="n">
        <v>73</v>
      </c>
      <c r="F95" s="41" t="n">
        <v>66</v>
      </c>
      <c r="G95" s="41" t="n">
        <v>7</v>
      </c>
      <c r="H95" s="41" t="n">
        <v>0</v>
      </c>
      <c r="I95" s="41" t="n">
        <v>0</v>
      </c>
      <c r="J95" s="41" t="n">
        <v>0</v>
      </c>
      <c r="K95" s="41" t="n">
        <v>0</v>
      </c>
      <c r="L95" s="41" t="n">
        <v>0</v>
      </c>
    </row>
    <row r="96" customFormat="false" ht="15.75" hidden="false" customHeight="false" outlineLevel="0" collapsed="false">
      <c r="B96" s="39" t="s">
        <v>221</v>
      </c>
      <c r="C96" s="40" t="str">
        <f aca="false">IF(B96="","",IFERROR(INDEX('CLM &amp; IM Mapping'!$B$2:$B$270,MATCH(TRIM(B96),'CLM &amp; IM Mapping'!$A$2:$A$270,0)),"Not Mapped"))</f>
        <v>Balaji G</v>
      </c>
      <c r="D96" s="40" t="str">
        <f aca="false">IF(B96="","",IFERROR(INDEX('CLM &amp; IM Mapping'!$C$2:$C$270,MATCH(TRIM(B96),'CLM &amp; IM Mapping'!$A$2:$A$270,0)),"Not Mapped"))</f>
        <v>Mohammed Akbar</v>
      </c>
      <c r="E96" s="41" t="n">
        <v>0</v>
      </c>
      <c r="F96" s="41" t="n">
        <v>0</v>
      </c>
      <c r="G96" s="41" t="n">
        <v>0</v>
      </c>
      <c r="H96" s="41" t="n">
        <v>0</v>
      </c>
      <c r="I96" s="41" t="n">
        <v>0</v>
      </c>
      <c r="J96" s="41" t="n">
        <v>0</v>
      </c>
      <c r="K96" s="41" t="n">
        <v>0</v>
      </c>
      <c r="L96" s="41" t="n">
        <v>0</v>
      </c>
    </row>
    <row r="97" customFormat="false" ht="15.75" hidden="false" customHeight="false" outlineLevel="0" collapsed="false">
      <c r="B97" s="39" t="s">
        <v>225</v>
      </c>
      <c r="C97" s="40" t="str">
        <f aca="false">IF(B97="","",IFERROR(INDEX('CLM &amp; IM Mapping'!$B$2:$B$270,MATCH(TRIM(B97),'CLM &amp; IM Mapping'!$A$2:$A$270,0)),"Not Mapped"))</f>
        <v>Raghavendra Vernekar</v>
      </c>
      <c r="D97" s="40" t="str">
        <f aca="false">IF(B97="","",IFERROR(INDEX('CLM &amp; IM Mapping'!$C$2:$C$270,MATCH(TRIM(B97),'CLM &amp; IM Mapping'!$A$2:$A$270,0)),"Not Mapped"))</f>
        <v>Prakash BS</v>
      </c>
      <c r="E97" s="41" t="n">
        <v>3712</v>
      </c>
      <c r="F97" s="41" t="n">
        <v>3700</v>
      </c>
      <c r="G97" s="41" t="n">
        <v>0</v>
      </c>
      <c r="H97" s="41" t="n">
        <v>0</v>
      </c>
      <c r="I97" s="41" t="n">
        <v>10</v>
      </c>
      <c r="J97" s="41" t="n">
        <v>2</v>
      </c>
      <c r="K97" s="41" t="n">
        <v>0</v>
      </c>
      <c r="L97" s="41" t="n">
        <v>12</v>
      </c>
    </row>
    <row r="98" customFormat="false" ht="15.75" hidden="false" customHeight="false" outlineLevel="0" collapsed="false">
      <c r="B98" s="39" t="s">
        <v>275</v>
      </c>
      <c r="C98" s="40" t="str">
        <f aca="false">IF(B98="","",IFERROR(INDEX('CLM &amp; IM Mapping'!$B$2:$B$270,MATCH(TRIM(B98),'CLM &amp; IM Mapping'!$A$2:$A$270,0)),"Not Mapped"))</f>
        <v>Adhavan Subramani</v>
      </c>
      <c r="D98" s="40" t="str">
        <f aca="false">IF(B98="","",IFERROR(INDEX('CLM &amp; IM Mapping'!$C$2:$C$270,MATCH(TRIM(B98),'CLM &amp; IM Mapping'!$A$2:$A$270,0)),"Not Mapped"))</f>
        <v>Mohammed Akbar</v>
      </c>
      <c r="E98" s="41" t="n">
        <v>0</v>
      </c>
      <c r="F98" s="41" t="n">
        <v>0</v>
      </c>
      <c r="G98" s="41" t="n">
        <v>0</v>
      </c>
      <c r="H98" s="41" t="n">
        <v>0</v>
      </c>
      <c r="I98" s="41" t="n">
        <v>0</v>
      </c>
      <c r="J98" s="41" t="n">
        <v>0</v>
      </c>
      <c r="K98" s="41" t="n">
        <v>0</v>
      </c>
      <c r="L98" s="41" t="n">
        <v>0</v>
      </c>
    </row>
    <row r="99" customFormat="false" ht="15.75" hidden="false" customHeight="false" outlineLevel="0" collapsed="false">
      <c r="B99" s="39" t="s">
        <v>23</v>
      </c>
      <c r="C99" s="40" t="str">
        <f aca="false">IF(B99="","",IFERROR(INDEX('CLM &amp; IM Mapping'!$B$2:$B$270,MATCH(TRIM(B99),'CLM &amp; IM Mapping'!$A$2:$A$270,0)),"Not Mapped"))</f>
        <v>Akshay P</v>
      </c>
      <c r="D99" s="40" t="str">
        <f aca="false">IF(B99="","",IFERROR(INDEX('CLM &amp; IM Mapping'!$C$2:$C$270,MATCH(TRIM(B99),'CLM &amp; IM Mapping'!$A$2:$A$270,0)),"Not Mapped"))</f>
        <v>Srittam Dhal</v>
      </c>
      <c r="E99" s="41" t="n">
        <v>155</v>
      </c>
      <c r="F99" s="41" t="n">
        <v>0</v>
      </c>
      <c r="G99" s="41" t="n">
        <v>127</v>
      </c>
      <c r="H99" s="41" t="n">
        <v>0</v>
      </c>
      <c r="I99" s="41" t="n">
        <v>0</v>
      </c>
      <c r="J99" s="41" t="n">
        <v>0</v>
      </c>
      <c r="K99" s="41" t="n">
        <v>28</v>
      </c>
      <c r="L99" s="41" t="n">
        <v>28</v>
      </c>
    </row>
    <row r="100" customFormat="false" ht="15.75" hidden="false" customHeight="false" outlineLevel="0" collapsed="false">
      <c r="B100" s="39" t="s">
        <v>30</v>
      </c>
      <c r="C100" s="40" t="str">
        <f aca="false">IF(B100="","",IFERROR(INDEX('CLM &amp; IM Mapping'!$B$2:$B$270,MATCH(TRIM(B100),'CLM &amp; IM Mapping'!$A$2:$A$270,0)),"Not Mapped"))</f>
        <v>Ravishankar gowda</v>
      </c>
      <c r="D100" s="40" t="str">
        <f aca="false">IF(B100="","",IFERROR(INDEX('CLM &amp; IM Mapping'!$C$2:$C$270,MATCH(TRIM(B100),'CLM &amp; IM Mapping'!$A$2:$A$270,0)),"Not Mapped"))</f>
        <v>Kishor K</v>
      </c>
      <c r="E100" s="41" t="n">
        <v>5</v>
      </c>
      <c r="F100" s="41" t="n">
        <v>5</v>
      </c>
      <c r="G100" s="41" t="n">
        <v>0</v>
      </c>
      <c r="H100" s="41" t="n">
        <v>0</v>
      </c>
      <c r="I100" s="41" t="n">
        <v>0</v>
      </c>
      <c r="J100" s="41" t="n">
        <v>0</v>
      </c>
      <c r="K100" s="41" t="n">
        <v>0</v>
      </c>
      <c r="L100" s="41" t="n">
        <v>0</v>
      </c>
    </row>
    <row r="101" customFormat="false" ht="15.75" hidden="false" customHeight="false" outlineLevel="0" collapsed="false">
      <c r="B101" s="39" t="s">
        <v>129</v>
      </c>
      <c r="C101" s="40" t="str">
        <f aca="false">IF(B101="","",IFERROR(INDEX('CLM &amp; IM Mapping'!$B$2:$B$270,MATCH(TRIM(B101),'CLM &amp; IM Mapping'!$A$2:$A$270,0)),"Not Mapped"))</f>
        <v>Ravishankar gowda</v>
      </c>
      <c r="D101" s="40" t="str">
        <f aca="false">IF(B101="","",IFERROR(INDEX('CLM &amp; IM Mapping'!$C$2:$C$270,MATCH(TRIM(B101),'CLM &amp; IM Mapping'!$A$2:$A$270,0)),"Not Mapped"))</f>
        <v>Kishor K</v>
      </c>
      <c r="E101" s="41" t="n">
        <v>23</v>
      </c>
      <c r="F101" s="41" t="n">
        <v>0</v>
      </c>
      <c r="G101" s="41" t="n">
        <v>0</v>
      </c>
      <c r="H101" s="41" t="n">
        <v>23</v>
      </c>
      <c r="I101" s="41" t="n">
        <v>0</v>
      </c>
      <c r="J101" s="41" t="n">
        <v>0</v>
      </c>
      <c r="K101" s="41" t="n">
        <v>0</v>
      </c>
      <c r="L101" s="41" t="n">
        <v>23</v>
      </c>
    </row>
    <row r="102" customFormat="false" ht="15.75" hidden="false" customHeight="false" outlineLevel="0" collapsed="false">
      <c r="B102" s="39" t="s">
        <v>242</v>
      </c>
      <c r="C102" s="40" t="str">
        <f aca="false">IF(B102="","",IFERROR(INDEX('CLM &amp; IM Mapping'!$B$2:$B$270,MATCH(TRIM(B102),'CLM &amp; IM Mapping'!$A$2:$A$270,0)),"Not Mapped"))</f>
        <v>Ashwath S</v>
      </c>
      <c r="D102" s="40" t="str">
        <f aca="false">IF(B102="","",IFERROR(INDEX('CLM &amp; IM Mapping'!$C$2:$C$270,MATCH(TRIM(B102),'CLM &amp; IM Mapping'!$A$2:$A$270,0)),"Not Mapped"))</f>
        <v>Kantha Kumar</v>
      </c>
      <c r="E102" s="41" t="n">
        <v>301</v>
      </c>
      <c r="F102" s="41" t="n">
        <v>0</v>
      </c>
      <c r="G102" s="41" t="n">
        <v>253</v>
      </c>
      <c r="H102" s="41" t="n">
        <v>48</v>
      </c>
      <c r="I102" s="41" t="n">
        <v>0</v>
      </c>
      <c r="J102" s="41" t="n">
        <v>0</v>
      </c>
      <c r="K102" s="41" t="n">
        <v>0</v>
      </c>
      <c r="L102" s="41" t="n">
        <v>48</v>
      </c>
    </row>
    <row r="103" customFormat="false" ht="15.75" hidden="false" customHeight="false" outlineLevel="0" collapsed="false">
      <c r="B103" s="39" t="s">
        <v>54</v>
      </c>
      <c r="C103" s="40" t="str">
        <f aca="false">IF(B103="","",IFERROR(INDEX('CLM &amp; IM Mapping'!$B$2:$B$270,MATCH(TRIM(B103),'CLM &amp; IM Mapping'!$A$2:$A$270,0)),"Not Mapped"))</f>
        <v>Manoj Kj</v>
      </c>
      <c r="D103" s="40" t="str">
        <f aca="false">IF(B103="","",IFERROR(INDEX('CLM &amp; IM Mapping'!$C$2:$C$270,MATCH(TRIM(B103),'CLM &amp; IM Mapping'!$A$2:$A$270,0)),"Not Mapped"))</f>
        <v>Srittam Dhal</v>
      </c>
      <c r="E103" s="41" t="n">
        <v>0</v>
      </c>
      <c r="F103" s="41" t="n">
        <v>0</v>
      </c>
      <c r="G103" s="41" t="n">
        <v>0</v>
      </c>
      <c r="H103" s="41" t="n">
        <v>0</v>
      </c>
      <c r="I103" s="41" t="n">
        <v>0</v>
      </c>
      <c r="J103" s="41" t="n">
        <v>0</v>
      </c>
      <c r="K103" s="41" t="n">
        <v>0</v>
      </c>
      <c r="L103" s="41" t="n">
        <v>0</v>
      </c>
    </row>
    <row r="104" customFormat="false" ht="15.75" hidden="false" customHeight="false" outlineLevel="0" collapsed="false">
      <c r="B104" s="39" t="s">
        <v>24</v>
      </c>
      <c r="C104" s="40" t="str">
        <f aca="false">IF(B104="","",IFERROR(INDEX('CLM &amp; IM Mapping'!$B$2:$B$270,MATCH(TRIM(B104),'CLM &amp; IM Mapping'!$A$2:$A$270,0)),"Not Mapped"))</f>
        <v>Balaji G</v>
      </c>
      <c r="D104" s="40" t="str">
        <f aca="false">IF(B104="","",IFERROR(INDEX('CLM &amp; IM Mapping'!$C$2:$C$270,MATCH(TRIM(B104),'CLM &amp; IM Mapping'!$A$2:$A$270,0)),"Not Mapped"))</f>
        <v>Mohammed Akbar</v>
      </c>
      <c r="E104" s="41" t="n">
        <v>692</v>
      </c>
      <c r="F104" s="41" t="n">
        <v>0</v>
      </c>
      <c r="G104" s="41" t="n">
        <v>589</v>
      </c>
      <c r="H104" s="41" t="n">
        <v>0</v>
      </c>
      <c r="I104" s="41" t="n">
        <v>103</v>
      </c>
      <c r="J104" s="41" t="n">
        <v>0</v>
      </c>
      <c r="K104" s="41" t="n">
        <v>0</v>
      </c>
      <c r="L104" s="41" t="n">
        <v>103</v>
      </c>
    </row>
    <row r="105" customFormat="false" ht="15.75" hidden="false" customHeight="false" outlineLevel="0" collapsed="false">
      <c r="B105" s="39" t="s">
        <v>151</v>
      </c>
      <c r="C105" s="40" t="str">
        <f aca="false">IF(B105="","",IFERROR(INDEX('CLM &amp; IM Mapping'!$B$2:$B$270,MATCH(TRIM(B105),'CLM &amp; IM Mapping'!$A$2:$A$270,0)),"Not Mapped"))</f>
        <v>Manjunatha V</v>
      </c>
      <c r="D105" s="40" t="str">
        <f aca="false">IF(B105="","",IFERROR(INDEX('CLM &amp; IM Mapping'!$C$2:$C$270,MATCH(TRIM(B105),'CLM &amp; IM Mapping'!$A$2:$A$270,0)),"Not Mapped"))</f>
        <v>Un Mapped</v>
      </c>
      <c r="E105" s="41" t="n">
        <v>7054</v>
      </c>
      <c r="F105" s="41" t="n">
        <v>573</v>
      </c>
      <c r="G105" s="41" t="n">
        <v>6048</v>
      </c>
      <c r="H105" s="41" t="n">
        <v>0</v>
      </c>
      <c r="I105" s="41" t="n">
        <v>367</v>
      </c>
      <c r="J105" s="41" t="n">
        <v>0</v>
      </c>
      <c r="K105" s="41" t="n">
        <v>66</v>
      </c>
      <c r="L105" s="41" t="n">
        <v>433</v>
      </c>
    </row>
    <row r="106" customFormat="false" ht="15.75" hidden="false" customHeight="false" outlineLevel="0" collapsed="false">
      <c r="B106" s="39" t="s">
        <v>113</v>
      </c>
      <c r="C106" s="40" t="str">
        <f aca="false">IF(B106="","",IFERROR(INDEX('CLM &amp; IM Mapping'!$B$2:$B$270,MATCH(TRIM(B106),'CLM &amp; IM Mapping'!$A$2:$A$270,0)),"Not Mapped"))</f>
        <v>Ashwath S</v>
      </c>
      <c r="D106" s="40" t="str">
        <f aca="false">IF(B106="","",IFERROR(INDEX('CLM &amp; IM Mapping'!$C$2:$C$270,MATCH(TRIM(B106),'CLM &amp; IM Mapping'!$A$2:$A$270,0)),"Not Mapped"))</f>
        <v>Kantha Kumar</v>
      </c>
      <c r="E106" s="41" t="n">
        <v>1900</v>
      </c>
      <c r="F106" s="41" t="n">
        <v>0</v>
      </c>
      <c r="G106" s="41" t="n">
        <v>0</v>
      </c>
      <c r="H106" s="41" t="n">
        <v>1900</v>
      </c>
      <c r="I106" s="41" t="n">
        <v>0</v>
      </c>
      <c r="J106" s="41" t="n">
        <v>0</v>
      </c>
      <c r="K106" s="41" t="n">
        <v>0</v>
      </c>
      <c r="L106" s="41" t="n">
        <v>1900</v>
      </c>
    </row>
    <row r="107" customFormat="false" ht="15.75" hidden="false" customHeight="false" outlineLevel="0" collapsed="false">
      <c r="B107" s="39" t="s">
        <v>98</v>
      </c>
      <c r="C107" s="40" t="str">
        <f aca="false">IF(B107="","",IFERROR(INDEX('CLM &amp; IM Mapping'!$B$2:$B$270,MATCH(TRIM(B107),'CLM &amp; IM Mapping'!$A$2:$A$270,0)),"Not Mapped"))</f>
        <v>Silambarasan E</v>
      </c>
      <c r="D107" s="40" t="str">
        <f aca="false">IF(B107="","",IFERROR(INDEX('CLM &amp; IM Mapping'!$C$2:$C$270,MATCH(TRIM(B107),'CLM &amp; IM Mapping'!$A$2:$A$270,0)),"Not Mapped"))</f>
        <v>Arivind S</v>
      </c>
      <c r="E107" s="41" t="n">
        <v>0</v>
      </c>
      <c r="F107" s="41" t="n">
        <v>0</v>
      </c>
      <c r="G107" s="41" t="n">
        <v>0</v>
      </c>
      <c r="H107" s="41" t="n">
        <v>0</v>
      </c>
      <c r="I107" s="41" t="n">
        <v>0</v>
      </c>
      <c r="J107" s="41" t="n">
        <v>0</v>
      </c>
      <c r="K107" s="41" t="n">
        <v>0</v>
      </c>
      <c r="L107" s="41" t="n">
        <v>0</v>
      </c>
    </row>
    <row r="108" customFormat="false" ht="15.75" hidden="false" customHeight="false" outlineLevel="0" collapsed="false">
      <c r="B108" s="39" t="s">
        <v>193</v>
      </c>
      <c r="C108" s="40" t="str">
        <f aca="false">IF(B108="","",IFERROR(INDEX('CLM &amp; IM Mapping'!$B$2:$B$270,MATCH(TRIM(B108),'CLM &amp; IM Mapping'!$A$2:$A$270,0)),"Not Mapped"))</f>
        <v>Basil Scariya</v>
      </c>
      <c r="D108" s="40" t="str">
        <f aca="false">IF(B108="","",IFERROR(INDEX('CLM &amp; IM Mapping'!$C$2:$C$270,MATCH(TRIM(B108),'CLM &amp; IM Mapping'!$A$2:$A$270,0)),"Not Mapped"))</f>
        <v>Prakash BS</v>
      </c>
      <c r="E108" s="41" t="n">
        <v>265</v>
      </c>
      <c r="F108" s="41" t="n">
        <v>0</v>
      </c>
      <c r="G108" s="41" t="n">
        <v>0</v>
      </c>
      <c r="H108" s="41" t="n">
        <v>265</v>
      </c>
      <c r="I108" s="41" t="n">
        <v>0</v>
      </c>
      <c r="J108" s="41" t="n">
        <v>0</v>
      </c>
      <c r="K108" s="41" t="n">
        <v>0</v>
      </c>
      <c r="L108" s="41" t="n">
        <v>265</v>
      </c>
    </row>
    <row r="109" customFormat="false" ht="15.75" hidden="false" customHeight="false" outlineLevel="0" collapsed="false">
      <c r="B109" s="39" t="s">
        <v>120</v>
      </c>
      <c r="C109" s="40" t="str">
        <f aca="false">IF(B109="","",IFERROR(INDEX('CLM &amp; IM Mapping'!$B$2:$B$270,MATCH(TRIM(B109),'CLM &amp; IM Mapping'!$A$2:$A$270,0)),"Not Mapped"))</f>
        <v>Arun Raj</v>
      </c>
      <c r="D109" s="40" t="str">
        <f aca="false">IF(B109="","",IFERROR(INDEX('CLM &amp; IM Mapping'!$C$2:$C$270,MATCH(TRIM(B109),'CLM &amp; IM Mapping'!$A$2:$A$270,0)),"Not Mapped"))</f>
        <v>Simon Manoharan</v>
      </c>
      <c r="E109" s="41" t="n">
        <v>2248</v>
      </c>
      <c r="F109" s="41" t="n">
        <v>0</v>
      </c>
      <c r="G109" s="41" t="n">
        <v>7</v>
      </c>
      <c r="H109" s="41" t="n">
        <v>2176</v>
      </c>
      <c r="I109" s="41" t="n">
        <v>64</v>
      </c>
      <c r="J109" s="41" t="n">
        <v>0</v>
      </c>
      <c r="K109" s="41" t="n">
        <v>1</v>
      </c>
      <c r="L109" s="41" t="n">
        <v>65</v>
      </c>
    </row>
    <row r="110" customFormat="false" ht="15.75" hidden="false" customHeight="false" outlineLevel="0" collapsed="false">
      <c r="B110" s="39" t="s">
        <v>264</v>
      </c>
      <c r="C110" s="40" t="str">
        <f aca="false">IF(B110="","",IFERROR(INDEX('CLM &amp; IM Mapping'!$B$2:$B$270,MATCH(TRIM(B110),'CLM &amp; IM Mapping'!$A$2:$A$270,0)),"Not Mapped"))</f>
        <v>Basil Scariya</v>
      </c>
      <c r="D110" s="40" t="str">
        <f aca="false">IF(B110="","",IFERROR(INDEX('CLM &amp; IM Mapping'!$C$2:$C$270,MATCH(TRIM(B110),'CLM &amp; IM Mapping'!$A$2:$A$270,0)),"Not Mapped"))</f>
        <v>Prakash BS</v>
      </c>
      <c r="E110" s="41" t="n">
        <v>0</v>
      </c>
      <c r="F110" s="41" t="n">
        <v>0</v>
      </c>
      <c r="G110" s="41" t="n">
        <v>0</v>
      </c>
      <c r="H110" s="41" t="n">
        <v>0</v>
      </c>
      <c r="I110" s="41" t="n">
        <v>0</v>
      </c>
      <c r="J110" s="41" t="n">
        <v>0</v>
      </c>
      <c r="K110" s="41" t="n">
        <v>0</v>
      </c>
      <c r="L110" s="41" t="n">
        <v>0</v>
      </c>
    </row>
    <row r="111" customFormat="false" ht="15.75" hidden="false" customHeight="false" outlineLevel="0" collapsed="false">
      <c r="B111" s="39" t="s">
        <v>159</v>
      </c>
      <c r="C111" s="40" t="str">
        <f aca="false">IF(B111="","",IFERROR(INDEX('CLM &amp; IM Mapping'!$B$2:$B$270,MATCH(TRIM(B111),'CLM &amp; IM Mapping'!$A$2:$A$270,0)),"Not Mapped"))</f>
        <v>Saddam Hussain</v>
      </c>
      <c r="D111" s="40" t="str">
        <f aca="false">IF(B111="","",IFERROR(INDEX('CLM &amp; IM Mapping'!$C$2:$C$270,MATCH(TRIM(B111),'CLM &amp; IM Mapping'!$A$2:$A$270,0)),"Not Mapped"))</f>
        <v>Un Mapped</v>
      </c>
      <c r="E111" s="41" t="n">
        <v>1452</v>
      </c>
      <c r="F111" s="41" t="n">
        <v>0</v>
      </c>
      <c r="G111" s="41" t="n">
        <v>0</v>
      </c>
      <c r="H111" s="41" t="n">
        <v>1452</v>
      </c>
      <c r="I111" s="41" t="n">
        <v>0</v>
      </c>
      <c r="J111" s="41" t="n">
        <v>0</v>
      </c>
      <c r="K111" s="41" t="n">
        <v>0</v>
      </c>
      <c r="L111" s="41" t="n">
        <v>1452</v>
      </c>
    </row>
    <row r="112" customFormat="false" ht="15.75" hidden="false" customHeight="false" outlineLevel="0" collapsed="false">
      <c r="B112" s="39" t="s">
        <v>70</v>
      </c>
      <c r="C112" s="40" t="str">
        <f aca="false">IF(B112="","",IFERROR(INDEX('CLM &amp; IM Mapping'!$B$2:$B$270,MATCH(TRIM(B112),'CLM &amp; IM Mapping'!$A$2:$A$270,0)),"Not Mapped"))</f>
        <v>Arun Raj</v>
      </c>
      <c r="D112" s="40" t="str">
        <f aca="false">IF(B112="","",IFERROR(INDEX('CLM &amp; IM Mapping'!$C$2:$C$270,MATCH(TRIM(B112),'CLM &amp; IM Mapping'!$A$2:$A$270,0)),"Not Mapped"))</f>
        <v>Simon Manoharan</v>
      </c>
      <c r="E112" s="41" t="n">
        <v>0</v>
      </c>
      <c r="F112" s="41" t="n">
        <v>0</v>
      </c>
      <c r="G112" s="41" t="n">
        <v>0</v>
      </c>
      <c r="H112" s="41" t="n">
        <v>0</v>
      </c>
      <c r="I112" s="41" t="n">
        <v>0</v>
      </c>
      <c r="J112" s="41" t="n">
        <v>0</v>
      </c>
      <c r="K112" s="41" t="n">
        <v>0</v>
      </c>
      <c r="L112" s="41" t="n">
        <v>0</v>
      </c>
    </row>
    <row r="113" customFormat="false" ht="15.75" hidden="false" customHeight="false" outlineLevel="0" collapsed="false">
      <c r="B113" s="39" t="s">
        <v>17</v>
      </c>
      <c r="C113" s="40" t="str">
        <f aca="false">IF(B113="","",IFERROR(INDEX('CLM &amp; IM Mapping'!$B$2:$B$270,MATCH(TRIM(B113),'CLM &amp; IM Mapping'!$A$2:$A$270,0)),"Not Mapped"))</f>
        <v>Saddam Hussain</v>
      </c>
      <c r="D113" s="40" t="str">
        <f aca="false">IF(B113="","",IFERROR(INDEX('CLM &amp; IM Mapping'!$C$2:$C$270,MATCH(TRIM(B113),'CLM &amp; IM Mapping'!$A$2:$A$270,0)),"Not Mapped"))</f>
        <v>Un Mapped</v>
      </c>
      <c r="E113" s="41" t="n">
        <v>3327</v>
      </c>
      <c r="F113" s="41" t="n">
        <v>688</v>
      </c>
      <c r="G113" s="41" t="n">
        <v>2634</v>
      </c>
      <c r="H113" s="41" t="n">
        <v>0</v>
      </c>
      <c r="I113" s="41" t="n">
        <v>0</v>
      </c>
      <c r="J113" s="41" t="n">
        <v>0</v>
      </c>
      <c r="K113" s="41" t="n">
        <v>5</v>
      </c>
      <c r="L113" s="41" t="n">
        <v>5</v>
      </c>
    </row>
    <row r="114" customFormat="false" ht="15.75" hidden="false" customHeight="false" outlineLevel="0" collapsed="false">
      <c r="B114" s="39" t="s">
        <v>79</v>
      </c>
      <c r="C114" s="40" t="str">
        <f aca="false">IF(B114="","",IFERROR(INDEX('CLM &amp; IM Mapping'!$B$2:$B$270,MATCH(TRIM(B114),'CLM &amp; IM Mapping'!$A$2:$A$270,0)),"Not Mapped"))</f>
        <v>Akshay P</v>
      </c>
      <c r="D114" s="40" t="str">
        <f aca="false">IF(B114="","",IFERROR(INDEX('CLM &amp; IM Mapping'!$C$2:$C$270,MATCH(TRIM(B114),'CLM &amp; IM Mapping'!$A$2:$A$270,0)),"Not Mapped"))</f>
        <v>Srittam Dhal</v>
      </c>
      <c r="E114" s="41" t="n">
        <v>0</v>
      </c>
      <c r="F114" s="41" t="n">
        <v>0</v>
      </c>
      <c r="G114" s="41" t="n">
        <v>0</v>
      </c>
      <c r="H114" s="41" t="n">
        <v>0</v>
      </c>
      <c r="I114" s="41" t="n">
        <v>0</v>
      </c>
      <c r="J114" s="41" t="n">
        <v>0</v>
      </c>
      <c r="K114" s="41" t="n">
        <v>0</v>
      </c>
      <c r="L114" s="41" t="n">
        <v>0</v>
      </c>
    </row>
    <row r="115" customFormat="false" ht="15.75" hidden="false" customHeight="false" outlineLevel="0" collapsed="false">
      <c r="B115" s="39" t="s">
        <v>50</v>
      </c>
      <c r="C115" s="40" t="str">
        <f aca="false">IF(B115="","",IFERROR(INDEX('CLM &amp; IM Mapping'!$B$2:$B$270,MATCH(TRIM(B115),'CLM &amp; IM Mapping'!$A$2:$A$270,0)),"Not Mapped"))</f>
        <v>Akshay P</v>
      </c>
      <c r="D115" s="40" t="str">
        <f aca="false">IF(B115="","",IFERROR(INDEX('CLM &amp; IM Mapping'!$C$2:$C$270,MATCH(TRIM(B115),'CLM &amp; IM Mapping'!$A$2:$A$270,0)),"Not Mapped"))</f>
        <v>Srittam Dhal</v>
      </c>
      <c r="E115" s="41" t="n">
        <v>0</v>
      </c>
      <c r="F115" s="41" t="n">
        <v>0</v>
      </c>
      <c r="G115" s="41" t="n">
        <v>0</v>
      </c>
      <c r="H115" s="41" t="n">
        <v>0</v>
      </c>
      <c r="I115" s="41" t="n">
        <v>0</v>
      </c>
      <c r="J115" s="41" t="n">
        <v>0</v>
      </c>
      <c r="K115" s="41" t="n">
        <v>0</v>
      </c>
      <c r="L115" s="41" t="n">
        <v>0</v>
      </c>
    </row>
    <row r="116" customFormat="false" ht="15.75" hidden="false" customHeight="false" outlineLevel="0" collapsed="false">
      <c r="B116" s="39" t="s">
        <v>63</v>
      </c>
      <c r="C116" s="40" t="str">
        <f aca="false">IF(B116="","",IFERROR(INDEX('CLM &amp; IM Mapping'!$B$2:$B$270,MATCH(TRIM(B116),'CLM &amp; IM Mapping'!$A$2:$A$270,0)),"Not Mapped"))</f>
        <v>Ravishankar gowda</v>
      </c>
      <c r="D116" s="40" t="str">
        <f aca="false">IF(B116="","",IFERROR(INDEX('CLM &amp; IM Mapping'!$C$2:$C$270,MATCH(TRIM(B116),'CLM &amp; IM Mapping'!$A$2:$A$270,0)),"Not Mapped"))</f>
        <v>Kishor K</v>
      </c>
      <c r="E116" s="41" t="n">
        <v>0</v>
      </c>
      <c r="F116" s="41" t="n">
        <v>0</v>
      </c>
      <c r="G116" s="41" t="n">
        <v>0</v>
      </c>
      <c r="H116" s="41" t="n">
        <v>0</v>
      </c>
      <c r="I116" s="41" t="n">
        <v>0</v>
      </c>
      <c r="J116" s="41" t="n">
        <v>0</v>
      </c>
      <c r="K116" s="41" t="n">
        <v>0</v>
      </c>
      <c r="L116" s="41" t="n">
        <v>0</v>
      </c>
    </row>
    <row r="117" customFormat="false" ht="15.75" hidden="false" customHeight="false" outlineLevel="0" collapsed="false">
      <c r="B117" s="39" t="s">
        <v>273</v>
      </c>
      <c r="C117" s="40" t="str">
        <f aca="false">IF(B117="","",IFERROR(INDEX('CLM &amp; IM Mapping'!$B$2:$B$270,MATCH(TRIM(B117),'CLM &amp; IM Mapping'!$A$2:$A$270,0)),"Not Mapped"))</f>
        <v>Vijay M</v>
      </c>
      <c r="D117" s="40" t="str">
        <f aca="false">IF(B117="","",IFERROR(INDEX('CLM &amp; IM Mapping'!$C$2:$C$270,MATCH(TRIM(B117),'CLM &amp; IM Mapping'!$A$2:$A$270,0)),"Not Mapped"))</f>
        <v>Kantha Kumar</v>
      </c>
      <c r="E117" s="41" t="n">
        <v>0</v>
      </c>
      <c r="F117" s="41" t="n">
        <v>0</v>
      </c>
      <c r="G117" s="41" t="n">
        <v>0</v>
      </c>
      <c r="H117" s="41" t="n">
        <v>0</v>
      </c>
      <c r="I117" s="41" t="n">
        <v>0</v>
      </c>
      <c r="J117" s="41" t="n">
        <v>0</v>
      </c>
      <c r="K117" s="41" t="n">
        <v>0</v>
      </c>
      <c r="L117" s="41" t="n">
        <v>0</v>
      </c>
    </row>
    <row r="118" customFormat="false" ht="15.75" hidden="false" customHeight="false" outlineLevel="0" collapsed="false">
      <c r="B118" s="39" t="s">
        <v>245</v>
      </c>
      <c r="C118" s="40" t="str">
        <f aca="false">IF(B118="","",IFERROR(INDEX('CLM &amp; IM Mapping'!$B$2:$B$270,MATCH(TRIM(B118),'CLM &amp; IM Mapping'!$A$2:$A$270,0)),"Not Mapped"))</f>
        <v>Rizwan Ahmed</v>
      </c>
      <c r="D118" s="40" t="str">
        <f aca="false">IF(B118="","",IFERROR(INDEX('CLM &amp; IM Mapping'!$C$2:$C$270,MATCH(TRIM(B118),'CLM &amp; IM Mapping'!$A$2:$A$270,0)),"Not Mapped"))</f>
        <v>Prakash BS</v>
      </c>
      <c r="E118" s="41" t="n">
        <v>3771</v>
      </c>
      <c r="F118" s="41" t="n">
        <v>0</v>
      </c>
      <c r="G118" s="41" t="n">
        <v>3546</v>
      </c>
      <c r="H118" s="41" t="n">
        <v>0</v>
      </c>
      <c r="I118" s="41" t="n">
        <v>97</v>
      </c>
      <c r="J118" s="41" t="n">
        <v>0</v>
      </c>
      <c r="K118" s="41" t="n">
        <v>128</v>
      </c>
      <c r="L118" s="41" t="n">
        <v>225</v>
      </c>
    </row>
    <row r="119" customFormat="false" ht="15.75" hidden="false" customHeight="false" outlineLevel="0" collapsed="false">
      <c r="B119" s="39" t="s">
        <v>200</v>
      </c>
      <c r="C119" s="40" t="str">
        <f aca="false">IF(B119="","",IFERROR(INDEX('CLM &amp; IM Mapping'!$B$2:$B$270,MATCH(TRIM(B119),'CLM &amp; IM Mapping'!$A$2:$A$270,0)),"Not Mapped"))</f>
        <v>Sundaresh S</v>
      </c>
      <c r="D119" s="40" t="str">
        <f aca="false">IF(B119="","",IFERROR(INDEX('CLM &amp; IM Mapping'!$C$2:$C$270,MATCH(TRIM(B119),'CLM &amp; IM Mapping'!$A$2:$A$270,0)),"Not Mapped"))</f>
        <v>Un Mapped</v>
      </c>
      <c r="E119" s="41" t="n">
        <v>2736</v>
      </c>
      <c r="F119" s="41" t="n">
        <v>0</v>
      </c>
      <c r="G119" s="41" t="n">
        <v>2680</v>
      </c>
      <c r="H119" s="41" t="n">
        <v>0</v>
      </c>
      <c r="I119" s="41" t="n">
        <v>56</v>
      </c>
      <c r="J119" s="41" t="n">
        <v>0</v>
      </c>
      <c r="K119" s="41" t="n">
        <v>0</v>
      </c>
      <c r="L119" s="41" t="n">
        <v>56</v>
      </c>
    </row>
    <row r="120" customFormat="false" ht="15.75" hidden="false" customHeight="false" outlineLevel="0" collapsed="false">
      <c r="B120" s="39" t="s">
        <v>94</v>
      </c>
      <c r="C120" s="40" t="str">
        <f aca="false">IF(B120="","",IFERROR(INDEX('CLM &amp; IM Mapping'!$B$2:$B$270,MATCH(TRIM(B120),'CLM &amp; IM Mapping'!$A$2:$A$270,0)),"Not Mapped"))</f>
        <v>Raghavendra Vernekar</v>
      </c>
      <c r="D120" s="40" t="str">
        <f aca="false">IF(B120="","",IFERROR(INDEX('CLM &amp; IM Mapping'!$C$2:$C$270,MATCH(TRIM(B120),'CLM &amp; IM Mapping'!$A$2:$A$270,0)),"Not Mapped"))</f>
        <v>Prakash BS</v>
      </c>
      <c r="E120" s="41" t="n">
        <v>6985</v>
      </c>
      <c r="F120" s="41" t="n">
        <v>1326</v>
      </c>
      <c r="G120" s="41" t="n">
        <v>3794</v>
      </c>
      <c r="H120" s="41" t="n">
        <v>0</v>
      </c>
      <c r="I120" s="41" t="n">
        <v>1865</v>
      </c>
      <c r="J120" s="41" t="n">
        <v>0</v>
      </c>
      <c r="K120" s="41" t="n">
        <v>0</v>
      </c>
      <c r="L120" s="41" t="n">
        <v>1865</v>
      </c>
    </row>
    <row r="121" customFormat="false" ht="15.75" hidden="false" customHeight="false" outlineLevel="0" collapsed="false">
      <c r="B121" s="39" t="s">
        <v>279</v>
      </c>
      <c r="C121" s="40" t="str">
        <f aca="false">IF(B121="","",IFERROR(INDEX('CLM &amp; IM Mapping'!$B$2:$B$270,MATCH(TRIM(B121),'CLM &amp; IM Mapping'!$A$2:$A$270,0)),"Not Mapped"))</f>
        <v>Balaji G</v>
      </c>
      <c r="D121" s="40" t="str">
        <f aca="false">IF(B121="","",IFERROR(INDEX('CLM &amp; IM Mapping'!$C$2:$C$270,MATCH(TRIM(B121),'CLM &amp; IM Mapping'!$A$2:$A$270,0)),"Not Mapped"))</f>
        <v>Mohammed Akbar</v>
      </c>
      <c r="E121" s="41" t="n">
        <v>45</v>
      </c>
      <c r="F121" s="41" t="n">
        <v>0</v>
      </c>
      <c r="G121" s="41" t="n">
        <v>0</v>
      </c>
      <c r="H121" s="41" t="n">
        <v>0</v>
      </c>
      <c r="I121" s="41" t="n">
        <v>0</v>
      </c>
      <c r="J121" s="41" t="n">
        <v>0</v>
      </c>
      <c r="K121" s="41" t="n">
        <v>45</v>
      </c>
      <c r="L121" s="41" t="n">
        <v>45</v>
      </c>
    </row>
    <row r="122" customFormat="false" ht="15.75" hidden="false" customHeight="false" outlineLevel="0" collapsed="false">
      <c r="B122" s="39" t="s">
        <v>276</v>
      </c>
      <c r="C122" s="40" t="str">
        <f aca="false">IF(B122="","",IFERROR(INDEX('CLM &amp; IM Mapping'!$B$2:$B$270,MATCH(TRIM(B122),'CLM &amp; IM Mapping'!$A$2:$A$270,0)),"Not Mapped"))</f>
        <v>Manjunatha V</v>
      </c>
      <c r="D122" s="40" t="str">
        <f aca="false">IF(B122="","",IFERROR(INDEX('CLM &amp; IM Mapping'!$C$2:$C$270,MATCH(TRIM(B122),'CLM &amp; IM Mapping'!$A$2:$A$270,0)),"Not Mapped"))</f>
        <v>Un Mapped</v>
      </c>
      <c r="E122" s="41" t="n">
        <v>1544</v>
      </c>
      <c r="F122" s="41" t="n">
        <v>0</v>
      </c>
      <c r="G122" s="41" t="n">
        <v>1544</v>
      </c>
      <c r="H122" s="41" t="n">
        <v>0</v>
      </c>
      <c r="I122" s="41" t="n">
        <v>0</v>
      </c>
      <c r="J122" s="41" t="n">
        <v>0</v>
      </c>
      <c r="K122" s="41" t="n">
        <v>0</v>
      </c>
      <c r="L122" s="41" t="n">
        <v>0</v>
      </c>
    </row>
    <row r="123" customFormat="false" ht="15.75" hidden="false" customHeight="false" outlineLevel="0" collapsed="false">
      <c r="B123" s="39" t="s">
        <v>67</v>
      </c>
      <c r="C123" s="40" t="str">
        <f aca="false">IF(B123="","",IFERROR(INDEX('CLM &amp; IM Mapping'!$B$2:$B$270,MATCH(TRIM(B123),'CLM &amp; IM Mapping'!$A$2:$A$270,0)),"Not Mapped"))</f>
        <v>Raghavendra Vernekar</v>
      </c>
      <c r="D123" s="40" t="str">
        <f aca="false">IF(B123="","",IFERROR(INDEX('CLM &amp; IM Mapping'!$C$2:$C$270,MATCH(TRIM(B123),'CLM &amp; IM Mapping'!$A$2:$A$270,0)),"Not Mapped"))</f>
        <v>Prakash BS</v>
      </c>
      <c r="E123" s="41" t="n">
        <v>8</v>
      </c>
      <c r="F123" s="41" t="n">
        <v>0</v>
      </c>
      <c r="G123" s="41" t="n">
        <v>0</v>
      </c>
      <c r="H123" s="41" t="n">
        <v>0</v>
      </c>
      <c r="I123" s="41" t="n">
        <v>0</v>
      </c>
      <c r="J123" s="41" t="n">
        <v>7</v>
      </c>
      <c r="K123" s="41" t="n">
        <v>1</v>
      </c>
      <c r="L123" s="41" t="n">
        <v>8</v>
      </c>
    </row>
    <row r="124" customFormat="false" ht="15.75" hidden="false" customHeight="false" outlineLevel="0" collapsed="false">
      <c r="B124" s="39" t="s">
        <v>69</v>
      </c>
      <c r="C124" s="40" t="str">
        <f aca="false">IF(B124="","",IFERROR(INDEX('CLM &amp; IM Mapping'!$B$2:$B$270,MATCH(TRIM(B124),'CLM &amp; IM Mapping'!$A$2:$A$270,0)),"Not Mapped"))</f>
        <v>Akshay P</v>
      </c>
      <c r="D124" s="40" t="str">
        <f aca="false">IF(B124="","",IFERROR(INDEX('CLM &amp; IM Mapping'!$C$2:$C$270,MATCH(TRIM(B124),'CLM &amp; IM Mapping'!$A$2:$A$270,0)),"Not Mapped"))</f>
        <v>Srittam Dhal</v>
      </c>
      <c r="E124" s="41" t="n">
        <v>1522</v>
      </c>
      <c r="F124" s="41" t="n">
        <v>2</v>
      </c>
      <c r="G124" s="41" t="n">
        <v>1520</v>
      </c>
      <c r="H124" s="41" t="n">
        <v>0</v>
      </c>
      <c r="I124" s="41" t="n">
        <v>0</v>
      </c>
      <c r="J124" s="41" t="n">
        <v>0</v>
      </c>
      <c r="K124" s="41" t="n">
        <v>0</v>
      </c>
      <c r="L124" s="41" t="n">
        <v>0</v>
      </c>
    </row>
    <row r="125" customFormat="false" ht="15.75" hidden="false" customHeight="false" outlineLevel="0" collapsed="false">
      <c r="B125" s="39" t="s">
        <v>53</v>
      </c>
      <c r="C125" s="40" t="str">
        <f aca="false">IF(B125="","",IFERROR(INDEX('CLM &amp; IM Mapping'!$B$2:$B$270,MATCH(TRIM(B125),'CLM &amp; IM Mapping'!$A$2:$A$270,0)),"Not Mapped"))</f>
        <v>Ashwath S</v>
      </c>
      <c r="D125" s="40" t="str">
        <f aca="false">IF(B125="","",IFERROR(INDEX('CLM &amp; IM Mapping'!$C$2:$C$270,MATCH(TRIM(B125),'CLM &amp; IM Mapping'!$A$2:$A$270,0)),"Not Mapped"))</f>
        <v>Kantha Kumar</v>
      </c>
      <c r="E125" s="41" t="n">
        <v>207</v>
      </c>
      <c r="F125" s="41" t="n">
        <v>0</v>
      </c>
      <c r="G125" s="41" t="n">
        <v>206</v>
      </c>
      <c r="H125" s="41" t="n">
        <v>0</v>
      </c>
      <c r="I125" s="41" t="n">
        <v>1</v>
      </c>
      <c r="J125" s="41" t="n">
        <v>0</v>
      </c>
      <c r="K125" s="41" t="n">
        <v>0</v>
      </c>
      <c r="L125" s="41" t="n">
        <v>1</v>
      </c>
    </row>
    <row r="126" customFormat="false" ht="15.75" hidden="false" customHeight="false" outlineLevel="0" collapsed="false">
      <c r="B126" s="39" t="s">
        <v>82</v>
      </c>
      <c r="C126" s="40" t="str">
        <f aca="false">IF(B126="","",IFERROR(INDEX('CLM &amp; IM Mapping'!$B$2:$B$270,MATCH(TRIM(B126),'CLM &amp; IM Mapping'!$A$2:$A$270,0)),"Not Mapped"))</f>
        <v>Narasimhamurthy R</v>
      </c>
      <c r="D126" s="40" t="str">
        <f aca="false">IF(B126="","",IFERROR(INDEX('CLM &amp; IM Mapping'!$C$2:$C$270,MATCH(TRIM(B126),'CLM &amp; IM Mapping'!$A$2:$A$270,0)),"Not Mapped"))</f>
        <v>Kishor K</v>
      </c>
      <c r="E126" s="41" t="n">
        <v>0</v>
      </c>
      <c r="F126" s="41" t="n">
        <v>0</v>
      </c>
      <c r="G126" s="41" t="n">
        <v>0</v>
      </c>
      <c r="H126" s="41" t="n">
        <v>0</v>
      </c>
      <c r="I126" s="41" t="n">
        <v>0</v>
      </c>
      <c r="J126" s="41" t="n">
        <v>0</v>
      </c>
      <c r="K126" s="41" t="n">
        <v>0</v>
      </c>
      <c r="L126" s="41" t="n">
        <v>0</v>
      </c>
    </row>
    <row r="127" customFormat="false" ht="15.75" hidden="false" customHeight="false" outlineLevel="0" collapsed="false">
      <c r="B127" s="39" t="s">
        <v>252</v>
      </c>
      <c r="C127" s="40" t="str">
        <f aca="false">IF(B127="","",IFERROR(INDEX('CLM &amp; IM Mapping'!$B$2:$B$270,MATCH(TRIM(B127),'CLM &amp; IM Mapping'!$A$2:$A$270,0)),"Not Mapped"))</f>
        <v>Akshay P</v>
      </c>
      <c r="D127" s="40" t="str">
        <f aca="false">IF(B127="","",IFERROR(INDEX('CLM &amp; IM Mapping'!$C$2:$C$270,MATCH(TRIM(B127),'CLM &amp; IM Mapping'!$A$2:$A$270,0)),"Not Mapped"))</f>
        <v>Srittam Dhal</v>
      </c>
      <c r="E127" s="41" t="n">
        <v>0</v>
      </c>
      <c r="F127" s="41" t="n">
        <v>0</v>
      </c>
      <c r="G127" s="41" t="n">
        <v>0</v>
      </c>
      <c r="H127" s="41" t="n">
        <v>0</v>
      </c>
      <c r="I127" s="41" t="n">
        <v>0</v>
      </c>
      <c r="J127" s="41" t="n">
        <v>0</v>
      </c>
      <c r="K127" s="41" t="n">
        <v>0</v>
      </c>
      <c r="L127" s="41" t="n">
        <v>0</v>
      </c>
    </row>
    <row r="128" customFormat="false" ht="15.75" hidden="false" customHeight="false" outlineLevel="0" collapsed="false">
      <c r="B128" s="39" t="s">
        <v>166</v>
      </c>
      <c r="C128" s="40" t="str">
        <f aca="false">IF(B128="","",IFERROR(INDEX('CLM &amp; IM Mapping'!$B$2:$B$270,MATCH(TRIM(B128),'CLM &amp; IM Mapping'!$A$2:$A$270,0)),"Not Mapped"))</f>
        <v>Sundaresh S</v>
      </c>
      <c r="D128" s="40" t="str">
        <f aca="false">IF(B128="","",IFERROR(INDEX('CLM &amp; IM Mapping'!$C$2:$C$270,MATCH(TRIM(B128),'CLM &amp; IM Mapping'!$A$2:$A$270,0)),"Not Mapped"))</f>
        <v>Un Mapped</v>
      </c>
      <c r="E128" s="41" t="n">
        <v>520</v>
      </c>
      <c r="F128" s="41" t="n">
        <v>1</v>
      </c>
      <c r="G128" s="41" t="n">
        <v>519</v>
      </c>
      <c r="H128" s="41" t="n">
        <v>0</v>
      </c>
      <c r="I128" s="41" t="n">
        <v>0</v>
      </c>
      <c r="J128" s="41" t="n">
        <v>0</v>
      </c>
      <c r="K128" s="41" t="n">
        <v>0</v>
      </c>
      <c r="L128" s="41" t="n">
        <v>0</v>
      </c>
    </row>
    <row r="129" customFormat="false" ht="15.75" hidden="false" customHeight="false" outlineLevel="0" collapsed="false">
      <c r="B129" s="39" t="s">
        <v>150</v>
      </c>
      <c r="C129" s="40" t="str">
        <f aca="false">IF(B129="","",IFERROR(INDEX('CLM &amp; IM Mapping'!$B$2:$B$270,MATCH(TRIM(B129),'CLM &amp; IM Mapping'!$A$2:$A$270,0)),"Not Mapped"))</f>
        <v>Manoj Kj</v>
      </c>
      <c r="D129" s="40" t="str">
        <f aca="false">IF(B129="","",IFERROR(INDEX('CLM &amp; IM Mapping'!$C$2:$C$270,MATCH(TRIM(B129),'CLM &amp; IM Mapping'!$A$2:$A$270,0)),"Not Mapped"))</f>
        <v>Srittam Dhal</v>
      </c>
      <c r="E129" s="41" t="n">
        <v>0</v>
      </c>
      <c r="F129" s="41" t="n">
        <v>0</v>
      </c>
      <c r="G129" s="41" t="n">
        <v>0</v>
      </c>
      <c r="H129" s="41" t="n">
        <v>0</v>
      </c>
      <c r="I129" s="41" t="n">
        <v>0</v>
      </c>
      <c r="J129" s="41" t="n">
        <v>0</v>
      </c>
      <c r="K129" s="41" t="n">
        <v>0</v>
      </c>
      <c r="L129" s="41" t="n">
        <v>0</v>
      </c>
    </row>
    <row r="130" customFormat="false" ht="15.75" hidden="false" customHeight="false" outlineLevel="0" collapsed="false">
      <c r="B130" s="39" t="s">
        <v>175</v>
      </c>
      <c r="C130" s="40" t="str">
        <f aca="false">IF(B130="","",IFERROR(INDEX('CLM &amp; IM Mapping'!$B$2:$B$270,MATCH(TRIM(B130),'CLM &amp; IM Mapping'!$A$2:$A$270,0)),"Not Mapped"))</f>
        <v>Manjunatha V</v>
      </c>
      <c r="D130" s="40" t="str">
        <f aca="false">IF(B130="","",IFERROR(INDEX('CLM &amp; IM Mapping'!$C$2:$C$270,MATCH(TRIM(B130),'CLM &amp; IM Mapping'!$A$2:$A$270,0)),"Not Mapped"))</f>
        <v>Un Mapped</v>
      </c>
      <c r="E130" s="41" t="n">
        <v>7293</v>
      </c>
      <c r="F130" s="41" t="n">
        <v>1789</v>
      </c>
      <c r="G130" s="41" t="n">
        <v>4353</v>
      </c>
      <c r="H130" s="41" t="n">
        <v>61</v>
      </c>
      <c r="I130" s="41" t="n">
        <v>809</v>
      </c>
      <c r="J130" s="41" t="n">
        <v>120</v>
      </c>
      <c r="K130" s="41" t="n">
        <v>161</v>
      </c>
      <c r="L130" s="41" t="n">
        <v>1151</v>
      </c>
    </row>
    <row r="131" customFormat="false" ht="15.75" hidden="false" customHeight="false" outlineLevel="0" collapsed="false">
      <c r="B131" s="39" t="s">
        <v>199</v>
      </c>
      <c r="C131" s="40" t="str">
        <f aca="false">IF(B131="","",IFERROR(INDEX('CLM &amp; IM Mapping'!$B$2:$B$270,MATCH(TRIM(B131),'CLM &amp; IM Mapping'!$A$2:$A$270,0)),"Not Mapped"))</f>
        <v>Manjunatha V</v>
      </c>
      <c r="D131" s="40" t="str">
        <f aca="false">IF(B131="","",IFERROR(INDEX('CLM &amp; IM Mapping'!$C$2:$C$270,MATCH(TRIM(B131),'CLM &amp; IM Mapping'!$A$2:$A$270,0)),"Not Mapped"))</f>
        <v>Un Mapped</v>
      </c>
      <c r="E131" s="41" t="n">
        <v>396</v>
      </c>
      <c r="F131" s="41" t="n">
        <v>17</v>
      </c>
      <c r="G131" s="41" t="n">
        <v>379</v>
      </c>
      <c r="H131" s="41" t="n">
        <v>0</v>
      </c>
      <c r="I131" s="41" t="n">
        <v>0</v>
      </c>
      <c r="J131" s="41" t="n">
        <v>0</v>
      </c>
      <c r="K131" s="41" t="n">
        <v>0</v>
      </c>
      <c r="L131" s="41" t="n">
        <v>0</v>
      </c>
    </row>
    <row r="132" customFormat="false" ht="15.75" hidden="false" customHeight="false" outlineLevel="0" collapsed="false">
      <c r="B132" s="39" t="s">
        <v>180</v>
      </c>
      <c r="C132" s="40" t="str">
        <f aca="false">IF(B132="","",IFERROR(INDEX('CLM &amp; IM Mapping'!$B$2:$B$270,MATCH(TRIM(B132),'CLM &amp; IM Mapping'!$A$2:$A$270,0)),"Not Mapped"))</f>
        <v>Richard Harris</v>
      </c>
      <c r="D132" s="40" t="str">
        <f aca="false">IF(B132="","",IFERROR(INDEX('CLM &amp; IM Mapping'!$C$2:$C$270,MATCH(TRIM(B132),'CLM &amp; IM Mapping'!$A$2:$A$270,0)),"Not Mapped"))</f>
        <v>Kantha Kumar</v>
      </c>
      <c r="E132" s="41" t="n">
        <v>3250</v>
      </c>
      <c r="F132" s="41" t="n">
        <v>2150</v>
      </c>
      <c r="G132" s="41" t="n">
        <v>15</v>
      </c>
      <c r="H132" s="41" t="n">
        <v>735</v>
      </c>
      <c r="I132" s="41" t="n">
        <v>350</v>
      </c>
      <c r="J132" s="41" t="n">
        <v>0</v>
      </c>
      <c r="K132" s="41" t="n">
        <v>0</v>
      </c>
      <c r="L132" s="41" t="n">
        <v>1085</v>
      </c>
    </row>
    <row r="133" customFormat="false" ht="15.75" hidden="false" customHeight="false" outlineLevel="0" collapsed="false">
      <c r="B133" s="39" t="s">
        <v>134</v>
      </c>
      <c r="C133" s="40" t="str">
        <f aca="false">IF(B133="","",IFERROR(INDEX('CLM &amp; IM Mapping'!$B$2:$B$270,MATCH(TRIM(B133),'CLM &amp; IM Mapping'!$A$2:$A$270,0)),"Not Mapped"))</f>
        <v>Keshav G</v>
      </c>
      <c r="D133" s="40" t="str">
        <f aca="false">IF(B133="","",IFERROR(INDEX('CLM &amp; IM Mapping'!$C$2:$C$270,MATCH(TRIM(B133),'CLM &amp; IM Mapping'!$A$2:$A$270,0)),"Not Mapped"))</f>
        <v>Un Mapped</v>
      </c>
      <c r="E133" s="41" t="n">
        <v>3868</v>
      </c>
      <c r="F133" s="41" t="n">
        <v>99</v>
      </c>
      <c r="G133" s="41" t="n">
        <v>3769</v>
      </c>
      <c r="H133" s="41" t="n">
        <v>0</v>
      </c>
      <c r="I133" s="41" t="n">
        <v>0</v>
      </c>
      <c r="J133" s="41" t="n">
        <v>0</v>
      </c>
      <c r="K133" s="41" t="n">
        <v>0</v>
      </c>
      <c r="L133" s="41" t="n">
        <v>0</v>
      </c>
    </row>
    <row r="134" customFormat="false" ht="15.75" hidden="false" customHeight="false" outlineLevel="0" collapsed="false">
      <c r="B134" s="39" t="s">
        <v>27</v>
      </c>
      <c r="C134" s="40" t="str">
        <f aca="false">IF(B134="","",IFERROR(INDEX('CLM &amp; IM Mapping'!$B$2:$B$270,MATCH(TRIM(B134),'CLM &amp; IM Mapping'!$A$2:$A$270,0)),"Not Mapped"))</f>
        <v>Arun Raj</v>
      </c>
      <c r="D134" s="40" t="str">
        <f aca="false">IF(B134="","",IFERROR(INDEX('CLM &amp; IM Mapping'!$C$2:$C$270,MATCH(TRIM(B134),'CLM &amp; IM Mapping'!$A$2:$A$270,0)),"Not Mapped"))</f>
        <v>Simon Manoharan</v>
      </c>
      <c r="E134" s="41" t="n">
        <v>8084</v>
      </c>
      <c r="F134" s="41" t="n">
        <v>0</v>
      </c>
      <c r="G134" s="41" t="n">
        <v>2472</v>
      </c>
      <c r="H134" s="41" t="n">
        <v>0</v>
      </c>
      <c r="I134" s="41" t="n">
        <v>0</v>
      </c>
      <c r="J134" s="41" t="n">
        <v>5612</v>
      </c>
      <c r="K134" s="41" t="n">
        <v>0</v>
      </c>
      <c r="L134" s="41" t="n">
        <v>5612</v>
      </c>
    </row>
    <row r="135" customFormat="false" ht="15.75" hidden="false" customHeight="false" outlineLevel="0" collapsed="false">
      <c r="B135" s="39" t="s">
        <v>299</v>
      </c>
      <c r="C135" s="40" t="str">
        <f aca="false">IF(B135="","",IFERROR(INDEX('CLM &amp; IM Mapping'!$B$2:$B$270,MATCH(TRIM(B135),'CLM &amp; IM Mapping'!$A$2:$A$270,0)),"Not Mapped"))</f>
        <v>Basil Scariya</v>
      </c>
      <c r="D135" s="40" t="str">
        <f aca="false">IF(B135="","",IFERROR(INDEX('CLM &amp; IM Mapping'!$C$2:$C$270,MATCH(TRIM(B135),'CLM &amp; IM Mapping'!$A$2:$A$270,0)),"Not Mapped"))</f>
        <v>Prakash BS</v>
      </c>
      <c r="E135" s="41" t="n">
        <v>0</v>
      </c>
      <c r="F135" s="41" t="n">
        <v>0</v>
      </c>
      <c r="G135" s="41" t="n">
        <v>0</v>
      </c>
      <c r="H135" s="41" t="n">
        <v>0</v>
      </c>
      <c r="I135" s="41" t="n">
        <v>0</v>
      </c>
      <c r="J135" s="41" t="n">
        <v>0</v>
      </c>
      <c r="K135" s="41" t="n">
        <v>0</v>
      </c>
      <c r="L135" s="41" t="n">
        <v>0</v>
      </c>
    </row>
    <row r="136" customFormat="false" ht="15.75" hidden="false" customHeight="false" outlineLevel="0" collapsed="false">
      <c r="B136" s="39" t="s">
        <v>278</v>
      </c>
      <c r="C136" s="40" t="str">
        <f aca="false">IF(B136="","",IFERROR(INDEX('CLM &amp; IM Mapping'!$B$2:$B$270,MATCH(TRIM(B136),'CLM &amp; IM Mapping'!$A$2:$A$270,0)),"Not Mapped"))</f>
        <v>Adhavan Subramani</v>
      </c>
      <c r="D136" s="40" t="str">
        <f aca="false">IF(B136="","",IFERROR(INDEX('CLM &amp; IM Mapping'!$C$2:$C$270,MATCH(TRIM(B136),'CLM &amp; IM Mapping'!$A$2:$A$270,0)),"Not Mapped"))</f>
        <v>Mohammed Akbar</v>
      </c>
      <c r="E136" s="41" t="n">
        <v>1951</v>
      </c>
      <c r="F136" s="41" t="n">
        <v>11</v>
      </c>
      <c r="G136" s="41" t="n">
        <v>1659</v>
      </c>
      <c r="H136" s="41" t="n">
        <v>0</v>
      </c>
      <c r="I136" s="41" t="n">
        <v>66</v>
      </c>
      <c r="J136" s="41" t="n">
        <v>98</v>
      </c>
      <c r="K136" s="41" t="n">
        <v>117</v>
      </c>
      <c r="L136" s="41" t="n">
        <v>281</v>
      </c>
    </row>
    <row r="137" customFormat="false" ht="15.75" hidden="false" customHeight="false" outlineLevel="0" collapsed="false">
      <c r="B137" s="39" t="s">
        <v>29</v>
      </c>
      <c r="C137" s="40" t="str">
        <f aca="false">IF(B137="","",IFERROR(INDEX('CLM &amp; IM Mapping'!$B$2:$B$270,MATCH(TRIM(B137),'CLM &amp; IM Mapping'!$A$2:$A$270,0)),"Not Mapped"))</f>
        <v>Rizwan Ahmed</v>
      </c>
      <c r="D137" s="40" t="str">
        <f aca="false">IF(B137="","",IFERROR(INDEX('CLM &amp; IM Mapping'!$C$2:$C$270,MATCH(TRIM(B137),'CLM &amp; IM Mapping'!$A$2:$A$270,0)),"Not Mapped"))</f>
        <v>Un Mapped</v>
      </c>
      <c r="E137" s="41" t="n">
        <v>1715</v>
      </c>
      <c r="F137" s="41" t="n">
        <v>0</v>
      </c>
      <c r="G137" s="41" t="n">
        <v>0</v>
      </c>
      <c r="H137" s="41" t="n">
        <v>1695</v>
      </c>
      <c r="I137" s="41" t="n">
        <v>0</v>
      </c>
      <c r="J137" s="41" t="n">
        <v>20</v>
      </c>
      <c r="K137" s="41" t="n">
        <v>0</v>
      </c>
      <c r="L137" s="41" t="n">
        <v>1715</v>
      </c>
    </row>
    <row r="138" customFormat="false" ht="15.75" hidden="false" customHeight="false" outlineLevel="0" collapsed="false">
      <c r="B138" s="39" t="s">
        <v>262</v>
      </c>
      <c r="C138" s="40" t="str">
        <f aca="false">IF(B138="","",IFERROR(INDEX('CLM &amp; IM Mapping'!$B$2:$B$270,MATCH(TRIM(B138),'CLM &amp; IM Mapping'!$A$2:$A$270,0)),"Not Mapped"))</f>
        <v>Raghavendra Vernekar</v>
      </c>
      <c r="D138" s="40" t="str">
        <f aca="false">IF(B138="","",IFERROR(INDEX('CLM &amp; IM Mapping'!$C$2:$C$270,MATCH(TRIM(B138),'CLM &amp; IM Mapping'!$A$2:$A$270,0)),"Not Mapped"))</f>
        <v>Prakash BS</v>
      </c>
      <c r="E138" s="41" t="n">
        <v>5089</v>
      </c>
      <c r="F138" s="41" t="n">
        <v>224</v>
      </c>
      <c r="G138" s="41" t="n">
        <v>4840</v>
      </c>
      <c r="H138" s="41" t="n">
        <v>0</v>
      </c>
      <c r="I138" s="41" t="n">
        <v>25</v>
      </c>
      <c r="J138" s="41" t="n">
        <v>0</v>
      </c>
      <c r="K138" s="41" t="n">
        <v>0</v>
      </c>
      <c r="L138" s="41" t="n">
        <v>25</v>
      </c>
    </row>
    <row r="139" customFormat="false" ht="15.75" hidden="false" customHeight="false" outlineLevel="0" collapsed="false">
      <c r="B139" s="39" t="s">
        <v>58</v>
      </c>
      <c r="C139" s="40" t="str">
        <f aca="false">IF(B139="","",IFERROR(INDEX('CLM &amp; IM Mapping'!$B$2:$B$270,MATCH(TRIM(B139),'CLM &amp; IM Mapping'!$A$2:$A$270,0)),"Not Mapped"))</f>
        <v>Ashwath S</v>
      </c>
      <c r="D139" s="40" t="str">
        <f aca="false">IF(B139="","",IFERROR(INDEX('CLM &amp; IM Mapping'!$C$2:$C$270,MATCH(TRIM(B139),'CLM &amp; IM Mapping'!$A$2:$A$270,0)),"Not Mapped"))</f>
        <v>Kantha Kumar</v>
      </c>
      <c r="E139" s="41" t="n">
        <v>0</v>
      </c>
      <c r="F139" s="41" t="n">
        <v>0</v>
      </c>
      <c r="G139" s="41" t="n">
        <v>0</v>
      </c>
      <c r="H139" s="41" t="n">
        <v>0</v>
      </c>
      <c r="I139" s="41" t="n">
        <v>0</v>
      </c>
      <c r="J139" s="41" t="n">
        <v>0</v>
      </c>
      <c r="K139" s="41" t="n">
        <v>0</v>
      </c>
      <c r="L139" s="41" t="n">
        <v>0</v>
      </c>
    </row>
    <row r="140" customFormat="false" ht="15.75" hidden="false" customHeight="false" outlineLevel="0" collapsed="false">
      <c r="B140" s="39" t="s">
        <v>191</v>
      </c>
      <c r="C140" s="40" t="str">
        <f aca="false">IF(B140="","",IFERROR(INDEX('CLM &amp; IM Mapping'!$B$2:$B$270,MATCH(TRIM(B140),'CLM &amp; IM Mapping'!$A$2:$A$270,0)),"Not Mapped"))</f>
        <v>Raghavendra Vernekar</v>
      </c>
      <c r="D140" s="40" t="str">
        <f aca="false">IF(B140="","",IFERROR(INDEX('CLM &amp; IM Mapping'!$C$2:$C$270,MATCH(TRIM(B140),'CLM &amp; IM Mapping'!$A$2:$A$270,0)),"Not Mapped"))</f>
        <v>Prakash BS</v>
      </c>
      <c r="E140" s="41" t="n">
        <v>3424</v>
      </c>
      <c r="F140" s="41" t="n">
        <v>8</v>
      </c>
      <c r="G140" s="41" t="n">
        <v>3298</v>
      </c>
      <c r="H140" s="41" t="n">
        <v>0</v>
      </c>
      <c r="I140" s="41" t="n">
        <v>118</v>
      </c>
      <c r="J140" s="41" t="n">
        <v>0</v>
      </c>
      <c r="K140" s="41" t="n">
        <v>0</v>
      </c>
      <c r="L140" s="41" t="n">
        <v>118</v>
      </c>
    </row>
    <row r="141" customFormat="false" ht="15.75" hidden="false" customHeight="false" outlineLevel="0" collapsed="false">
      <c r="B141" s="39" t="s">
        <v>132</v>
      </c>
      <c r="C141" s="40" t="str">
        <f aca="false">IF(B141="","",IFERROR(INDEX('CLM &amp; IM Mapping'!$B$2:$B$270,MATCH(TRIM(B141),'CLM &amp; IM Mapping'!$A$2:$A$270,0)),"Not Mapped"))</f>
        <v>Arun Raj</v>
      </c>
      <c r="D141" s="40" t="str">
        <f aca="false">IF(B141="","",IFERROR(INDEX('CLM &amp; IM Mapping'!$C$2:$C$270,MATCH(TRIM(B141),'CLM &amp; IM Mapping'!$A$2:$A$270,0)),"Not Mapped"))</f>
        <v>Simon Manoharan</v>
      </c>
      <c r="E141" s="41" t="n">
        <v>350</v>
      </c>
      <c r="F141" s="41" t="n">
        <v>0</v>
      </c>
      <c r="G141" s="41" t="n">
        <v>0</v>
      </c>
      <c r="H141" s="41" t="n">
        <v>350</v>
      </c>
      <c r="I141" s="41" t="n">
        <v>0</v>
      </c>
      <c r="J141" s="41" t="n">
        <v>0</v>
      </c>
      <c r="K141" s="41" t="n">
        <v>0</v>
      </c>
      <c r="L141" s="41" t="n">
        <v>0</v>
      </c>
    </row>
    <row r="142" customFormat="false" ht="15.75" hidden="false" customHeight="false" outlineLevel="0" collapsed="false">
      <c r="B142" s="39" t="s">
        <v>118</v>
      </c>
      <c r="C142" s="40" t="str">
        <f aca="false">IF(B142="","",IFERROR(INDEX('CLM &amp; IM Mapping'!$B$2:$B$270,MATCH(TRIM(B142),'CLM &amp; IM Mapping'!$A$2:$A$270,0)),"Not Mapped"))</f>
        <v>Balaji G</v>
      </c>
      <c r="D142" s="40" t="str">
        <f aca="false">IF(B142="","",IFERROR(INDEX('CLM &amp; IM Mapping'!$C$2:$C$270,MATCH(TRIM(B142),'CLM &amp; IM Mapping'!$A$2:$A$270,0)),"Not Mapped"))</f>
        <v>Mohammed Akbar</v>
      </c>
      <c r="E142" s="41" t="n">
        <v>0</v>
      </c>
      <c r="F142" s="41" t="n">
        <v>0</v>
      </c>
      <c r="G142" s="41" t="n">
        <v>0</v>
      </c>
      <c r="H142" s="41" t="n">
        <v>0</v>
      </c>
      <c r="I142" s="41" t="n">
        <v>0</v>
      </c>
      <c r="J142" s="41" t="n">
        <v>0</v>
      </c>
      <c r="K142" s="41" t="n">
        <v>0</v>
      </c>
      <c r="L142" s="41" t="n">
        <v>0</v>
      </c>
    </row>
    <row r="143" customFormat="false" ht="15.75" hidden="false" customHeight="false" outlineLevel="0" collapsed="false">
      <c r="B143" s="39" t="s">
        <v>196</v>
      </c>
      <c r="C143" s="40" t="str">
        <f aca="false">IF(B143="","",IFERROR(INDEX('CLM &amp; IM Mapping'!$B$2:$B$270,MATCH(TRIM(B143),'CLM &amp; IM Mapping'!$A$2:$A$270,0)),"Not Mapped"))</f>
        <v>Arun Raj</v>
      </c>
      <c r="D143" s="40" t="str">
        <f aca="false">IF(B143="","",IFERROR(INDEX('CLM &amp; IM Mapping'!$C$2:$C$270,MATCH(TRIM(B143),'CLM &amp; IM Mapping'!$A$2:$A$270,0)),"Not Mapped"))</f>
        <v>Simon Manoharan</v>
      </c>
      <c r="E143" s="41" t="n">
        <v>0</v>
      </c>
      <c r="F143" s="41" t="n">
        <v>0</v>
      </c>
      <c r="G143" s="41" t="n">
        <v>0</v>
      </c>
      <c r="H143" s="41" t="n">
        <v>0</v>
      </c>
      <c r="I143" s="41" t="n">
        <v>0</v>
      </c>
      <c r="J143" s="41" t="n">
        <v>0</v>
      </c>
      <c r="K143" s="41" t="n">
        <v>0</v>
      </c>
      <c r="L143" s="41" t="n">
        <v>0</v>
      </c>
    </row>
    <row r="144" customFormat="false" ht="15.75" hidden="false" customHeight="false" outlineLevel="0" collapsed="false">
      <c r="B144" s="39" t="s">
        <v>114</v>
      </c>
      <c r="C144" s="40" t="str">
        <f aca="false">IF(B144="","",IFERROR(INDEX('CLM &amp; IM Mapping'!$B$2:$B$270,MATCH(TRIM(B144),'CLM &amp; IM Mapping'!$A$2:$A$270,0)),"Not Mapped"))</f>
        <v>Akshay P</v>
      </c>
      <c r="D144" s="40" t="str">
        <f aca="false">IF(B144="","",IFERROR(INDEX('CLM &amp; IM Mapping'!$C$2:$C$270,MATCH(TRIM(B144),'CLM &amp; IM Mapping'!$A$2:$A$270,0)),"Not Mapped"))</f>
        <v>Srittam Dhal</v>
      </c>
      <c r="E144" s="41" t="n">
        <v>6194</v>
      </c>
      <c r="F144" s="41" t="n">
        <v>0</v>
      </c>
      <c r="G144" s="41" t="n">
        <v>2195</v>
      </c>
      <c r="H144" s="41" t="n">
        <v>3796</v>
      </c>
      <c r="I144" s="41" t="n">
        <v>56</v>
      </c>
      <c r="J144" s="41" t="n">
        <v>114</v>
      </c>
      <c r="K144" s="41" t="n">
        <v>33</v>
      </c>
      <c r="L144" s="41" t="n">
        <v>3999</v>
      </c>
    </row>
    <row r="145" customFormat="false" ht="15.75" hidden="false" customHeight="false" outlineLevel="0" collapsed="false">
      <c r="B145" s="39" t="s">
        <v>43</v>
      </c>
      <c r="C145" s="40" t="str">
        <f aca="false">IF(B145="","",IFERROR(INDEX('CLM &amp; IM Mapping'!$B$2:$B$270,MATCH(TRIM(B145),'CLM &amp; IM Mapping'!$A$2:$A$270,0)),"Not Mapped"))</f>
        <v>Vijay M</v>
      </c>
      <c r="D145" s="40" t="str">
        <f aca="false">IF(B145="","",IFERROR(INDEX('CLM &amp; IM Mapping'!$C$2:$C$270,MATCH(TRIM(B145),'CLM &amp; IM Mapping'!$A$2:$A$270,0)),"Not Mapped"))</f>
        <v>Kantha Kumar</v>
      </c>
      <c r="E145" s="41" t="n">
        <v>4157</v>
      </c>
      <c r="F145" s="41" t="n">
        <v>0</v>
      </c>
      <c r="G145" s="41" t="n">
        <v>4157</v>
      </c>
      <c r="H145" s="41" t="n">
        <v>0</v>
      </c>
      <c r="I145" s="41" t="n">
        <v>0</v>
      </c>
      <c r="J145" s="41" t="n">
        <v>0</v>
      </c>
      <c r="K145" s="41" t="n">
        <v>0</v>
      </c>
      <c r="L145" s="41" t="n">
        <v>0</v>
      </c>
    </row>
    <row r="146" customFormat="false" ht="15.75" hidden="false" customHeight="false" outlineLevel="0" collapsed="false">
      <c r="B146" s="39" t="s">
        <v>66</v>
      </c>
      <c r="C146" s="40" t="str">
        <f aca="false">IF(B146="","",IFERROR(INDEX('CLM &amp; IM Mapping'!$B$2:$B$270,MATCH(TRIM(B146),'CLM &amp; IM Mapping'!$A$2:$A$270,0)),"Not Mapped"))</f>
        <v>Narasimhamurthy R</v>
      </c>
      <c r="D146" s="40" t="str">
        <f aca="false">IF(B146="","",IFERROR(INDEX('CLM &amp; IM Mapping'!$C$2:$C$270,MATCH(TRIM(B146),'CLM &amp; IM Mapping'!$A$2:$A$270,0)),"Not Mapped"))</f>
        <v>Kishor K</v>
      </c>
      <c r="E146" s="41" t="n">
        <v>18</v>
      </c>
      <c r="F146" s="41" t="n">
        <v>0</v>
      </c>
      <c r="G146" s="41" t="n">
        <v>0</v>
      </c>
      <c r="H146" s="41" t="n">
        <v>0</v>
      </c>
      <c r="I146" s="41" t="n">
        <v>0</v>
      </c>
      <c r="J146" s="41" t="n">
        <v>0</v>
      </c>
      <c r="K146" s="41" t="n">
        <v>18</v>
      </c>
      <c r="L146" s="41" t="n">
        <v>18</v>
      </c>
    </row>
    <row r="147" customFormat="false" ht="15.75" hidden="false" customHeight="false" outlineLevel="0" collapsed="false">
      <c r="B147" s="39" t="s">
        <v>59</v>
      </c>
      <c r="C147" s="40" t="str">
        <f aca="false">IF(B147="","",IFERROR(INDEX('CLM &amp; IM Mapping'!$B$2:$B$270,MATCH(TRIM(B147),'CLM &amp; IM Mapping'!$A$2:$A$270,0)),"Not Mapped"))</f>
        <v>Manoj Kj</v>
      </c>
      <c r="D147" s="40" t="str">
        <f aca="false">IF(B147="","",IFERROR(INDEX('CLM &amp; IM Mapping'!$C$2:$C$270,MATCH(TRIM(B147),'CLM &amp; IM Mapping'!$A$2:$A$270,0)),"Not Mapped"))</f>
        <v>Srittam Dhal</v>
      </c>
      <c r="E147" s="41" t="n">
        <v>0</v>
      </c>
      <c r="F147" s="41" t="n">
        <v>0</v>
      </c>
      <c r="G147" s="41" t="n">
        <v>0</v>
      </c>
      <c r="H147" s="41" t="n">
        <v>0</v>
      </c>
      <c r="I147" s="41" t="n">
        <v>0</v>
      </c>
      <c r="J147" s="41" t="n">
        <v>0</v>
      </c>
      <c r="K147" s="41" t="n">
        <v>0</v>
      </c>
      <c r="L147" s="41" t="n">
        <v>0</v>
      </c>
    </row>
    <row r="148" customFormat="false" ht="15.75" hidden="false" customHeight="false" outlineLevel="0" collapsed="false">
      <c r="B148" s="39" t="s">
        <v>251</v>
      </c>
      <c r="C148" s="40" t="str">
        <f aca="false">IF(B148="","",IFERROR(INDEX('CLM &amp; IM Mapping'!$B$2:$B$270,MATCH(TRIM(B148),'CLM &amp; IM Mapping'!$A$2:$A$270,0)),"Not Mapped"))</f>
        <v>Manjunatha V</v>
      </c>
      <c r="D148" s="40" t="str">
        <f aca="false">IF(B148="","",IFERROR(INDEX('CLM &amp; IM Mapping'!$C$2:$C$270,MATCH(TRIM(B148),'CLM &amp; IM Mapping'!$A$2:$A$270,0)),"Not Mapped"))</f>
        <v>Un Mapped</v>
      </c>
      <c r="E148" s="41" t="n">
        <v>2387</v>
      </c>
      <c r="F148" s="41" t="n">
        <v>0</v>
      </c>
      <c r="G148" s="41" t="n">
        <v>2387</v>
      </c>
      <c r="H148" s="41" t="n">
        <v>0</v>
      </c>
      <c r="I148" s="41" t="n">
        <v>0</v>
      </c>
      <c r="J148" s="41" t="n">
        <v>0</v>
      </c>
      <c r="K148" s="41" t="n">
        <v>0</v>
      </c>
      <c r="L148" s="41" t="n">
        <v>0</v>
      </c>
    </row>
    <row r="149" customFormat="false" ht="15.75" hidden="false" customHeight="false" outlineLevel="0" collapsed="false">
      <c r="B149" s="39" t="s">
        <v>232</v>
      </c>
      <c r="C149" s="40" t="str">
        <f aca="false">IF(B149="","",IFERROR(INDEX('CLM &amp; IM Mapping'!$B$2:$B$270,MATCH(TRIM(B149),'CLM &amp; IM Mapping'!$A$2:$A$270,0)),"Not Mapped"))</f>
        <v>Sundaresh S</v>
      </c>
      <c r="D149" s="40" t="str">
        <f aca="false">IF(B149="","",IFERROR(INDEX('CLM &amp; IM Mapping'!$C$2:$C$270,MATCH(TRIM(B149),'CLM &amp; IM Mapping'!$A$2:$A$270,0)),"Not Mapped"))</f>
        <v>Un Mapped</v>
      </c>
      <c r="E149" s="41" t="n">
        <v>876</v>
      </c>
      <c r="F149" s="41" t="n">
        <v>0</v>
      </c>
      <c r="G149" s="41" t="n">
        <v>348</v>
      </c>
      <c r="H149" s="41" t="n">
        <v>528</v>
      </c>
      <c r="I149" s="41" t="n">
        <v>0</v>
      </c>
      <c r="J149" s="41" t="n">
        <v>0</v>
      </c>
      <c r="K149" s="41" t="n">
        <v>0</v>
      </c>
      <c r="L149" s="41" t="n">
        <v>528</v>
      </c>
    </row>
    <row r="150" customFormat="false" ht="15.75" hidden="false" customHeight="false" outlineLevel="0" collapsed="false">
      <c r="B150" s="39" t="s">
        <v>39</v>
      </c>
      <c r="C150" s="40" t="str">
        <f aca="false">IF(B150="","",IFERROR(INDEX('CLM &amp; IM Mapping'!$B$2:$B$270,MATCH(TRIM(B150),'CLM &amp; IM Mapping'!$A$2:$A$270,0)),"Not Mapped"))</f>
        <v>Arun Raj</v>
      </c>
      <c r="D150" s="40" t="str">
        <f aca="false">IF(B150="","",IFERROR(INDEX('CLM &amp; IM Mapping'!$C$2:$C$270,MATCH(TRIM(B150),'CLM &amp; IM Mapping'!$A$2:$A$270,0)),"Not Mapped"))</f>
        <v>Simon Manoharan</v>
      </c>
      <c r="E150" s="41" t="n">
        <v>2413</v>
      </c>
      <c r="F150" s="41" t="n">
        <v>0</v>
      </c>
      <c r="G150" s="41" t="n">
        <v>0</v>
      </c>
      <c r="H150" s="41" t="n">
        <v>2157</v>
      </c>
      <c r="I150" s="41" t="n">
        <v>0</v>
      </c>
      <c r="J150" s="41" t="n">
        <v>240</v>
      </c>
      <c r="K150" s="41" t="n">
        <v>16</v>
      </c>
      <c r="L150" s="41" t="n">
        <v>256</v>
      </c>
    </row>
    <row r="151" customFormat="false" ht="15.75" hidden="false" customHeight="false" outlineLevel="0" collapsed="false">
      <c r="B151" s="39" t="s">
        <v>143</v>
      </c>
      <c r="C151" s="40" t="str">
        <f aca="false">IF(B151="","",IFERROR(INDEX('CLM &amp; IM Mapping'!$B$2:$B$270,MATCH(TRIM(B151),'CLM &amp; IM Mapping'!$A$2:$A$270,0)),"Not Mapped"))</f>
        <v>Ashwath S</v>
      </c>
      <c r="D151" s="40" t="str">
        <f aca="false">IF(B151="","",IFERROR(INDEX('CLM &amp; IM Mapping'!$C$2:$C$270,MATCH(TRIM(B151),'CLM &amp; IM Mapping'!$A$2:$A$270,0)),"Not Mapped"))</f>
        <v>Kantha Kumar</v>
      </c>
      <c r="E151" s="41" t="n">
        <v>0</v>
      </c>
      <c r="F151" s="41" t="n">
        <v>0</v>
      </c>
      <c r="G151" s="41" t="n">
        <v>0</v>
      </c>
      <c r="H151" s="41" t="n">
        <v>0</v>
      </c>
      <c r="I151" s="41" t="n">
        <v>0</v>
      </c>
      <c r="J151" s="41" t="n">
        <v>0</v>
      </c>
      <c r="K151" s="41" t="n">
        <v>0</v>
      </c>
      <c r="L151" s="41" t="n">
        <v>0</v>
      </c>
    </row>
    <row r="152" customFormat="false" ht="15.75" hidden="false" customHeight="false" outlineLevel="0" collapsed="false">
      <c r="B152" s="39" t="s">
        <v>28</v>
      </c>
      <c r="C152" s="40" t="str">
        <f aca="false">IF(B152="","",IFERROR(INDEX('CLM &amp; IM Mapping'!$B$2:$B$270,MATCH(TRIM(B152),'CLM &amp; IM Mapping'!$A$2:$A$270,0)),"Not Mapped"))</f>
        <v>Ravishankar gowda</v>
      </c>
      <c r="D152" s="40" t="str">
        <f aca="false">IF(B152="","",IFERROR(INDEX('CLM &amp; IM Mapping'!$C$2:$C$270,MATCH(TRIM(B152),'CLM &amp; IM Mapping'!$A$2:$A$270,0)),"Not Mapped"))</f>
        <v>Kishor K</v>
      </c>
      <c r="E152" s="41" t="n">
        <v>2432</v>
      </c>
      <c r="F152" s="41" t="n">
        <v>0</v>
      </c>
      <c r="G152" s="41" t="n">
        <v>0</v>
      </c>
      <c r="H152" s="41" t="n">
        <v>2384</v>
      </c>
      <c r="I152" s="41" t="n">
        <v>0</v>
      </c>
      <c r="J152" s="41" t="n">
        <v>0</v>
      </c>
      <c r="K152" s="41" t="n">
        <v>48</v>
      </c>
      <c r="L152" s="41" t="n">
        <v>2432</v>
      </c>
    </row>
    <row r="153" customFormat="false" ht="15.75" hidden="false" customHeight="false" outlineLevel="0" collapsed="false">
      <c r="B153" s="39" t="s">
        <v>265</v>
      </c>
      <c r="C153" s="40" t="str">
        <f aca="false">IF(B153="","",IFERROR(INDEX('CLM &amp; IM Mapping'!$B$2:$B$270,MATCH(TRIM(B153),'CLM &amp; IM Mapping'!$A$2:$A$270,0)),"Not Mapped"))</f>
        <v>Arun Raj</v>
      </c>
      <c r="D153" s="40" t="str">
        <f aca="false">IF(B153="","",IFERROR(INDEX('CLM &amp; IM Mapping'!$C$2:$C$270,MATCH(TRIM(B153),'CLM &amp; IM Mapping'!$A$2:$A$270,0)),"Not Mapped"))</f>
        <v>Simon Manoharan</v>
      </c>
      <c r="E153" s="41" t="n">
        <v>403</v>
      </c>
      <c r="F153" s="41" t="n">
        <v>403</v>
      </c>
      <c r="G153" s="41" t="n">
        <v>0</v>
      </c>
      <c r="H153" s="41" t="n">
        <v>0</v>
      </c>
      <c r="I153" s="41" t="n">
        <v>0</v>
      </c>
      <c r="J153" s="41" t="n">
        <v>0</v>
      </c>
      <c r="K153" s="41" t="n">
        <v>0</v>
      </c>
      <c r="L153" s="41" t="n">
        <v>0</v>
      </c>
    </row>
    <row r="154" customFormat="false" ht="15.75" hidden="false" customHeight="false" outlineLevel="0" collapsed="false">
      <c r="B154" s="39" t="s">
        <v>220</v>
      </c>
      <c r="C154" s="40" t="str">
        <f aca="false">IF(B154="","",IFERROR(INDEX('CLM &amp; IM Mapping'!$B$2:$B$270,MATCH(TRIM(B154),'CLM &amp; IM Mapping'!$A$2:$A$270,0)),"Not Mapped"))</f>
        <v>Sundaresh S</v>
      </c>
      <c r="D154" s="40" t="str">
        <f aca="false">IF(B154="","",IFERROR(INDEX('CLM &amp; IM Mapping'!$C$2:$C$270,MATCH(TRIM(B154),'CLM &amp; IM Mapping'!$A$2:$A$270,0)),"Not Mapped"))</f>
        <v>Un Mapped</v>
      </c>
      <c r="E154" s="41" t="n">
        <v>858</v>
      </c>
      <c r="F154" s="41" t="n">
        <v>0</v>
      </c>
      <c r="G154" s="41" t="n">
        <v>858</v>
      </c>
      <c r="H154" s="41" t="n">
        <v>0</v>
      </c>
      <c r="I154" s="41" t="n">
        <v>0</v>
      </c>
      <c r="J154" s="41" t="n">
        <v>0</v>
      </c>
      <c r="K154" s="41" t="n">
        <v>0</v>
      </c>
      <c r="L154" s="41" t="n">
        <v>0</v>
      </c>
    </row>
    <row r="155" customFormat="false" ht="15.75" hidden="false" customHeight="false" outlineLevel="0" collapsed="false">
      <c r="B155" s="39" t="s">
        <v>237</v>
      </c>
      <c r="C155" s="40" t="str">
        <f aca="false">IF(B155="","",IFERROR(INDEX('CLM &amp; IM Mapping'!$B$2:$B$270,MATCH(TRIM(B155),'CLM &amp; IM Mapping'!$A$2:$A$270,0)),"Not Mapped"))</f>
        <v>Ravishankar gowda</v>
      </c>
      <c r="D155" s="40" t="str">
        <f aca="false">IF(B155="","",IFERROR(INDEX('CLM &amp; IM Mapping'!$C$2:$C$270,MATCH(TRIM(B155),'CLM &amp; IM Mapping'!$A$2:$A$270,0)),"Not Mapped"))</f>
        <v>Kishor K</v>
      </c>
      <c r="E155" s="41" t="n">
        <v>3503</v>
      </c>
      <c r="F155" s="41" t="n">
        <v>292</v>
      </c>
      <c r="G155" s="41" t="n">
        <v>3198</v>
      </c>
      <c r="H155" s="41" t="n">
        <v>0</v>
      </c>
      <c r="I155" s="41" t="n">
        <v>0</v>
      </c>
      <c r="J155" s="41" t="n">
        <v>13</v>
      </c>
      <c r="K155" s="41" t="n">
        <v>0</v>
      </c>
      <c r="L155" s="41" t="n">
        <v>13</v>
      </c>
    </row>
    <row r="156" customFormat="false" ht="15.75" hidden="false" customHeight="false" outlineLevel="0" collapsed="false">
      <c r="B156" s="39" t="s">
        <v>100</v>
      </c>
      <c r="C156" s="40" t="str">
        <f aca="false">IF(B156="","",IFERROR(INDEX('CLM &amp; IM Mapping'!$B$2:$B$270,MATCH(TRIM(B156),'CLM &amp; IM Mapping'!$A$2:$A$270,0)),"Not Mapped"))</f>
        <v>Adhavan Subramani</v>
      </c>
      <c r="D156" s="40" t="str">
        <f aca="false">IF(B156="","",IFERROR(INDEX('CLM &amp; IM Mapping'!$C$2:$C$270,MATCH(TRIM(B156),'CLM &amp; IM Mapping'!$A$2:$A$270,0)),"Not Mapped"))</f>
        <v>Mohammed Akbar</v>
      </c>
      <c r="E156" s="41" t="n">
        <v>2503</v>
      </c>
      <c r="F156" s="41" t="n">
        <v>0</v>
      </c>
      <c r="G156" s="41" t="n">
        <v>706</v>
      </c>
      <c r="H156" s="41" t="n">
        <v>1797</v>
      </c>
      <c r="I156" s="41" t="n">
        <v>0</v>
      </c>
      <c r="J156" s="41" t="n">
        <v>0</v>
      </c>
      <c r="K156" s="41" t="n">
        <v>0</v>
      </c>
      <c r="L156" s="41" t="n">
        <v>1797</v>
      </c>
    </row>
    <row r="157" customFormat="false" ht="15.75" hidden="false" customHeight="false" outlineLevel="0" collapsed="false">
      <c r="B157" s="39" t="s">
        <v>213</v>
      </c>
      <c r="C157" s="40" t="str">
        <f aca="false">IF(B157="","",IFERROR(INDEX('CLM &amp; IM Mapping'!$B$2:$B$270,MATCH(TRIM(B157),'CLM &amp; IM Mapping'!$A$2:$A$270,0)),"Not Mapped"))</f>
        <v>Arun Raj</v>
      </c>
      <c r="D157" s="40" t="str">
        <f aca="false">IF(B157="","",IFERROR(INDEX('CLM &amp; IM Mapping'!$C$2:$C$270,MATCH(TRIM(B157),'CLM &amp; IM Mapping'!$A$2:$A$270,0)),"Not Mapped"))</f>
        <v>Simon Manoharan</v>
      </c>
      <c r="E157" s="41" t="n">
        <v>2182</v>
      </c>
      <c r="F157" s="41" t="n">
        <v>0</v>
      </c>
      <c r="G157" s="41" t="n">
        <v>0</v>
      </c>
      <c r="H157" s="41" t="n">
        <v>2179</v>
      </c>
      <c r="I157" s="41" t="n">
        <v>0</v>
      </c>
      <c r="J157" s="41" t="n">
        <v>3</v>
      </c>
      <c r="K157" s="41" t="n">
        <v>0</v>
      </c>
      <c r="L157" s="41" t="n">
        <v>3</v>
      </c>
    </row>
    <row r="158" customFormat="false" ht="15.75" hidden="false" customHeight="false" outlineLevel="0" collapsed="false">
      <c r="B158" s="39" t="s">
        <v>272</v>
      </c>
      <c r="C158" s="40" t="str">
        <f aca="false">IF(B158="","",IFERROR(INDEX('CLM &amp; IM Mapping'!$B$2:$B$270,MATCH(TRIM(B158),'CLM &amp; IM Mapping'!$A$2:$A$270,0)),"Not Mapped"))</f>
        <v>Arun Raj</v>
      </c>
      <c r="D158" s="40" t="str">
        <f aca="false">IF(B158="","",IFERROR(INDEX('CLM &amp; IM Mapping'!$C$2:$C$270,MATCH(TRIM(B158),'CLM &amp; IM Mapping'!$A$2:$A$270,0)),"Not Mapped"))</f>
        <v>Simon Manoharan</v>
      </c>
      <c r="E158" s="41" t="n">
        <v>2015</v>
      </c>
      <c r="F158" s="41" t="n">
        <v>2015</v>
      </c>
      <c r="G158" s="41" t="n">
        <v>0</v>
      </c>
      <c r="H158" s="41" t="n">
        <v>0</v>
      </c>
      <c r="I158" s="41" t="n">
        <v>0</v>
      </c>
      <c r="J158" s="41" t="n">
        <v>0</v>
      </c>
      <c r="K158" s="41" t="n">
        <v>0</v>
      </c>
      <c r="L158" s="41" t="n">
        <v>0</v>
      </c>
    </row>
    <row r="159" customFormat="false" ht="15.75" hidden="false" customHeight="false" outlineLevel="0" collapsed="false">
      <c r="B159" s="39" t="s">
        <v>76</v>
      </c>
      <c r="C159" s="40" t="str">
        <f aca="false">IF(B159="","",IFERROR(INDEX('CLM &amp; IM Mapping'!$B$2:$B$270,MATCH(TRIM(B159),'CLM &amp; IM Mapping'!$A$2:$A$270,0)),"Not Mapped"))</f>
        <v>Silambarasan E</v>
      </c>
      <c r="D159" s="40" t="str">
        <f aca="false">IF(B159="","",IFERROR(INDEX('CLM &amp; IM Mapping'!$C$2:$C$270,MATCH(TRIM(B159),'CLM &amp; IM Mapping'!$A$2:$A$270,0)),"Not Mapped"))</f>
        <v>Arivind S</v>
      </c>
      <c r="E159" s="41" t="n">
        <v>6312</v>
      </c>
      <c r="F159" s="41" t="n">
        <v>0</v>
      </c>
      <c r="G159" s="41" t="n">
        <v>0</v>
      </c>
      <c r="H159" s="41" t="n">
        <v>4620</v>
      </c>
      <c r="I159" s="41" t="n">
        <v>2</v>
      </c>
      <c r="J159" s="41" t="n">
        <v>1563</v>
      </c>
      <c r="K159" s="41" t="n">
        <v>127</v>
      </c>
      <c r="L159" s="41" t="n">
        <v>6312</v>
      </c>
    </row>
    <row r="160" customFormat="false" ht="15.75" hidden="false" customHeight="false" outlineLevel="0" collapsed="false">
      <c r="B160" s="39" t="s">
        <v>68</v>
      </c>
      <c r="C160" s="40" t="str">
        <f aca="false">IF(B160="","",IFERROR(INDEX('CLM &amp; IM Mapping'!$B$2:$B$270,MATCH(TRIM(B160),'CLM &amp; IM Mapping'!$A$2:$A$270,0)),"Not Mapped"))</f>
        <v>Silambarasan E</v>
      </c>
      <c r="D160" s="40" t="str">
        <f aca="false">IF(B160="","",IFERROR(INDEX('CLM &amp; IM Mapping'!$C$2:$C$270,MATCH(TRIM(B160),'CLM &amp; IM Mapping'!$A$2:$A$270,0)),"Not Mapped"))</f>
        <v>Arivind S</v>
      </c>
      <c r="E160" s="41" t="n">
        <v>1277</v>
      </c>
      <c r="F160" s="41" t="n">
        <v>852</v>
      </c>
      <c r="G160" s="41" t="n">
        <v>0</v>
      </c>
      <c r="H160" s="41" t="n">
        <v>265</v>
      </c>
      <c r="I160" s="41" t="n">
        <v>0</v>
      </c>
      <c r="J160" s="41" t="n">
        <v>12</v>
      </c>
      <c r="K160" s="41" t="n">
        <v>148</v>
      </c>
      <c r="L160" s="41" t="n">
        <v>425</v>
      </c>
    </row>
    <row r="161" customFormat="false" ht="15.75" hidden="false" customHeight="false" outlineLevel="0" collapsed="false">
      <c r="B161" s="23" t="s">
        <v>42</v>
      </c>
      <c r="C161" s="44" t="str">
        <f aca="false">IF(B161="","",IFERROR(INDEX('CLM &amp; IM Mapping'!$B$2:$B$270,MATCH(TRIM(B161),'CLM &amp; IM Mapping'!$A$2:$A$270,0)),"Not Mapped"))</f>
        <v>Vijay M</v>
      </c>
      <c r="D161" s="44" t="str">
        <f aca="false">IF(B161="","",IFERROR(INDEX('CLM &amp; IM Mapping'!$C$2:$C$270,MATCH(TRIM(B161),'CLM &amp; IM Mapping'!$A$2:$A$270,0)),"Not Mapped"))</f>
        <v>Kantha Kumar</v>
      </c>
      <c r="E161" s="41" t="n">
        <v>0</v>
      </c>
      <c r="F161" s="41" t="n">
        <v>0</v>
      </c>
      <c r="G161" s="41" t="n">
        <v>0</v>
      </c>
      <c r="H161" s="41" t="n">
        <v>0</v>
      </c>
      <c r="I161" s="41" t="n">
        <v>0</v>
      </c>
      <c r="J161" s="41" t="n">
        <v>0</v>
      </c>
      <c r="K161" s="41" t="n">
        <v>0</v>
      </c>
      <c r="L161" s="41" t="n">
        <v>0</v>
      </c>
    </row>
    <row r="162" customFormat="false" ht="15.75" hidden="false" customHeight="false" outlineLevel="0" collapsed="false">
      <c r="B162" s="39" t="s">
        <v>75</v>
      </c>
      <c r="C162" s="40" t="str">
        <f aca="false">IF(B162="","",IFERROR(INDEX('CLM &amp; IM Mapping'!$B$2:$B$270,MATCH(TRIM(B162),'CLM &amp; IM Mapping'!$A$2:$A$270,0)),"Not Mapped"))</f>
        <v>Akshay P</v>
      </c>
      <c r="D162" s="40" t="str">
        <f aca="false">IF(B162="","",IFERROR(INDEX('CLM &amp; IM Mapping'!$C$2:$C$270,MATCH(TRIM(B162),'CLM &amp; IM Mapping'!$A$2:$A$270,0)),"Not Mapped"))</f>
        <v>Srittam Dhal</v>
      </c>
      <c r="E162" s="41" t="n">
        <v>26</v>
      </c>
      <c r="F162" s="41" t="n">
        <v>0</v>
      </c>
      <c r="G162" s="41" t="n">
        <v>17</v>
      </c>
      <c r="H162" s="41" t="n">
        <v>9</v>
      </c>
      <c r="I162" s="41" t="n">
        <v>0</v>
      </c>
      <c r="J162" s="41" t="n">
        <v>0</v>
      </c>
      <c r="K162" s="41" t="n">
        <v>0</v>
      </c>
      <c r="L162" s="41" t="n">
        <v>9</v>
      </c>
    </row>
    <row r="163" customFormat="false" ht="15.75" hidden="false" customHeight="false" outlineLevel="0" collapsed="false">
      <c r="B163" s="39" t="s">
        <v>226</v>
      </c>
      <c r="C163" s="40" t="str">
        <f aca="false">IF(B163="","",IFERROR(INDEX('CLM &amp; IM Mapping'!$B$2:$B$270,MATCH(TRIM(B163),'CLM &amp; IM Mapping'!$A$2:$A$270,0)),"Not Mapped"))</f>
        <v>Arun Raj</v>
      </c>
      <c r="D163" s="40" t="str">
        <f aca="false">IF(B163="","",IFERROR(INDEX('CLM &amp; IM Mapping'!$C$2:$C$270,MATCH(TRIM(B163),'CLM &amp; IM Mapping'!$A$2:$A$270,0)),"Not Mapped"))</f>
        <v>Simon Manoharan</v>
      </c>
      <c r="E163" s="41" t="n">
        <v>1258</v>
      </c>
      <c r="F163" s="41" t="n">
        <v>0</v>
      </c>
      <c r="G163" s="41" t="n">
        <v>0</v>
      </c>
      <c r="H163" s="41" t="n">
        <v>1252</v>
      </c>
      <c r="I163" s="41" t="n">
        <v>0</v>
      </c>
      <c r="J163" s="41" t="n">
        <v>4</v>
      </c>
      <c r="K163" s="41" t="n">
        <v>2</v>
      </c>
      <c r="L163" s="41" t="n">
        <v>6</v>
      </c>
    </row>
    <row r="164" customFormat="false" ht="15.75" hidden="false" customHeight="false" outlineLevel="0" collapsed="false">
      <c r="B164" s="39" t="s">
        <v>65</v>
      </c>
      <c r="C164" s="40" t="str">
        <f aca="false">IF(B164="","",IFERROR(INDEX('CLM &amp; IM Mapping'!$B$2:$B$270,MATCH(TRIM(B164),'CLM &amp; IM Mapping'!$A$2:$A$270,0)),"Not Mapped"))</f>
        <v>Rizwan Ahmed</v>
      </c>
      <c r="D164" s="40" t="str">
        <f aca="false">IF(B164="","",IFERROR(INDEX('CLM &amp; IM Mapping'!$C$2:$C$270,MATCH(TRIM(B164),'CLM &amp; IM Mapping'!$A$2:$A$270,0)),"Not Mapped"))</f>
        <v>Un Mapped</v>
      </c>
      <c r="E164" s="41" t="n">
        <v>0</v>
      </c>
      <c r="F164" s="41" t="n">
        <v>0</v>
      </c>
      <c r="G164" s="41" t="n">
        <v>0</v>
      </c>
      <c r="H164" s="41" t="n">
        <v>0</v>
      </c>
      <c r="I164" s="41" t="n">
        <v>0</v>
      </c>
      <c r="J164" s="41" t="n">
        <v>0</v>
      </c>
      <c r="K164" s="41" t="n">
        <v>0</v>
      </c>
      <c r="L164" s="41" t="n">
        <v>0</v>
      </c>
    </row>
    <row r="165" customFormat="false" ht="15.75" hidden="false" customHeight="false" outlineLevel="0" collapsed="false">
      <c r="B165" s="39" t="s">
        <v>184</v>
      </c>
      <c r="C165" s="40" t="str">
        <f aca="false">IF(B165="","",IFERROR(INDEX('CLM &amp; IM Mapping'!$B$2:$B$270,MATCH(TRIM(B165),'CLM &amp; IM Mapping'!$A$2:$A$270,0)),"Not Mapped"))</f>
        <v>Arun Raj</v>
      </c>
      <c r="D165" s="40" t="str">
        <f aca="false">IF(B165="","",IFERROR(INDEX('CLM &amp; IM Mapping'!$C$2:$C$270,MATCH(TRIM(B165),'CLM &amp; IM Mapping'!$A$2:$A$270,0)),"Not Mapped"))</f>
        <v>Simon Manoharan</v>
      </c>
      <c r="E165" s="41" t="n">
        <v>4043</v>
      </c>
      <c r="F165" s="41" t="n">
        <v>0</v>
      </c>
      <c r="G165" s="41" t="n">
        <v>956</v>
      </c>
      <c r="H165" s="41" t="n">
        <v>2220</v>
      </c>
      <c r="I165" s="41" t="n">
        <v>0</v>
      </c>
      <c r="J165" s="41" t="n">
        <v>661</v>
      </c>
      <c r="K165" s="41" t="n">
        <v>206</v>
      </c>
      <c r="L165" s="41" t="n">
        <v>867</v>
      </c>
    </row>
    <row r="166" customFormat="false" ht="15.75" hidden="false" customHeight="false" outlineLevel="0" collapsed="false">
      <c r="B166" s="39" t="s">
        <v>258</v>
      </c>
      <c r="C166" s="40" t="str">
        <f aca="false">IF(B166="","",IFERROR(INDEX('CLM &amp; IM Mapping'!$B$2:$B$270,MATCH(TRIM(B166),'CLM &amp; IM Mapping'!$A$2:$A$270,0)),"Not Mapped"))</f>
        <v>Sundaresh S</v>
      </c>
      <c r="D166" s="40" t="str">
        <f aca="false">IF(B166="","",IFERROR(INDEX('CLM &amp; IM Mapping'!$C$2:$C$270,MATCH(TRIM(B166),'CLM &amp; IM Mapping'!$A$2:$A$270,0)),"Not Mapped"))</f>
        <v>Un Mapped</v>
      </c>
      <c r="E166" s="41" t="n">
        <v>1863</v>
      </c>
      <c r="F166" s="41" t="n">
        <v>0</v>
      </c>
      <c r="G166" s="41" t="n">
        <v>0</v>
      </c>
      <c r="H166" s="41" t="n">
        <v>1821</v>
      </c>
      <c r="I166" s="41" t="n">
        <v>1</v>
      </c>
      <c r="J166" s="41" t="n">
        <v>0</v>
      </c>
      <c r="K166" s="41" t="n">
        <v>41</v>
      </c>
      <c r="L166" s="41" t="n">
        <v>1863</v>
      </c>
    </row>
    <row r="167" customFormat="false" ht="15.75" hidden="false" customHeight="false" outlineLevel="0" collapsed="false">
      <c r="B167" s="39" t="s">
        <v>96</v>
      </c>
      <c r="C167" s="40" t="str">
        <f aca="false">IF(B167="","",IFERROR(INDEX('CLM &amp; IM Mapping'!$B$2:$B$270,MATCH(TRIM(B167),'CLM &amp; IM Mapping'!$A$2:$A$270,0)),"Not Mapped"))</f>
        <v>Girish N</v>
      </c>
      <c r="D167" s="40" t="str">
        <f aca="false">IF(B167="","",IFERROR(INDEX('CLM &amp; IM Mapping'!$C$2:$C$270,MATCH(TRIM(B167),'CLM &amp; IM Mapping'!$A$2:$A$270,0)),"Not Mapped"))</f>
        <v>Un Mapped</v>
      </c>
      <c r="E167" s="41" t="n">
        <v>4539</v>
      </c>
      <c r="F167" s="41" t="n">
        <v>303</v>
      </c>
      <c r="G167" s="41" t="n">
        <v>4232</v>
      </c>
      <c r="H167" s="41" t="n">
        <v>0</v>
      </c>
      <c r="I167" s="41" t="n">
        <v>4</v>
      </c>
      <c r="J167" s="41" t="n">
        <v>0</v>
      </c>
      <c r="K167" s="41" t="n">
        <v>0</v>
      </c>
      <c r="L167" s="41" t="n">
        <v>4</v>
      </c>
    </row>
    <row r="168" customFormat="false" ht="15.75" hidden="false" customHeight="false" outlineLevel="0" collapsed="false">
      <c r="B168" s="39" t="s">
        <v>91</v>
      </c>
      <c r="C168" s="40" t="str">
        <f aca="false">IF(B168="","",IFERROR(INDEX('CLM &amp; IM Mapping'!$B$2:$B$270,MATCH(TRIM(B168),'CLM &amp; IM Mapping'!$A$2:$A$270,0)),"Not Mapped"))</f>
        <v>Manoj Kj</v>
      </c>
      <c r="D168" s="40" t="str">
        <f aca="false">IF(B168="","",IFERROR(INDEX('CLM &amp; IM Mapping'!$C$2:$C$270,MATCH(TRIM(B168),'CLM &amp; IM Mapping'!$A$2:$A$270,0)),"Not Mapped"))</f>
        <v>Srittam Dhal</v>
      </c>
      <c r="E168" s="41" t="n">
        <v>0</v>
      </c>
      <c r="F168" s="41" t="n">
        <v>0</v>
      </c>
      <c r="G168" s="41" t="n">
        <v>0</v>
      </c>
      <c r="H168" s="41" t="n">
        <v>0</v>
      </c>
      <c r="I168" s="41" t="n">
        <v>0</v>
      </c>
      <c r="J168" s="41" t="n">
        <v>0</v>
      </c>
      <c r="K168" s="41" t="n">
        <v>0</v>
      </c>
      <c r="L168" s="41" t="n">
        <v>0</v>
      </c>
    </row>
    <row r="169" customFormat="false" ht="15.75" hidden="false" customHeight="false" outlineLevel="0" collapsed="false">
      <c r="B169" s="39" t="s">
        <v>187</v>
      </c>
      <c r="C169" s="40" t="str">
        <f aca="false">IF(B169="","",IFERROR(INDEX('CLM &amp; IM Mapping'!$B$2:$B$270,MATCH(TRIM(B169),'CLM &amp; IM Mapping'!$A$2:$A$270,0)),"Not Mapped"))</f>
        <v>Akshay P</v>
      </c>
      <c r="D169" s="40" t="str">
        <f aca="false">IF(B169="","",IFERROR(INDEX('CLM &amp; IM Mapping'!$C$2:$C$270,MATCH(TRIM(B169),'CLM &amp; IM Mapping'!$A$2:$A$270,0)),"Not Mapped"))</f>
        <v>Srittam Dhal</v>
      </c>
      <c r="E169" s="41" t="n">
        <v>6844</v>
      </c>
      <c r="F169" s="41" t="n">
        <v>0</v>
      </c>
      <c r="G169" s="41" t="n">
        <v>5609</v>
      </c>
      <c r="H169" s="41" t="n">
        <v>0</v>
      </c>
      <c r="I169" s="41" t="n">
        <v>950</v>
      </c>
      <c r="J169" s="41" t="n">
        <v>79</v>
      </c>
      <c r="K169" s="41" t="n">
        <v>206</v>
      </c>
      <c r="L169" s="41" t="n">
        <v>1235</v>
      </c>
    </row>
    <row r="170" customFormat="false" ht="15.75" hidden="false" customHeight="false" outlineLevel="0" collapsed="false">
      <c r="B170" s="39" t="s">
        <v>38</v>
      </c>
      <c r="C170" s="40" t="str">
        <f aca="false">IF(B170="","",IFERROR(INDEX('CLM &amp; IM Mapping'!$B$2:$B$270,MATCH(TRIM(B170),'CLM &amp; IM Mapping'!$A$2:$A$270,0)),"Not Mapped"))</f>
        <v>Saddam Hussain</v>
      </c>
      <c r="D170" s="40" t="str">
        <f aca="false">IF(B170="","",IFERROR(INDEX('CLM &amp; IM Mapping'!$C$2:$C$270,MATCH(TRIM(B170),'CLM &amp; IM Mapping'!$A$2:$A$270,0)),"Not Mapped"))</f>
        <v>Un Mapped</v>
      </c>
      <c r="E170" s="41" t="n">
        <v>677</v>
      </c>
      <c r="F170" s="41" t="n">
        <v>0</v>
      </c>
      <c r="G170" s="41" t="n">
        <v>677</v>
      </c>
      <c r="H170" s="41" t="n">
        <v>0</v>
      </c>
      <c r="I170" s="41" t="n">
        <v>0</v>
      </c>
      <c r="J170" s="41" t="n">
        <v>0</v>
      </c>
      <c r="K170" s="41" t="n">
        <v>0</v>
      </c>
      <c r="L170" s="41" t="n">
        <v>0</v>
      </c>
    </row>
    <row r="171" customFormat="false" ht="15.75" hidden="false" customHeight="false" outlineLevel="0" collapsed="false">
      <c r="B171" s="39" t="s">
        <v>55</v>
      </c>
      <c r="C171" s="40" t="str">
        <f aca="false">IF(B171="","",IFERROR(INDEX('CLM &amp; IM Mapping'!$B$2:$B$270,MATCH(TRIM(B171),'CLM &amp; IM Mapping'!$A$2:$A$270,0)),"Not Mapped"))</f>
        <v>Suhas N</v>
      </c>
      <c r="D171" s="40" t="str">
        <f aca="false">IF(B171="","",IFERROR(INDEX('CLM &amp; IM Mapping'!$C$2:$C$270,MATCH(TRIM(B171),'CLM &amp; IM Mapping'!$A$2:$A$270,0)),"Not Mapped"))</f>
        <v>Aravind S</v>
      </c>
      <c r="E171" s="41" t="n">
        <v>2048</v>
      </c>
      <c r="F171" s="41" t="n">
        <v>0</v>
      </c>
      <c r="G171" s="41" t="n">
        <v>2048</v>
      </c>
      <c r="H171" s="41" t="n">
        <v>0</v>
      </c>
      <c r="I171" s="41" t="n">
        <v>0</v>
      </c>
      <c r="J171" s="41" t="n">
        <v>0</v>
      </c>
      <c r="K171" s="41" t="n">
        <v>0</v>
      </c>
      <c r="L171" s="41" t="n">
        <v>0</v>
      </c>
    </row>
    <row r="172" customFormat="false" ht="15.75" hidden="false" customHeight="false" outlineLevel="0" collapsed="false">
      <c r="B172" s="39" t="s">
        <v>126</v>
      </c>
      <c r="C172" s="40" t="str">
        <f aca="false">IF(B172="","",IFERROR(INDEX('CLM &amp; IM Mapping'!$B$2:$B$270,MATCH(TRIM(B172),'CLM &amp; IM Mapping'!$A$2:$A$270,0)),"Not Mapped"))</f>
        <v>Raghavendra Vernekar</v>
      </c>
      <c r="D172" s="40" t="str">
        <f aca="false">IF(B172="","",IFERROR(INDEX('CLM &amp; IM Mapping'!$C$2:$C$270,MATCH(TRIM(B172),'CLM &amp; IM Mapping'!$A$2:$A$270,0)),"Not Mapped"))</f>
        <v>Prakash BS</v>
      </c>
      <c r="E172" s="41" t="n">
        <v>0</v>
      </c>
      <c r="F172" s="41" t="n">
        <v>0</v>
      </c>
      <c r="G172" s="41" t="n">
        <v>0</v>
      </c>
      <c r="H172" s="41" t="n">
        <v>0</v>
      </c>
      <c r="I172" s="41" t="n">
        <v>0</v>
      </c>
      <c r="J172" s="41" t="n">
        <v>0</v>
      </c>
      <c r="K172" s="41" t="n">
        <v>0</v>
      </c>
      <c r="L172" s="41" t="n">
        <v>0</v>
      </c>
    </row>
    <row r="173" customFormat="false" ht="15.75" hidden="false" customHeight="false" outlineLevel="0" collapsed="false">
      <c r="B173" s="39" t="s">
        <v>248</v>
      </c>
      <c r="C173" s="40" t="str">
        <f aca="false">IF(B173="","",IFERROR(INDEX('CLM &amp; IM Mapping'!$B$2:$B$270,MATCH(TRIM(B173),'CLM &amp; IM Mapping'!$A$2:$A$270,0)),"Not Mapped"))</f>
        <v>Sundaresh S</v>
      </c>
      <c r="D173" s="40" t="str">
        <f aca="false">IF(B173="","",IFERROR(INDEX('CLM &amp; IM Mapping'!$C$2:$C$270,MATCH(TRIM(B173),'CLM &amp; IM Mapping'!$A$2:$A$270,0)),"Not Mapped"))</f>
        <v>Un Mapped</v>
      </c>
      <c r="E173" s="41" t="n">
        <v>2985</v>
      </c>
      <c r="F173" s="41" t="n">
        <v>0</v>
      </c>
      <c r="G173" s="41" t="n">
        <v>2786</v>
      </c>
      <c r="H173" s="41" t="n">
        <v>198</v>
      </c>
      <c r="I173" s="41" t="n">
        <v>0</v>
      </c>
      <c r="J173" s="41" t="n">
        <v>1</v>
      </c>
      <c r="K173" s="41" t="n">
        <v>0</v>
      </c>
      <c r="L173" s="41" t="n">
        <v>199</v>
      </c>
    </row>
    <row r="174" customFormat="false" ht="15.75" hidden="false" customHeight="false" outlineLevel="0" collapsed="false">
      <c r="B174" s="39" t="s">
        <v>146</v>
      </c>
      <c r="C174" s="40" t="str">
        <f aca="false">IF(B174="","",IFERROR(INDEX('CLM &amp; IM Mapping'!$B$2:$B$270,MATCH(TRIM(B174),'CLM &amp; IM Mapping'!$A$2:$A$270,0)),"Not Mapped"))</f>
        <v>Basil Scariya</v>
      </c>
      <c r="D174" s="40" t="str">
        <f aca="false">IF(B174="","",IFERROR(INDEX('CLM &amp; IM Mapping'!$C$2:$C$270,MATCH(TRIM(B174),'CLM &amp; IM Mapping'!$A$2:$A$270,0)),"Not Mapped"))</f>
        <v>Prakash BS</v>
      </c>
      <c r="E174" s="41" t="n">
        <v>3644</v>
      </c>
      <c r="F174" s="41" t="n">
        <v>3644</v>
      </c>
      <c r="G174" s="41" t="n">
        <v>0</v>
      </c>
      <c r="H174" s="41" t="n">
        <v>0</v>
      </c>
      <c r="I174" s="41" t="n">
        <v>0</v>
      </c>
      <c r="J174" s="41" t="n">
        <v>0</v>
      </c>
      <c r="K174" s="41" t="n">
        <v>0</v>
      </c>
      <c r="L174" s="41" t="n">
        <v>0</v>
      </c>
    </row>
    <row r="175" customFormat="false" ht="15.75" hidden="false" customHeight="false" outlineLevel="0" collapsed="false">
      <c r="B175" s="39" t="s">
        <v>57</v>
      </c>
      <c r="C175" s="40" t="str">
        <f aca="false">IF(B175="","",IFERROR(INDEX('CLM &amp; IM Mapping'!$B$2:$B$270,MATCH(TRIM(B175),'CLM &amp; IM Mapping'!$A$2:$A$270,0)),"Not Mapped"))</f>
        <v>Suhas N</v>
      </c>
      <c r="D175" s="40" t="str">
        <f aca="false">IF(B175="","",IFERROR(INDEX('CLM &amp; IM Mapping'!$C$2:$C$270,MATCH(TRIM(B175),'CLM &amp; IM Mapping'!$A$2:$A$270,0)),"Not Mapped"))</f>
        <v>Aravind S</v>
      </c>
      <c r="E175" s="41" t="n">
        <v>10771</v>
      </c>
      <c r="F175" s="41" t="n">
        <v>8221</v>
      </c>
      <c r="G175" s="41" t="n">
        <v>0</v>
      </c>
      <c r="H175" s="41" t="n">
        <v>496</v>
      </c>
      <c r="I175" s="41" t="n">
        <v>2016</v>
      </c>
      <c r="J175" s="41" t="n">
        <v>0</v>
      </c>
      <c r="K175" s="41" t="n">
        <v>38</v>
      </c>
      <c r="L175" s="41" t="n">
        <v>2550</v>
      </c>
    </row>
    <row r="176" customFormat="false" ht="15.75" hidden="false" customHeight="false" outlineLevel="0" collapsed="false">
      <c r="B176" s="39" t="s">
        <v>189</v>
      </c>
      <c r="C176" s="40" t="str">
        <f aca="false">IF(B176="","",IFERROR(INDEX('CLM &amp; IM Mapping'!$B$2:$B$270,MATCH(TRIM(B176),'CLM &amp; IM Mapping'!$A$2:$A$270,0)),"Not Mapped"))</f>
        <v>Ashwath S</v>
      </c>
      <c r="D176" s="40" t="str">
        <f aca="false">IF(B176="","",IFERROR(INDEX('CLM &amp; IM Mapping'!$C$2:$C$270,MATCH(TRIM(B176),'CLM &amp; IM Mapping'!$A$2:$A$270,0)),"Not Mapped"))</f>
        <v>Kantha Kumar</v>
      </c>
      <c r="E176" s="41" t="n">
        <v>0</v>
      </c>
      <c r="F176" s="41" t="n">
        <v>0</v>
      </c>
      <c r="G176" s="41" t="n">
        <v>0</v>
      </c>
      <c r="H176" s="41" t="n">
        <v>0</v>
      </c>
      <c r="I176" s="41" t="n">
        <v>0</v>
      </c>
      <c r="J176" s="41" t="n">
        <v>0</v>
      </c>
      <c r="K176" s="41" t="n">
        <v>0</v>
      </c>
      <c r="L176" s="41" t="n">
        <v>0</v>
      </c>
    </row>
    <row r="177" customFormat="false" ht="15.75" hidden="false" customHeight="false" outlineLevel="0" collapsed="false">
      <c r="B177" s="39" t="s">
        <v>163</v>
      </c>
      <c r="C177" s="40" t="str">
        <f aca="false">IF(B177="","",IFERROR(INDEX('CLM &amp; IM Mapping'!$B$2:$B$270,MATCH(TRIM(B177),'CLM &amp; IM Mapping'!$A$2:$A$270,0)),"Not Mapped"))</f>
        <v>Suhas N</v>
      </c>
      <c r="D177" s="40" t="str">
        <f aca="false">IF(B177="","",IFERROR(INDEX('CLM &amp; IM Mapping'!$C$2:$C$270,MATCH(TRIM(B177),'CLM &amp; IM Mapping'!$A$2:$A$270,0)),"Not Mapped"))</f>
        <v>Aravind S</v>
      </c>
      <c r="E177" s="41" t="n">
        <v>7885</v>
      </c>
      <c r="F177" s="41" t="n">
        <v>3469</v>
      </c>
      <c r="G177" s="41" t="n">
        <v>0</v>
      </c>
      <c r="H177" s="41" t="n">
        <v>0</v>
      </c>
      <c r="I177" s="41" t="n">
        <v>4399</v>
      </c>
      <c r="J177" s="41" t="n">
        <v>0</v>
      </c>
      <c r="K177" s="41" t="n">
        <v>17</v>
      </c>
      <c r="L177" s="41" t="n">
        <v>4416</v>
      </c>
    </row>
    <row r="178" customFormat="false" ht="15.75" hidden="false" customHeight="false" outlineLevel="0" collapsed="false">
      <c r="B178" s="39" t="s">
        <v>25</v>
      </c>
      <c r="C178" s="40" t="str">
        <f aca="false">IF(B178="","",IFERROR(INDEX('CLM &amp; IM Mapping'!$B$2:$B$270,MATCH(TRIM(B178),'CLM &amp; IM Mapping'!$A$2:$A$270,0)),"Not Mapped"))</f>
        <v>Sundaresh S</v>
      </c>
      <c r="D178" s="40" t="str">
        <f aca="false">IF(B178="","",IFERROR(INDEX('CLM &amp; IM Mapping'!$C$2:$C$270,MATCH(TRIM(B178),'CLM &amp; IM Mapping'!$A$2:$A$270,0)),"Not Mapped"))</f>
        <v>Un Mapped</v>
      </c>
      <c r="E178" s="41" t="n">
        <v>1621</v>
      </c>
      <c r="F178" s="41" t="n">
        <v>14</v>
      </c>
      <c r="G178" s="41" t="n">
        <v>0</v>
      </c>
      <c r="H178" s="41" t="n">
        <v>1365</v>
      </c>
      <c r="I178" s="41" t="n">
        <v>0</v>
      </c>
      <c r="J178" s="41" t="n">
        <v>210</v>
      </c>
      <c r="K178" s="41" t="n">
        <v>32</v>
      </c>
      <c r="L178" s="41" t="n">
        <v>1607</v>
      </c>
    </row>
    <row r="179" customFormat="false" ht="15.75" hidden="false" customHeight="false" outlineLevel="0" collapsed="false">
      <c r="B179" s="39" t="s">
        <v>254</v>
      </c>
      <c r="C179" s="40" t="str">
        <f aca="false">IF(B179="","",IFERROR(INDEX('CLM &amp; IM Mapping'!$B$2:$B$270,MATCH(TRIM(B179),'CLM &amp; IM Mapping'!$A$2:$A$270,0)),"Not Mapped"))</f>
        <v>Suhas N</v>
      </c>
      <c r="D179" s="40" t="str">
        <f aca="false">IF(B179="","",IFERROR(INDEX('CLM &amp; IM Mapping'!$C$2:$C$270,MATCH(TRIM(B179),'CLM &amp; IM Mapping'!$A$2:$A$270,0)),"Not Mapped"))</f>
        <v>Aravind S</v>
      </c>
      <c r="E179" s="41" t="n">
        <v>0</v>
      </c>
      <c r="F179" s="41" t="n">
        <v>0</v>
      </c>
      <c r="G179" s="41" t="n">
        <v>0</v>
      </c>
      <c r="H179" s="41" t="n">
        <v>0</v>
      </c>
      <c r="I179" s="41" t="n">
        <v>0</v>
      </c>
      <c r="J179" s="41" t="n">
        <v>0</v>
      </c>
      <c r="K179" s="41" t="n">
        <v>0</v>
      </c>
      <c r="L179" s="41" t="n">
        <v>0</v>
      </c>
    </row>
    <row r="180" customFormat="false" ht="15.75" hidden="false" customHeight="false" outlineLevel="0" collapsed="false">
      <c r="B180" s="39" t="s">
        <v>246</v>
      </c>
      <c r="C180" s="40" t="str">
        <f aca="false">IF(B180="","",IFERROR(INDEX('CLM &amp; IM Mapping'!$B$2:$B$270,MATCH(TRIM(B180),'CLM &amp; IM Mapping'!$A$2:$A$270,0)),"Not Mapped"))</f>
        <v>Adhavan Subramani</v>
      </c>
      <c r="D180" s="40" t="str">
        <f aca="false">IF(B180="","",IFERROR(INDEX('CLM &amp; IM Mapping'!$C$2:$C$270,MATCH(TRIM(B180),'CLM &amp; IM Mapping'!$A$2:$A$270,0)),"Not Mapped"))</f>
        <v>Mohammed Akbar</v>
      </c>
      <c r="E180" s="41" t="n">
        <v>4607</v>
      </c>
      <c r="F180" s="41" t="n">
        <v>0</v>
      </c>
      <c r="G180" s="41" t="n">
        <v>4603</v>
      </c>
      <c r="H180" s="41" t="n">
        <v>0</v>
      </c>
      <c r="I180" s="41" t="n">
        <v>3</v>
      </c>
      <c r="J180" s="41" t="n">
        <v>1</v>
      </c>
      <c r="K180" s="41" t="n">
        <v>0</v>
      </c>
      <c r="L180" s="41" t="n">
        <v>4</v>
      </c>
    </row>
    <row r="181" customFormat="false" ht="15.75" hidden="false" customHeight="false" outlineLevel="0" collapsed="false">
      <c r="B181" s="39" t="s">
        <v>36</v>
      </c>
      <c r="C181" s="40" t="str">
        <f aca="false">IF(B181="","",IFERROR(INDEX('CLM &amp; IM Mapping'!$B$2:$B$270,MATCH(TRIM(B181),'CLM &amp; IM Mapping'!$A$2:$A$270,0)),"Not Mapped"))</f>
        <v>Keshav G</v>
      </c>
      <c r="D181" s="40" t="str">
        <f aca="false">IF(B181="","",IFERROR(INDEX('CLM &amp; IM Mapping'!$C$2:$C$270,MATCH(TRIM(B181),'CLM &amp; IM Mapping'!$A$2:$A$270,0)),"Not Mapped"))</f>
        <v>Un Mapped</v>
      </c>
      <c r="E181" s="41" t="n">
        <v>0</v>
      </c>
      <c r="F181" s="41" t="n">
        <v>0</v>
      </c>
      <c r="G181" s="41" t="n">
        <v>0</v>
      </c>
      <c r="H181" s="41" t="n">
        <v>0</v>
      </c>
      <c r="I181" s="41" t="n">
        <v>0</v>
      </c>
      <c r="J181" s="41" t="n">
        <v>0</v>
      </c>
      <c r="K181" s="41" t="n">
        <v>0</v>
      </c>
      <c r="L181" s="41" t="n">
        <v>0</v>
      </c>
    </row>
    <row r="182" customFormat="false" ht="15.75" hidden="false" customHeight="false" outlineLevel="0" collapsed="false">
      <c r="B182" s="39" t="s">
        <v>270</v>
      </c>
      <c r="C182" s="40" t="str">
        <f aca="false">IF(B182="","",IFERROR(INDEX('CLM &amp; IM Mapping'!$B$2:$B$270,MATCH(TRIM(B182),'CLM &amp; IM Mapping'!$A$2:$A$270,0)),"Not Mapped"))</f>
        <v>Adhavan Subramani</v>
      </c>
      <c r="D182" s="40" t="str">
        <f aca="false">IF(B182="","",IFERROR(INDEX('CLM &amp; IM Mapping'!$C$2:$C$270,MATCH(TRIM(B182),'CLM &amp; IM Mapping'!$A$2:$A$270,0)),"Not Mapped"))</f>
        <v>Mohammed Akbar</v>
      </c>
      <c r="E182" s="41" t="n">
        <v>9165</v>
      </c>
      <c r="F182" s="41" t="n">
        <v>2359</v>
      </c>
      <c r="G182" s="41" t="n">
        <v>5236</v>
      </c>
      <c r="H182" s="41" t="n">
        <v>0</v>
      </c>
      <c r="I182" s="41" t="n">
        <v>1570</v>
      </c>
      <c r="J182" s="41" t="n">
        <v>0</v>
      </c>
      <c r="K182" s="41" t="n">
        <v>0</v>
      </c>
      <c r="L182" s="41" t="n">
        <v>1570</v>
      </c>
    </row>
    <row r="183" customFormat="false" ht="15.75" hidden="false" customHeight="false" outlineLevel="0" collapsed="false">
      <c r="B183" s="39" t="s">
        <v>168</v>
      </c>
      <c r="C183" s="40" t="str">
        <f aca="false">IF(B183="","",IFERROR(INDEX('CLM &amp; IM Mapping'!$B$2:$B$270,MATCH(TRIM(B183),'CLM &amp; IM Mapping'!$A$2:$A$270,0)),"Not Mapped"))</f>
        <v>Arun Raj</v>
      </c>
      <c r="D183" s="40" t="str">
        <f aca="false">IF(B183="","",IFERROR(INDEX('CLM &amp; IM Mapping'!$C$2:$C$270,MATCH(TRIM(B183),'CLM &amp; IM Mapping'!$A$2:$A$270,0)),"Not Mapped"))</f>
        <v>Simon Manoharan</v>
      </c>
      <c r="E183" s="41" t="n">
        <v>320</v>
      </c>
      <c r="F183" s="41" t="n">
        <v>0</v>
      </c>
      <c r="G183" s="41" t="n">
        <v>0</v>
      </c>
      <c r="H183" s="41" t="n">
        <v>11</v>
      </c>
      <c r="I183" s="41" t="n">
        <v>0</v>
      </c>
      <c r="J183" s="41" t="n">
        <v>309</v>
      </c>
      <c r="K183" s="41" t="n">
        <v>0</v>
      </c>
      <c r="L183" s="41" t="n">
        <v>309</v>
      </c>
    </row>
    <row r="184" customFormat="false" ht="15.75" hidden="false" customHeight="false" outlineLevel="0" collapsed="false">
      <c r="B184" s="45" t="s">
        <v>173</v>
      </c>
      <c r="C184" s="40" t="str">
        <f aca="false">IF(B184="","",IFERROR(INDEX('CLM &amp; IM Mapping'!$B$2:$B$270,MATCH(TRIM(B184),'CLM &amp; IM Mapping'!$A$2:$A$270,0)),"Not Mapped"))</f>
        <v>Saddam Hussain</v>
      </c>
      <c r="D184" s="40" t="str">
        <f aca="false">IF(B184="","",IFERROR(INDEX('CLM &amp; IM Mapping'!$C$2:$C$270,MATCH(TRIM(B184),'CLM &amp; IM Mapping'!$A$2:$A$270,0)),"Not Mapped"))</f>
        <v>Un Mapped</v>
      </c>
      <c r="E184" s="41" t="n">
        <v>4603</v>
      </c>
      <c r="F184" s="41" t="n">
        <v>449</v>
      </c>
      <c r="G184" s="41" t="n">
        <v>0</v>
      </c>
      <c r="H184" s="41" t="n">
        <v>4145</v>
      </c>
      <c r="I184" s="41" t="n">
        <v>0</v>
      </c>
      <c r="J184" s="41" t="n">
        <v>9</v>
      </c>
      <c r="K184" s="41" t="n">
        <v>0</v>
      </c>
      <c r="L184" s="41" t="n">
        <v>4154</v>
      </c>
    </row>
    <row r="185" customFormat="false" ht="15.75" hidden="false" customHeight="false" outlineLevel="0" collapsed="false">
      <c r="B185" s="39" t="s">
        <v>164</v>
      </c>
      <c r="C185" s="40" t="str">
        <f aca="false">IF(B185="","",IFERROR(INDEX('CLM &amp; IM Mapping'!$B$2:$B$270,MATCH(TRIM(B185),'CLM &amp; IM Mapping'!$A$2:$A$270,0)),"Not Mapped"))</f>
        <v>Saddam Hussain</v>
      </c>
      <c r="D185" s="40" t="str">
        <f aca="false">IF(B185="","",IFERROR(INDEX('CLM &amp; IM Mapping'!$C$2:$C$270,MATCH(TRIM(B185),'CLM &amp; IM Mapping'!$A$2:$A$270,0)),"Not Mapped"))</f>
        <v>Un Mapped</v>
      </c>
      <c r="E185" s="41" t="n">
        <v>0</v>
      </c>
      <c r="F185" s="41" t="n">
        <v>0</v>
      </c>
      <c r="G185" s="41" t="n">
        <v>0</v>
      </c>
      <c r="H185" s="41" t="n">
        <v>0</v>
      </c>
      <c r="I185" s="41" t="n">
        <v>0</v>
      </c>
      <c r="J185" s="41" t="n">
        <v>0</v>
      </c>
      <c r="K185" s="41" t="n">
        <v>0</v>
      </c>
      <c r="L185" s="41" t="n">
        <v>0</v>
      </c>
    </row>
    <row r="186" customFormat="false" ht="15.75" hidden="false" customHeight="false" outlineLevel="0" collapsed="false">
      <c r="B186" s="39" t="s">
        <v>40</v>
      </c>
      <c r="C186" s="40" t="str">
        <f aca="false">IF(B186="","",IFERROR(INDEX('CLM &amp; IM Mapping'!$B$2:$B$270,MATCH(TRIM(B186),'CLM &amp; IM Mapping'!$A$2:$A$270,0)),"Not Mapped"))</f>
        <v>Narasimhamurthy R</v>
      </c>
      <c r="D186" s="40" t="str">
        <f aca="false">IF(B186="","",IFERROR(INDEX('CLM &amp; IM Mapping'!$C$2:$C$270,MATCH(TRIM(B186),'CLM &amp; IM Mapping'!$A$2:$A$270,0)),"Not Mapped"))</f>
        <v>Kishor K</v>
      </c>
      <c r="E186" s="41" t="n">
        <v>2970</v>
      </c>
      <c r="F186" s="41" t="n">
        <v>10</v>
      </c>
      <c r="G186" s="41" t="n">
        <v>2960</v>
      </c>
      <c r="H186" s="41" t="n">
        <v>0</v>
      </c>
      <c r="I186" s="41" t="n">
        <v>0</v>
      </c>
      <c r="J186" s="41" t="n">
        <v>0</v>
      </c>
      <c r="K186" s="41" t="n">
        <v>0</v>
      </c>
      <c r="L186" s="41" t="n">
        <v>0</v>
      </c>
    </row>
    <row r="187" customFormat="false" ht="15.75" hidden="false" customHeight="false" outlineLevel="0" collapsed="false">
      <c r="B187" s="39" t="s">
        <v>73</v>
      </c>
      <c r="C187" s="40" t="str">
        <f aca="false">IF(B187="","",IFERROR(INDEX('CLM &amp; IM Mapping'!$B$2:$B$270,MATCH(TRIM(B187),'CLM &amp; IM Mapping'!$A$2:$A$270,0)),"Not Mapped"))</f>
        <v>Rizwan Ahmed</v>
      </c>
      <c r="D187" s="40" t="str">
        <f aca="false">IF(B187="","",IFERROR(INDEX('CLM &amp; IM Mapping'!$C$2:$C$270,MATCH(TRIM(B187),'CLM &amp; IM Mapping'!$A$2:$A$270,0)),"Not Mapped"))</f>
        <v>Un Mapped</v>
      </c>
      <c r="E187" s="41" t="n">
        <v>2015</v>
      </c>
      <c r="F187" s="41" t="n">
        <v>0</v>
      </c>
      <c r="G187" s="41" t="n">
        <v>2015</v>
      </c>
      <c r="H187" s="41" t="n">
        <v>0</v>
      </c>
      <c r="I187" s="41" t="n">
        <v>0</v>
      </c>
      <c r="J187" s="41" t="n">
        <v>0</v>
      </c>
      <c r="K187" s="41" t="n">
        <v>0</v>
      </c>
      <c r="L187" s="41" t="n">
        <v>0</v>
      </c>
    </row>
    <row r="188" customFormat="false" ht="15.75" hidden="false" customHeight="false" outlineLevel="0" collapsed="false">
      <c r="B188" s="39" t="s">
        <v>247</v>
      </c>
      <c r="C188" s="40" t="str">
        <f aca="false">IF(B188="","",IFERROR(INDEX('CLM &amp; IM Mapping'!$B$2:$B$270,MATCH(TRIM(B188),'CLM &amp; IM Mapping'!$A$2:$A$270,0)),"Not Mapped"))</f>
        <v>Manjunatha V</v>
      </c>
      <c r="D188" s="40" t="str">
        <f aca="false">IF(B188="","",IFERROR(INDEX('CLM &amp; IM Mapping'!$C$2:$C$270,MATCH(TRIM(B188),'CLM &amp; IM Mapping'!$A$2:$A$270,0)),"Not Mapped"))</f>
        <v>Un Mapped</v>
      </c>
      <c r="E188" s="41" t="n">
        <v>1430</v>
      </c>
      <c r="F188" s="41" t="n">
        <v>0</v>
      </c>
      <c r="G188" s="41" t="n">
        <v>1430</v>
      </c>
      <c r="H188" s="41" t="n">
        <v>0</v>
      </c>
      <c r="I188" s="41" t="n">
        <v>0</v>
      </c>
      <c r="J188" s="41" t="n">
        <v>0</v>
      </c>
      <c r="K188" s="41" t="n">
        <v>0</v>
      </c>
      <c r="L188" s="41" t="n">
        <v>0</v>
      </c>
    </row>
    <row r="189" customFormat="false" ht="15.75" hidden="false" customHeight="false" outlineLevel="0" collapsed="false">
      <c r="B189" s="39" t="s">
        <v>61</v>
      </c>
      <c r="C189" s="40" t="str">
        <f aca="false">IF(B189="","",IFERROR(INDEX('CLM &amp; IM Mapping'!$B$2:$B$270,MATCH(TRIM(B189),'CLM &amp; IM Mapping'!$A$2:$A$270,0)),"Not Mapped"))</f>
        <v>Basil Scariya</v>
      </c>
      <c r="D189" s="40" t="str">
        <f aca="false">IF(B189="","",IFERROR(INDEX('CLM &amp; IM Mapping'!$C$2:$C$270,MATCH(TRIM(B189),'CLM &amp; IM Mapping'!$A$2:$A$270,0)),"Not Mapped"))</f>
        <v>Prakash BS</v>
      </c>
      <c r="E189" s="41" t="n">
        <v>2464</v>
      </c>
      <c r="F189" s="41" t="n">
        <v>1</v>
      </c>
      <c r="G189" s="41" t="n">
        <v>0</v>
      </c>
      <c r="H189" s="41" t="n">
        <v>2222</v>
      </c>
      <c r="I189" s="41" t="n">
        <v>24</v>
      </c>
      <c r="J189" s="41" t="n">
        <v>217</v>
      </c>
      <c r="K189" s="41" t="n">
        <v>0</v>
      </c>
      <c r="L189" s="41" t="n">
        <v>2463</v>
      </c>
    </row>
    <row r="190" customFormat="false" ht="15.75" hidden="false" customHeight="false" outlineLevel="0" collapsed="false">
      <c r="B190" s="39" t="s">
        <v>188</v>
      </c>
      <c r="C190" s="40" t="str">
        <f aca="false">IF(B190="","",IFERROR(INDEX('CLM &amp; IM Mapping'!$B$2:$B$270,MATCH(TRIM(B190),'CLM &amp; IM Mapping'!$A$2:$A$270,0)),"Not Mapped"))</f>
        <v>Manjunatha V</v>
      </c>
      <c r="D190" s="40" t="str">
        <f aca="false">IF(B190="","",IFERROR(INDEX('CLM &amp; IM Mapping'!$C$2:$C$270,MATCH(TRIM(B190),'CLM &amp; IM Mapping'!$A$2:$A$270,0)),"Not Mapped"))</f>
        <v>Un Mapped</v>
      </c>
      <c r="E190" s="41" t="n">
        <v>2555</v>
      </c>
      <c r="F190" s="41" t="n">
        <v>693</v>
      </c>
      <c r="G190" s="41" t="n">
        <v>1693</v>
      </c>
      <c r="H190" s="41" t="n">
        <v>169</v>
      </c>
      <c r="I190" s="41" t="n">
        <v>0</v>
      </c>
      <c r="J190" s="41" t="n">
        <v>0</v>
      </c>
      <c r="K190" s="41" t="n">
        <v>0</v>
      </c>
      <c r="L190" s="41" t="n">
        <v>169</v>
      </c>
    </row>
    <row r="191" customFormat="false" ht="15.75" hidden="false" customHeight="false" outlineLevel="0" collapsed="false">
      <c r="B191" s="39" t="s">
        <v>223</v>
      </c>
      <c r="C191" s="40" t="str">
        <f aca="false">IF(B191="","",IFERROR(INDEX('CLM &amp; IM Mapping'!$B$2:$B$270,MATCH(TRIM(B191),'CLM &amp; IM Mapping'!$A$2:$A$270,0)),"Not Mapped"))</f>
        <v>Suhas N</v>
      </c>
      <c r="D191" s="40" t="str">
        <f aca="false">IF(B191="","",IFERROR(INDEX('CLM &amp; IM Mapping'!$C$2:$C$270,MATCH(TRIM(B191),'CLM &amp; IM Mapping'!$A$2:$A$270,0)),"Not Mapped"))</f>
        <v>Aravind S</v>
      </c>
      <c r="E191" s="41" t="n">
        <v>634</v>
      </c>
      <c r="F191" s="41" t="n">
        <v>634</v>
      </c>
      <c r="G191" s="41" t="n">
        <v>0</v>
      </c>
      <c r="H191" s="41" t="n">
        <v>0</v>
      </c>
      <c r="I191" s="41" t="n">
        <v>0</v>
      </c>
      <c r="J191" s="41" t="n">
        <v>0</v>
      </c>
      <c r="K191" s="41" t="n">
        <v>0</v>
      </c>
      <c r="L191" s="41" t="n">
        <v>0</v>
      </c>
    </row>
    <row r="192" customFormat="false" ht="15.75" hidden="false" customHeight="false" outlineLevel="0" collapsed="false">
      <c r="B192" s="39" t="s">
        <v>37</v>
      </c>
      <c r="C192" s="40" t="str">
        <f aca="false">IF(B192="","",IFERROR(INDEX('CLM &amp; IM Mapping'!$B$2:$B$270,MATCH(TRIM(B192),'CLM &amp; IM Mapping'!$A$2:$A$270,0)),"Not Mapped"))</f>
        <v>Balaji G</v>
      </c>
      <c r="D192" s="40" t="str">
        <f aca="false">IF(B192="","",IFERROR(INDEX('CLM &amp; IM Mapping'!$C$2:$C$270,MATCH(TRIM(B192),'CLM &amp; IM Mapping'!$A$2:$A$270,0)),"Not Mapped"))</f>
        <v>Mohammed Akbar</v>
      </c>
      <c r="E192" s="41" t="n">
        <v>3325</v>
      </c>
      <c r="F192" s="41" t="n">
        <v>0</v>
      </c>
      <c r="G192" s="41" t="n">
        <v>3324</v>
      </c>
      <c r="H192" s="41" t="n">
        <v>0</v>
      </c>
      <c r="I192" s="41" t="n">
        <v>0</v>
      </c>
      <c r="J192" s="41" t="n">
        <v>1</v>
      </c>
      <c r="K192" s="41" t="n">
        <v>0</v>
      </c>
      <c r="L192" s="41" t="n">
        <v>1</v>
      </c>
    </row>
    <row r="193" customFormat="false" ht="15.75" hidden="false" customHeight="false" outlineLevel="0" collapsed="false">
      <c r="B193" s="39" t="s">
        <v>215</v>
      </c>
      <c r="C193" s="40" t="str">
        <f aca="false">IF(B193="","",IFERROR(INDEX('CLM &amp; IM Mapping'!$B$2:$B$270,MATCH(TRIM(B193),'CLM &amp; IM Mapping'!$A$2:$A$270,0)),"Not Mapped"))</f>
        <v>Girish N</v>
      </c>
      <c r="D193" s="40" t="str">
        <f aca="false">IF(B193="","",IFERROR(INDEX('CLM &amp; IM Mapping'!$C$2:$C$270,MATCH(TRIM(B193),'CLM &amp; IM Mapping'!$A$2:$A$270,0)),"Not Mapped"))</f>
        <v>Un Mapped</v>
      </c>
      <c r="E193" s="41" t="n">
        <v>1731</v>
      </c>
      <c r="F193" s="41" t="n">
        <v>0</v>
      </c>
      <c r="G193" s="41" t="n">
        <v>1731</v>
      </c>
      <c r="H193" s="41" t="n">
        <v>0</v>
      </c>
      <c r="I193" s="41" t="n">
        <v>0</v>
      </c>
      <c r="J193" s="41" t="n">
        <v>0</v>
      </c>
      <c r="K193" s="41" t="n">
        <v>0</v>
      </c>
      <c r="L193" s="41" t="n">
        <v>0</v>
      </c>
    </row>
    <row r="194" customFormat="false" ht="15.75" hidden="false" customHeight="false" outlineLevel="0" collapsed="false">
      <c r="B194" s="39" t="s">
        <v>111</v>
      </c>
      <c r="C194" s="40" t="str">
        <f aca="false">IF(B194="","",IFERROR(INDEX('CLM &amp; IM Mapping'!$B$2:$B$270,MATCH(TRIM(B194),'CLM &amp; IM Mapping'!$A$2:$A$270,0)),"Not Mapped"))</f>
        <v>Ashwath S</v>
      </c>
      <c r="D194" s="40" t="str">
        <f aca="false">IF(B194="","",IFERROR(INDEX('CLM &amp; IM Mapping'!$C$2:$C$270,MATCH(TRIM(B194),'CLM &amp; IM Mapping'!$A$2:$A$270,0)),"Not Mapped"))</f>
        <v>Kantha Kumar</v>
      </c>
      <c r="E194" s="41" t="n">
        <v>0</v>
      </c>
      <c r="F194" s="41" t="n">
        <v>0</v>
      </c>
      <c r="G194" s="41" t="n">
        <v>0</v>
      </c>
      <c r="H194" s="41" t="n">
        <v>0</v>
      </c>
      <c r="I194" s="41" t="n">
        <v>0</v>
      </c>
      <c r="J194" s="41" t="n">
        <v>0</v>
      </c>
      <c r="K194" s="41" t="n">
        <v>0</v>
      </c>
      <c r="L194" s="41" t="n">
        <v>0</v>
      </c>
    </row>
    <row r="195" customFormat="false" ht="15.75" hidden="false" customHeight="false" outlineLevel="0" collapsed="false">
      <c r="B195" s="39" t="s">
        <v>74</v>
      </c>
      <c r="C195" s="40" t="str">
        <f aca="false">IF(B195="","",IFERROR(INDEX('CLM &amp; IM Mapping'!$B$2:$B$270,MATCH(TRIM(B195),'CLM &amp; IM Mapping'!$A$2:$A$270,0)),"Not Mapped"))</f>
        <v>Balaji G</v>
      </c>
      <c r="D195" s="40" t="str">
        <f aca="false">IF(B195="","",IFERROR(INDEX('CLM &amp; IM Mapping'!$C$2:$C$270,MATCH(TRIM(B195),'CLM &amp; IM Mapping'!$A$2:$A$270,0)),"Not Mapped"))</f>
        <v>Mohammed Akbar</v>
      </c>
      <c r="E195" s="41" t="n">
        <v>1918</v>
      </c>
      <c r="F195" s="41" t="n">
        <v>21</v>
      </c>
      <c r="G195" s="41" t="n">
        <v>1897</v>
      </c>
      <c r="H195" s="41" t="n">
        <v>0</v>
      </c>
      <c r="I195" s="41" t="n">
        <v>0</v>
      </c>
      <c r="J195" s="41" t="n">
        <v>0</v>
      </c>
      <c r="K195" s="41" t="n">
        <v>0</v>
      </c>
      <c r="L195" s="41" t="n">
        <v>0</v>
      </c>
    </row>
    <row r="196" customFormat="false" ht="15.75" hidden="false" customHeight="false" outlineLevel="0" collapsed="false">
      <c r="B196" s="39" t="s">
        <v>84</v>
      </c>
      <c r="C196" s="40" t="str">
        <f aca="false">IF(B196="","",IFERROR(INDEX('CLM &amp; IM Mapping'!$B$2:$B$270,MATCH(TRIM(B196),'CLM &amp; IM Mapping'!$A$2:$A$270,0)),"Not Mapped"))</f>
        <v>Mohaideen DH</v>
      </c>
      <c r="D196" s="40" t="str">
        <f aca="false">IF(B196="","",IFERROR(INDEX('CLM &amp; IM Mapping'!$C$2:$C$270,MATCH(TRIM(B196),'CLM &amp; IM Mapping'!$A$2:$A$270,0)),"Not Mapped"))</f>
        <v>Mohammed Akbar</v>
      </c>
      <c r="E196" s="41" t="n">
        <v>1053</v>
      </c>
      <c r="F196" s="41" t="n">
        <v>84</v>
      </c>
      <c r="G196" s="41" t="n">
        <v>342</v>
      </c>
      <c r="H196" s="41" t="n">
        <v>395</v>
      </c>
      <c r="I196" s="41" t="n">
        <v>207</v>
      </c>
      <c r="J196" s="41" t="n">
        <v>0</v>
      </c>
      <c r="K196" s="41" t="n">
        <v>25</v>
      </c>
      <c r="L196" s="41" t="n">
        <v>627</v>
      </c>
    </row>
    <row r="197" customFormat="false" ht="15.75" hidden="false" customHeight="false" outlineLevel="0" collapsed="false">
      <c r="B197" s="39" t="s">
        <v>210</v>
      </c>
      <c r="C197" s="40" t="str">
        <f aca="false">IF(B197="","",IFERROR(INDEX('CLM &amp; IM Mapping'!$B$2:$B$270,MATCH(TRIM(B197),'CLM &amp; IM Mapping'!$A$2:$A$270,0)),"Not Mapped"))</f>
        <v>Mohaideen DH</v>
      </c>
      <c r="D197" s="40" t="str">
        <f aca="false">IF(B197="","",IFERROR(INDEX('CLM &amp; IM Mapping'!$C$2:$C$270,MATCH(TRIM(B197),'CLM &amp; IM Mapping'!$A$2:$A$270,0)),"Not Mapped"))</f>
        <v>Mohammed Akbar</v>
      </c>
      <c r="E197" s="41" t="n">
        <v>5117</v>
      </c>
      <c r="F197" s="41" t="n">
        <v>0</v>
      </c>
      <c r="G197" s="41" t="n">
        <v>2425</v>
      </c>
      <c r="H197" s="41" t="n">
        <v>2610</v>
      </c>
      <c r="I197" s="41" t="n">
        <v>0</v>
      </c>
      <c r="J197" s="41" t="n">
        <v>72</v>
      </c>
      <c r="K197" s="41" t="n">
        <v>10</v>
      </c>
      <c r="L197" s="41" t="n">
        <v>2692</v>
      </c>
    </row>
    <row r="198" customFormat="false" ht="15.75" hidden="false" customHeight="false" outlineLevel="0" collapsed="false">
      <c r="B198" s="39" t="s">
        <v>95</v>
      </c>
      <c r="C198" s="40" t="str">
        <f aca="false">IF(B198="","",IFERROR(INDEX('CLM &amp; IM Mapping'!$B$2:$B$270,MATCH(TRIM(B198),'CLM &amp; IM Mapping'!$A$2:$A$270,0)),"Not Mapped"))</f>
        <v>Arun Raj</v>
      </c>
      <c r="D198" s="40" t="str">
        <f aca="false">IF(B198="","",IFERROR(INDEX('CLM &amp; IM Mapping'!$C$2:$C$270,MATCH(TRIM(B198),'CLM &amp; IM Mapping'!$A$2:$A$270,0)),"Not Mapped"))</f>
        <v>Simon Manoharan</v>
      </c>
      <c r="E198" s="41" t="n">
        <v>0</v>
      </c>
      <c r="F198" s="41" t="n">
        <v>0</v>
      </c>
      <c r="G198" s="41" t="n">
        <v>0</v>
      </c>
      <c r="H198" s="41" t="n">
        <v>0</v>
      </c>
      <c r="I198" s="41" t="n">
        <v>0</v>
      </c>
      <c r="J198" s="41" t="n">
        <v>0</v>
      </c>
      <c r="K198" s="41" t="n">
        <v>0</v>
      </c>
      <c r="L198" s="41" t="n">
        <v>0</v>
      </c>
    </row>
    <row r="199" customFormat="false" ht="15.75" hidden="false" customHeight="false" outlineLevel="0" collapsed="false">
      <c r="B199" s="39" t="s">
        <v>26</v>
      </c>
      <c r="C199" s="40" t="str">
        <f aca="false">IF(B199="","",IFERROR(INDEX('CLM &amp; IM Mapping'!$B$2:$B$270,MATCH(TRIM(B199),'CLM &amp; IM Mapping'!$A$2:$A$270,0)),"Not Mapped"))</f>
        <v>Suhas N</v>
      </c>
      <c r="D199" s="40" t="str">
        <f aca="false">IF(B199="","",IFERROR(INDEX('CLM &amp; IM Mapping'!$C$2:$C$270,MATCH(TRIM(B199),'CLM &amp; IM Mapping'!$A$2:$A$270,0)),"Not Mapped"))</f>
        <v>Aravind S</v>
      </c>
      <c r="E199" s="41" t="n">
        <v>1581</v>
      </c>
      <c r="F199" s="41" t="n">
        <v>1581</v>
      </c>
      <c r="G199" s="41" t="n">
        <v>0</v>
      </c>
      <c r="H199" s="41" t="n">
        <v>0</v>
      </c>
      <c r="I199" s="41" t="n">
        <v>0</v>
      </c>
      <c r="J199" s="41" t="n">
        <v>0</v>
      </c>
      <c r="K199" s="41" t="n">
        <v>0</v>
      </c>
      <c r="L199" s="41" t="n">
        <v>0</v>
      </c>
    </row>
    <row r="200" customFormat="false" ht="15.75" hidden="false" customHeight="false" outlineLevel="0" collapsed="false">
      <c r="B200" s="39" t="s">
        <v>116</v>
      </c>
      <c r="C200" s="40" t="str">
        <f aca="false">IF(B200="","",IFERROR(INDEX('CLM &amp; IM Mapping'!$B$2:$B$270,MATCH(TRIM(B200),'CLM &amp; IM Mapping'!$A$2:$A$270,0)),"Not Mapped"))</f>
        <v>Raghavendra Vernekar</v>
      </c>
      <c r="D200" s="40" t="str">
        <f aca="false">IF(B200="","",IFERROR(INDEX('CLM &amp; IM Mapping'!$C$2:$C$270,MATCH(TRIM(B200),'CLM &amp; IM Mapping'!$A$2:$A$270,0)),"Not Mapped"))</f>
        <v>Prakash BS</v>
      </c>
      <c r="E200" s="41" t="n">
        <v>7877</v>
      </c>
      <c r="F200" s="41" t="n">
        <v>7877</v>
      </c>
      <c r="G200" s="41" t="n">
        <v>0</v>
      </c>
      <c r="H200" s="41" t="n">
        <v>0</v>
      </c>
      <c r="I200" s="41" t="n">
        <v>0</v>
      </c>
      <c r="J200" s="41" t="n">
        <v>0</v>
      </c>
      <c r="K200" s="41" t="n">
        <v>0</v>
      </c>
      <c r="L200" s="41" t="n">
        <v>0</v>
      </c>
    </row>
    <row r="201" customFormat="false" ht="15.75" hidden="false" customHeight="false" outlineLevel="0" collapsed="false">
      <c r="B201" s="39" t="s">
        <v>216</v>
      </c>
      <c r="C201" s="40" t="str">
        <f aca="false">IF(B201="","",IFERROR(INDEX('CLM &amp; IM Mapping'!$B$2:$B$270,MATCH(TRIM(B201),'CLM &amp; IM Mapping'!$A$2:$A$270,0)),"Not Mapped"))</f>
        <v>Saddam Hussain</v>
      </c>
      <c r="D201" s="40" t="str">
        <f aca="false">IF(B201="","",IFERROR(INDEX('CLM &amp; IM Mapping'!$C$2:$C$270,MATCH(TRIM(B201),'CLM &amp; IM Mapping'!$A$2:$A$270,0)),"Not Mapped"))</f>
        <v>Un Mapped</v>
      </c>
      <c r="E201" s="41" t="n">
        <v>3064</v>
      </c>
      <c r="F201" s="41" t="n">
        <v>119</v>
      </c>
      <c r="G201" s="41" t="n">
        <v>2945</v>
      </c>
      <c r="H201" s="41" t="n">
        <v>0</v>
      </c>
      <c r="I201" s="41" t="n">
        <v>0</v>
      </c>
      <c r="J201" s="41" t="n">
        <v>0</v>
      </c>
      <c r="K201" s="41" t="n">
        <v>0</v>
      </c>
      <c r="L201" s="41" t="n">
        <v>0</v>
      </c>
    </row>
    <row r="202" customFormat="false" ht="15.75" hidden="false" customHeight="false" outlineLevel="0" collapsed="false">
      <c r="B202" s="39" t="s">
        <v>274</v>
      </c>
      <c r="C202" s="40" t="str">
        <f aca="false">IF(B202="","",IFERROR(INDEX('CLM &amp; IM Mapping'!$B$2:$B$270,MATCH(TRIM(B202),'CLM &amp; IM Mapping'!$A$2:$A$270,0)),"Not Mapped"))</f>
        <v>Narasimhamurthy R</v>
      </c>
      <c r="D202" s="40" t="str">
        <f aca="false">IF(B202="","",IFERROR(INDEX('CLM &amp; IM Mapping'!$C$2:$C$270,MATCH(TRIM(B202),'CLM &amp; IM Mapping'!$A$2:$A$270,0)),"Not Mapped"))</f>
        <v>Kishor K</v>
      </c>
      <c r="E202" s="41" t="n">
        <v>7663</v>
      </c>
      <c r="F202" s="41" t="n">
        <v>6264</v>
      </c>
      <c r="G202" s="41" t="n">
        <v>0</v>
      </c>
      <c r="H202" s="41" t="n">
        <v>0</v>
      </c>
      <c r="I202" s="41" t="n">
        <v>1399</v>
      </c>
      <c r="J202" s="41" t="n">
        <v>0</v>
      </c>
      <c r="K202" s="41" t="n">
        <v>0</v>
      </c>
      <c r="L202" s="41" t="n">
        <v>1399</v>
      </c>
    </row>
    <row r="203" customFormat="false" ht="15.75" hidden="false" customHeight="false" outlineLevel="0" collapsed="false">
      <c r="B203" s="39" t="s">
        <v>253</v>
      </c>
      <c r="C203" s="40" t="str">
        <f aca="false">IF(B203="","",IFERROR(INDEX('CLM &amp; IM Mapping'!$B$2:$B$270,MATCH(TRIM(B203),'CLM &amp; IM Mapping'!$A$2:$A$270,0)),"Not Mapped"))</f>
        <v>Girish N</v>
      </c>
      <c r="D203" s="40" t="str">
        <f aca="false">IF(B203="","",IFERROR(INDEX('CLM &amp; IM Mapping'!$C$2:$C$270,MATCH(TRIM(B203),'CLM &amp; IM Mapping'!$A$2:$A$270,0)),"Not Mapped"))</f>
        <v>Un Mapped</v>
      </c>
      <c r="E203" s="41" t="n">
        <v>261</v>
      </c>
      <c r="F203" s="41" t="n">
        <v>0</v>
      </c>
      <c r="G203" s="41" t="n">
        <v>0</v>
      </c>
      <c r="H203" s="41" t="n">
        <v>148</v>
      </c>
      <c r="I203" s="41" t="n">
        <v>13</v>
      </c>
      <c r="J203" s="41" t="n">
        <v>100</v>
      </c>
      <c r="K203" s="41" t="n">
        <v>0</v>
      </c>
      <c r="L203" s="41" t="n">
        <v>261</v>
      </c>
    </row>
    <row r="204" customFormat="false" ht="15.75" hidden="false" customHeight="false" outlineLevel="0" collapsed="false">
      <c r="B204" s="23" t="s">
        <v>207</v>
      </c>
      <c r="C204" s="44" t="str">
        <f aca="false">IF(B204="","",IFERROR(INDEX('CLM &amp; IM Mapping'!$B$2:$B$270,MATCH(TRIM(B204),'CLM &amp; IM Mapping'!$A$2:$A$270,0)),"Not Mapped"))</f>
        <v>Keshav G</v>
      </c>
      <c r="D204" s="44" t="str">
        <f aca="false">IF(B204="","",IFERROR(INDEX('CLM &amp; IM Mapping'!$C$2:$C$270,MATCH(TRIM(B204),'CLM &amp; IM Mapping'!$A$2:$A$270,0)),"Not Mapped"))</f>
        <v>Mohammed Akbar</v>
      </c>
      <c r="E204" s="41" t="n">
        <v>13848</v>
      </c>
      <c r="F204" s="41" t="n">
        <v>654</v>
      </c>
      <c r="G204" s="41" t="n">
        <v>9543</v>
      </c>
      <c r="H204" s="41" t="n">
        <v>3508</v>
      </c>
      <c r="I204" s="41" t="n">
        <v>0</v>
      </c>
      <c r="J204" s="41" t="n">
        <v>25</v>
      </c>
      <c r="K204" s="41" t="n">
        <v>118</v>
      </c>
      <c r="L204" s="41" t="n">
        <v>3651</v>
      </c>
    </row>
    <row r="205" customFormat="false" ht="15.75" hidden="false" customHeight="false" outlineLevel="0" collapsed="false">
      <c r="B205" s="39" t="s">
        <v>140</v>
      </c>
      <c r="C205" s="40" t="str">
        <f aca="false">IF(B205="","",IFERROR(INDEX('CLM &amp; IM Mapping'!$B$2:$B$270,MATCH(TRIM(B205),'CLM &amp; IM Mapping'!$A$2:$A$270,0)),"Not Mapped"))</f>
        <v>Mohaideen DH</v>
      </c>
      <c r="D205" s="40" t="str">
        <f aca="false">IF(B205="","",IFERROR(INDEX('CLM &amp; IM Mapping'!$C$2:$C$270,MATCH(TRIM(B205),'CLM &amp; IM Mapping'!$A$2:$A$270,0)),"Not Mapped"))</f>
        <v>Mohammed Akbar</v>
      </c>
      <c r="E205" s="41" t="n">
        <v>4553</v>
      </c>
      <c r="F205" s="41" t="n">
        <v>437</v>
      </c>
      <c r="G205" s="41" t="n">
        <v>4060</v>
      </c>
      <c r="H205" s="41" t="n">
        <v>0</v>
      </c>
      <c r="I205" s="41" t="n">
        <v>0</v>
      </c>
      <c r="J205" s="41" t="n">
        <v>56</v>
      </c>
      <c r="K205" s="41" t="n">
        <v>0</v>
      </c>
      <c r="L205" s="41" t="n">
        <v>56</v>
      </c>
    </row>
    <row r="206" customFormat="false" ht="15.75" hidden="false" customHeight="false" outlineLevel="0" collapsed="false">
      <c r="B206" s="39" t="s">
        <v>234</v>
      </c>
      <c r="C206" s="40" t="str">
        <f aca="false">IF(B206="","",IFERROR(INDEX('CLM &amp; IM Mapping'!$B$2:$B$270,MATCH(TRIM(B206),'CLM &amp; IM Mapping'!$A$2:$A$270,0)),"Not Mapped"))</f>
        <v>Silambarasan E</v>
      </c>
      <c r="D206" s="40" t="str">
        <f aca="false">IF(B206="","",IFERROR(INDEX('CLM &amp; IM Mapping'!$C$2:$C$270,MATCH(TRIM(B206),'CLM &amp; IM Mapping'!$A$2:$A$270,0)),"Not Mapped"))</f>
        <v>Arivind S</v>
      </c>
      <c r="E206" s="41" t="n">
        <v>1165</v>
      </c>
      <c r="F206" s="41" t="n">
        <v>0</v>
      </c>
      <c r="G206" s="41" t="n">
        <v>0</v>
      </c>
      <c r="H206" s="41" t="n">
        <v>1020</v>
      </c>
      <c r="I206" s="41" t="n">
        <v>0</v>
      </c>
      <c r="J206" s="41" t="n">
        <v>102</v>
      </c>
      <c r="K206" s="41" t="n">
        <v>43</v>
      </c>
      <c r="L206" s="41" t="n">
        <v>1165</v>
      </c>
    </row>
    <row r="207" customFormat="false" ht="15.75" hidden="false" customHeight="false" outlineLevel="0" collapsed="false">
      <c r="B207" s="39" t="s">
        <v>123</v>
      </c>
      <c r="C207" s="40" t="str">
        <f aca="false">IF(B207="","",IFERROR(INDEX('CLM &amp; IM Mapping'!$B$2:$B$270,MATCH(TRIM(B207),'CLM &amp; IM Mapping'!$A$2:$A$270,0)),"Not Mapped"))</f>
        <v>Saddam Hussain</v>
      </c>
      <c r="D207" s="40" t="str">
        <f aca="false">IF(B207="","",IFERROR(INDEX('CLM &amp; IM Mapping'!$C$2:$C$270,MATCH(TRIM(B207),'CLM &amp; IM Mapping'!$A$2:$A$270,0)),"Not Mapped"))</f>
        <v>Un Mapped</v>
      </c>
      <c r="E207" s="41" t="n">
        <v>1848</v>
      </c>
      <c r="F207" s="41" t="n">
        <v>0</v>
      </c>
      <c r="G207" s="41" t="n">
        <v>1848</v>
      </c>
      <c r="H207" s="41" t="n">
        <v>0</v>
      </c>
      <c r="I207" s="41" t="n">
        <v>0</v>
      </c>
      <c r="J207" s="41" t="n">
        <v>0</v>
      </c>
      <c r="K207" s="41" t="n">
        <v>0</v>
      </c>
      <c r="L207" s="41" t="n">
        <v>0</v>
      </c>
    </row>
    <row r="208" customFormat="false" ht="15.75" hidden="false" customHeight="false" outlineLevel="0" collapsed="false">
      <c r="B208" s="39" t="s">
        <v>117</v>
      </c>
      <c r="C208" s="40" t="str">
        <f aca="false">IF(B208="","",IFERROR(INDEX('CLM &amp; IM Mapping'!$B$2:$B$270,MATCH(TRIM(B208),'CLM &amp; IM Mapping'!$A$2:$A$270,0)),"Not Mapped"))</f>
        <v>Saddam Hussain</v>
      </c>
      <c r="D208" s="40" t="str">
        <f aca="false">IF(B208="","",IFERROR(INDEX('CLM &amp; IM Mapping'!$C$2:$C$270,MATCH(TRIM(B208),'CLM &amp; IM Mapping'!$A$2:$A$270,0)),"Not Mapped"))</f>
        <v>Un Mapped</v>
      </c>
      <c r="E208" s="41" t="n">
        <v>3</v>
      </c>
      <c r="F208" s="41" t="n">
        <v>0</v>
      </c>
      <c r="G208" s="41" t="n">
        <v>0</v>
      </c>
      <c r="H208" s="41" t="n">
        <v>0</v>
      </c>
      <c r="I208" s="41" t="n">
        <v>3</v>
      </c>
      <c r="J208" s="41" t="n">
        <v>0</v>
      </c>
      <c r="K208" s="41" t="n">
        <v>0</v>
      </c>
      <c r="L208" s="41" t="n">
        <v>3</v>
      </c>
    </row>
    <row r="209" customFormat="false" ht="15.75" hidden="false" customHeight="false" outlineLevel="0" collapsed="false">
      <c r="B209" s="39" t="s">
        <v>280</v>
      </c>
      <c r="C209" s="40" t="str">
        <f aca="false">IF(B209="","",IFERROR(INDEX('CLM &amp; IM Mapping'!$B$2:$B$270,MATCH(TRIM(B209),'CLM &amp; IM Mapping'!$A$2:$A$270,0)),"Not Mapped"))</f>
        <v>Adhavan Subramani</v>
      </c>
      <c r="D209" s="40" t="str">
        <f aca="false">IF(B209="","",IFERROR(INDEX('CLM &amp; IM Mapping'!$C$2:$C$270,MATCH(TRIM(B209),'CLM &amp; IM Mapping'!$A$2:$A$270,0)),"Not Mapped"))</f>
        <v>Mohammed Akbar</v>
      </c>
      <c r="E209" s="41" t="n">
        <v>5560</v>
      </c>
      <c r="F209" s="41" t="n">
        <v>3674</v>
      </c>
      <c r="G209" s="41" t="n">
        <v>0</v>
      </c>
      <c r="H209" s="41" t="n">
        <v>0</v>
      </c>
      <c r="I209" s="41" t="n">
        <v>1395</v>
      </c>
      <c r="J209" s="41" t="n">
        <v>73</v>
      </c>
      <c r="K209" s="41" t="n">
        <v>418</v>
      </c>
      <c r="L209" s="41" t="n">
        <v>1886</v>
      </c>
    </row>
    <row r="210" customFormat="false" ht="15.75" hidden="false" customHeight="false" outlineLevel="0" collapsed="false">
      <c r="B210" s="39" t="s">
        <v>204</v>
      </c>
      <c r="C210" s="40" t="str">
        <f aca="false">IF(B210="","",IFERROR(INDEX('CLM &amp; IM Mapping'!$B$2:$B$270,MATCH(TRIM(B210),'CLM &amp; IM Mapping'!$A$2:$A$270,0)),"Not Mapped"))</f>
        <v>Manoj Kj</v>
      </c>
      <c r="D210" s="40" t="str">
        <f aca="false">IF(B210="","",IFERROR(INDEX('CLM &amp; IM Mapping'!$C$2:$C$270,MATCH(TRIM(B210),'CLM &amp; IM Mapping'!$A$2:$A$270,0)),"Not Mapped"))</f>
        <v>Srittam Dhal</v>
      </c>
      <c r="E210" s="41" t="n">
        <v>0</v>
      </c>
      <c r="F210" s="41" t="n">
        <v>0</v>
      </c>
      <c r="G210" s="41" t="n">
        <v>0</v>
      </c>
      <c r="H210" s="41" t="n">
        <v>0</v>
      </c>
      <c r="I210" s="41" t="n">
        <v>0</v>
      </c>
      <c r="J210" s="41" t="n">
        <v>0</v>
      </c>
      <c r="K210" s="41" t="n">
        <v>0</v>
      </c>
      <c r="L210" s="41" t="n">
        <v>0</v>
      </c>
    </row>
    <row r="211" customFormat="false" ht="15.75" hidden="false" customHeight="false" outlineLevel="0" collapsed="false">
      <c r="B211" s="39" t="s">
        <v>56</v>
      </c>
      <c r="C211" s="40" t="str">
        <f aca="false">IF(B211="","",IFERROR(INDEX('CLM &amp; IM Mapping'!$B$2:$B$270,MATCH(TRIM(B211),'CLM &amp; IM Mapping'!$A$2:$A$270,0)),"Not Mapped"))</f>
        <v>Balaji G</v>
      </c>
      <c r="D211" s="40" t="str">
        <f aca="false">IF(B211="","",IFERROR(INDEX('CLM &amp; IM Mapping'!$C$2:$C$270,MATCH(TRIM(B211),'CLM &amp; IM Mapping'!$A$2:$A$270,0)),"Not Mapped"))</f>
        <v>Mohammed Akbar</v>
      </c>
      <c r="E211" s="41" t="n">
        <v>5</v>
      </c>
      <c r="F211" s="41" t="n">
        <v>0</v>
      </c>
      <c r="G211" s="41" t="n">
        <v>5</v>
      </c>
      <c r="H211" s="41" t="n">
        <v>0</v>
      </c>
      <c r="I211" s="41" t="n">
        <v>0</v>
      </c>
      <c r="J211" s="41" t="n">
        <v>0</v>
      </c>
      <c r="K211" s="41" t="n">
        <v>0</v>
      </c>
      <c r="L211" s="41" t="n">
        <v>0</v>
      </c>
    </row>
    <row r="212" customFormat="false" ht="15.75" hidden="false" customHeight="false" outlineLevel="0" collapsed="false">
      <c r="B212" s="39" t="s">
        <v>145</v>
      </c>
      <c r="C212" s="40" t="str">
        <f aca="false">IF(B212="","",IFERROR(INDEX('CLM &amp; IM Mapping'!$B$2:$B$270,MATCH(TRIM(B212),'CLM &amp; IM Mapping'!$A$2:$A$270,0)),"Not Mapped"))</f>
        <v>Saddam Hussain</v>
      </c>
      <c r="D212" s="40" t="str">
        <f aca="false">IF(B212="","",IFERROR(INDEX('CLM &amp; IM Mapping'!$C$2:$C$270,MATCH(TRIM(B212),'CLM &amp; IM Mapping'!$A$2:$A$270,0)),"Not Mapped"))</f>
        <v>Un Mapped</v>
      </c>
      <c r="E212" s="41" t="n">
        <v>2</v>
      </c>
      <c r="F212" s="41" t="n">
        <v>2</v>
      </c>
      <c r="G212" s="41" t="n">
        <v>0</v>
      </c>
      <c r="H212" s="41" t="n">
        <v>0</v>
      </c>
      <c r="I212" s="41" t="n">
        <v>0</v>
      </c>
      <c r="J212" s="41" t="n">
        <v>0</v>
      </c>
      <c r="K212" s="41" t="n">
        <v>0</v>
      </c>
      <c r="L212" s="41" t="n">
        <v>0</v>
      </c>
    </row>
    <row r="213" customFormat="false" ht="15.75" hidden="false" customHeight="false" outlineLevel="0" collapsed="false">
      <c r="B213" s="39" t="s">
        <v>211</v>
      </c>
      <c r="C213" s="40" t="str">
        <f aca="false">IF(B213="","",IFERROR(INDEX('CLM &amp; IM Mapping'!$B$2:$B$270,MATCH(TRIM(B213),'CLM &amp; IM Mapping'!$A$2:$A$270,0)),"Not Mapped"))</f>
        <v>Ashwath S</v>
      </c>
      <c r="D213" s="40" t="str">
        <f aca="false">IF(B213="","",IFERROR(INDEX('CLM &amp; IM Mapping'!$C$2:$C$270,MATCH(TRIM(B213),'CLM &amp; IM Mapping'!$A$2:$A$270,0)),"Not Mapped"))</f>
        <v>Kantha Kumar</v>
      </c>
      <c r="E213" s="41" t="n">
        <v>80</v>
      </c>
      <c r="F213" s="41" t="n">
        <v>0</v>
      </c>
      <c r="G213" s="41" t="n">
        <v>15</v>
      </c>
      <c r="H213" s="41" t="n">
        <v>65</v>
      </c>
      <c r="I213" s="41" t="n">
        <v>0</v>
      </c>
      <c r="J213" s="41" t="n">
        <v>0</v>
      </c>
      <c r="K213" s="41" t="n">
        <v>0</v>
      </c>
      <c r="L213" s="41" t="n">
        <v>65</v>
      </c>
    </row>
    <row r="214" customFormat="false" ht="15.75" hidden="false" customHeight="false" outlineLevel="0" collapsed="false">
      <c r="B214" s="39" t="s">
        <v>97</v>
      </c>
      <c r="C214" s="40" t="str">
        <f aca="false">IF(B214="","",IFERROR(INDEX('CLM &amp; IM Mapping'!$B$2:$B$270,MATCH(TRIM(B214),'CLM &amp; IM Mapping'!$A$2:$A$270,0)),"Not Mapped"))</f>
        <v>Arun Raj</v>
      </c>
      <c r="D214" s="40" t="str">
        <f aca="false">IF(B214="","",IFERROR(INDEX('CLM &amp; IM Mapping'!$C$2:$C$270,MATCH(TRIM(B214),'CLM &amp; IM Mapping'!$A$2:$A$270,0)),"Not Mapped"))</f>
        <v>Simon Manoharan</v>
      </c>
      <c r="E214" s="41" t="n">
        <v>4120</v>
      </c>
      <c r="F214" s="41" t="n">
        <v>0</v>
      </c>
      <c r="G214" s="41" t="n">
        <v>1633</v>
      </c>
      <c r="H214" s="41" t="n">
        <v>1827</v>
      </c>
      <c r="I214" s="41" t="n">
        <v>245</v>
      </c>
      <c r="J214" s="41" t="n">
        <v>414</v>
      </c>
      <c r="K214" s="41" t="n">
        <v>1</v>
      </c>
      <c r="L214" s="41" t="n">
        <v>660</v>
      </c>
    </row>
    <row r="215" customFormat="false" ht="15.75" hidden="false" customHeight="false" outlineLevel="0" collapsed="false">
      <c r="B215" s="39" t="s">
        <v>90</v>
      </c>
      <c r="C215" s="40" t="str">
        <f aca="false">IF(B215="","",IFERROR(INDEX('CLM &amp; IM Mapping'!$B$2:$B$270,MATCH(TRIM(B215),'CLM &amp; IM Mapping'!$A$2:$A$270,0)),"Not Mapped"))</f>
        <v>Ashwath S</v>
      </c>
      <c r="D215" s="40" t="str">
        <f aca="false">IF(B215="","",IFERROR(INDEX('CLM &amp; IM Mapping'!$C$2:$C$270,MATCH(TRIM(B215),'CLM &amp; IM Mapping'!$A$2:$A$270,0)),"Not Mapped"))</f>
        <v>Kantha Kumar</v>
      </c>
      <c r="E215" s="41" t="n">
        <v>1233</v>
      </c>
      <c r="F215" s="41" t="n">
        <v>0</v>
      </c>
      <c r="G215" s="41" t="n">
        <v>1066</v>
      </c>
      <c r="H215" s="41" t="n">
        <v>0</v>
      </c>
      <c r="I215" s="41" t="n">
        <v>167</v>
      </c>
      <c r="J215" s="41" t="n">
        <v>0</v>
      </c>
      <c r="K215" s="41" t="n">
        <v>0</v>
      </c>
      <c r="L215" s="41" t="n">
        <v>167</v>
      </c>
    </row>
    <row r="216" customFormat="false" ht="15.75" hidden="false" customHeight="false" outlineLevel="0" collapsed="false">
      <c r="B216" s="39" t="s">
        <v>202</v>
      </c>
      <c r="C216" s="40" t="str">
        <f aca="false">IF(B216="","",IFERROR(INDEX('CLM &amp; IM Mapping'!$B$2:$B$270,MATCH(TRIM(B216),'CLM &amp; IM Mapping'!$A$2:$A$270,0)),"Not Mapped"))</f>
        <v>Ashwath S</v>
      </c>
      <c r="D216" s="40" t="str">
        <f aca="false">IF(B216="","",IFERROR(INDEX('CLM &amp; IM Mapping'!$C$2:$C$270,MATCH(TRIM(B216),'CLM &amp; IM Mapping'!$A$2:$A$270,0)),"Not Mapped"))</f>
        <v>Kantha Kumar</v>
      </c>
      <c r="E216" s="41" t="n">
        <v>1541</v>
      </c>
      <c r="F216" s="41" t="n">
        <v>0</v>
      </c>
      <c r="G216" s="41" t="n">
        <v>0</v>
      </c>
      <c r="H216" s="41" t="n">
        <v>1526</v>
      </c>
      <c r="I216" s="41" t="n">
        <v>7</v>
      </c>
      <c r="J216" s="41" t="n">
        <v>8</v>
      </c>
      <c r="K216" s="41" t="n">
        <v>0</v>
      </c>
      <c r="L216" s="41" t="n">
        <v>1541</v>
      </c>
    </row>
    <row r="217" customFormat="false" ht="15.75" hidden="false" customHeight="false" outlineLevel="0" collapsed="false">
      <c r="B217" s="39" t="s">
        <v>181</v>
      </c>
      <c r="C217" s="40" t="str">
        <f aca="false">IF(B217="","",IFERROR(INDEX('CLM &amp; IM Mapping'!$B$2:$B$270,MATCH(TRIM(B217),'CLM &amp; IM Mapping'!$A$2:$A$270,0)),"Not Mapped"))</f>
        <v>Sundaresh S</v>
      </c>
      <c r="D217" s="40" t="str">
        <f aca="false">IF(B217="","",IFERROR(INDEX('CLM &amp; IM Mapping'!$C$2:$C$270,MATCH(TRIM(B217),'CLM &amp; IM Mapping'!$A$2:$A$270,0)),"Not Mapped"))</f>
        <v>Un Mapped</v>
      </c>
      <c r="E217" s="41" t="n">
        <v>2148</v>
      </c>
      <c r="F217" s="41" t="n">
        <v>0</v>
      </c>
      <c r="G217" s="41" t="n">
        <v>0</v>
      </c>
      <c r="H217" s="41" t="n">
        <v>2148</v>
      </c>
      <c r="I217" s="41" t="n">
        <v>0</v>
      </c>
      <c r="J217" s="41" t="n">
        <v>0</v>
      </c>
      <c r="K217" s="41" t="n">
        <v>0</v>
      </c>
      <c r="L217" s="41" t="n">
        <v>2148</v>
      </c>
    </row>
    <row r="218" customFormat="false" ht="15.75" hidden="false" customHeight="false" outlineLevel="0" collapsed="false">
      <c r="B218" s="39" t="s">
        <v>122</v>
      </c>
      <c r="C218" s="40" t="str">
        <f aca="false">IF(B218="","",IFERROR(INDEX('CLM &amp; IM Mapping'!$B$2:$B$270,MATCH(TRIM(B218),'CLM &amp; IM Mapping'!$A$2:$A$270,0)),"Not Mapped"))</f>
        <v>Adhavan Subramani</v>
      </c>
      <c r="D218" s="40" t="str">
        <f aca="false">IF(B218="","",IFERROR(INDEX('CLM &amp; IM Mapping'!$C$2:$C$270,MATCH(TRIM(B218),'CLM &amp; IM Mapping'!$A$2:$A$270,0)),"Not Mapped"))</f>
        <v>Mohammed Akbar</v>
      </c>
      <c r="E218" s="41" t="n">
        <v>160</v>
      </c>
      <c r="F218" s="41" t="n">
        <v>0</v>
      </c>
      <c r="G218" s="41" t="n">
        <v>0</v>
      </c>
      <c r="H218" s="41" t="n">
        <v>160</v>
      </c>
      <c r="I218" s="41" t="n">
        <v>0</v>
      </c>
      <c r="J218" s="41" t="n">
        <v>0</v>
      </c>
      <c r="K218" s="41" t="n">
        <v>0</v>
      </c>
      <c r="L218" s="41" t="n">
        <v>160</v>
      </c>
    </row>
    <row r="219" customFormat="false" ht="15.75" hidden="false" customHeight="false" outlineLevel="0" collapsed="false">
      <c r="B219" s="39" t="s">
        <v>64</v>
      </c>
      <c r="C219" s="40" t="str">
        <f aca="false">IF(B219="","",IFERROR(INDEX('CLM &amp; IM Mapping'!$B$2:$B$270,MATCH(TRIM(B219),'CLM &amp; IM Mapping'!$A$2:$A$270,0)),"Not Mapped"))</f>
        <v>Akshay P</v>
      </c>
      <c r="D219" s="40" t="str">
        <f aca="false">IF(B219="","",IFERROR(INDEX('CLM &amp; IM Mapping'!$C$2:$C$270,MATCH(TRIM(B219),'CLM &amp; IM Mapping'!$A$2:$A$270,0)),"Not Mapped"))</f>
        <v>Srittam Dhal</v>
      </c>
      <c r="E219" s="41" t="n">
        <v>357</v>
      </c>
      <c r="F219" s="41" t="n">
        <v>0</v>
      </c>
      <c r="G219" s="41" t="n">
        <v>0</v>
      </c>
      <c r="H219" s="41" t="n">
        <v>357</v>
      </c>
      <c r="I219" s="41" t="n">
        <v>0</v>
      </c>
      <c r="J219" s="41" t="n">
        <v>0</v>
      </c>
      <c r="K219" s="41" t="n">
        <v>0</v>
      </c>
      <c r="L219" s="41" t="n">
        <v>357</v>
      </c>
    </row>
    <row r="220" customFormat="false" ht="15.75" hidden="false" customHeight="false" outlineLevel="0" collapsed="false">
      <c r="B220" s="39" t="s">
        <v>190</v>
      </c>
      <c r="C220" s="40" t="str">
        <f aca="false">IF(B220="","",IFERROR(INDEX('CLM &amp; IM Mapping'!$B$2:$B$270,MATCH(TRIM(B220),'CLM &amp; IM Mapping'!$A$2:$A$270,0)),"Not Mapped"))</f>
        <v>Girish N</v>
      </c>
      <c r="D220" s="40" t="str">
        <f aca="false">IF(B220="","",IFERROR(INDEX('CLM &amp; IM Mapping'!$C$2:$C$270,MATCH(TRIM(B220),'CLM &amp; IM Mapping'!$A$2:$A$270,0)),"Not Mapped"))</f>
        <v>Un Mapped</v>
      </c>
      <c r="E220" s="41" t="n">
        <v>4763</v>
      </c>
      <c r="F220" s="41" t="n">
        <v>0</v>
      </c>
      <c r="G220" s="41" t="n">
        <v>4763</v>
      </c>
      <c r="H220" s="41" t="n">
        <v>0</v>
      </c>
      <c r="I220" s="41" t="n">
        <v>0</v>
      </c>
      <c r="J220" s="41" t="n">
        <v>0</v>
      </c>
      <c r="K220" s="41" t="n">
        <v>0</v>
      </c>
      <c r="L220" s="41" t="n">
        <v>0</v>
      </c>
    </row>
    <row r="221" customFormat="false" ht="15.75" hidden="false" customHeight="false" outlineLevel="0" collapsed="false">
      <c r="B221" s="39" t="s">
        <v>81</v>
      </c>
      <c r="C221" s="40" t="str">
        <f aca="false">IF(B221="","",IFERROR(INDEX('CLM &amp; IM Mapping'!$B$2:$B$270,MATCH(TRIM(B221),'CLM &amp; IM Mapping'!$A$2:$A$270,0)),"Not Mapped"))</f>
        <v>Sundaresh S</v>
      </c>
      <c r="D221" s="40" t="str">
        <f aca="false">IF(B221="","",IFERROR(INDEX('CLM &amp; IM Mapping'!$C$2:$C$270,MATCH(TRIM(B221),'CLM &amp; IM Mapping'!$A$2:$A$270,0)),"Not Mapped"))</f>
        <v>Un Mapped</v>
      </c>
      <c r="E221" s="41" t="n">
        <v>2342</v>
      </c>
      <c r="F221" s="41" t="n">
        <v>0</v>
      </c>
      <c r="G221" s="41" t="n">
        <v>0</v>
      </c>
      <c r="H221" s="41" t="n">
        <v>2305</v>
      </c>
      <c r="I221" s="41" t="n">
        <v>0</v>
      </c>
      <c r="J221" s="41" t="n">
        <v>0</v>
      </c>
      <c r="K221" s="41" t="n">
        <v>37</v>
      </c>
      <c r="L221" s="41" t="n">
        <v>2342</v>
      </c>
    </row>
    <row r="222" customFormat="false" ht="15.75" hidden="false" customHeight="false" outlineLevel="0" collapsed="false">
      <c r="B222" s="39" t="s">
        <v>86</v>
      </c>
      <c r="C222" s="40" t="str">
        <f aca="false">IF(B222="","",IFERROR(INDEX('CLM &amp; IM Mapping'!$B$2:$B$270,MATCH(TRIM(B222),'CLM &amp; IM Mapping'!$A$2:$A$270,0)),"Not Mapped"))</f>
        <v>Adhavan Subramani</v>
      </c>
      <c r="D222" s="40" t="str">
        <f aca="false">IF(B222="","",IFERROR(INDEX('CLM &amp; IM Mapping'!$C$2:$C$270,MATCH(TRIM(B222),'CLM &amp; IM Mapping'!$A$2:$A$270,0)),"Not Mapped"))</f>
        <v>Mohammed Akbar</v>
      </c>
      <c r="E222" s="41" t="n">
        <v>1568</v>
      </c>
      <c r="F222" s="41" t="n">
        <v>0</v>
      </c>
      <c r="G222" s="41" t="n">
        <v>1353</v>
      </c>
      <c r="H222" s="41" t="n">
        <v>160</v>
      </c>
      <c r="I222" s="41" t="n">
        <v>0</v>
      </c>
      <c r="J222" s="41" t="n">
        <v>0</v>
      </c>
      <c r="K222" s="41" t="n">
        <v>55</v>
      </c>
      <c r="L222" s="41" t="n">
        <v>215</v>
      </c>
    </row>
    <row r="223" customFormat="false" ht="15.75" hidden="false" customHeight="false" outlineLevel="0" collapsed="false">
      <c r="B223" s="39" t="s">
        <v>203</v>
      </c>
      <c r="C223" s="40" t="str">
        <f aca="false">IF(B223="","",IFERROR(INDEX('CLM &amp; IM Mapping'!$B$2:$B$270,MATCH(TRIM(B223),'CLM &amp; IM Mapping'!$A$2:$A$270,0)),"Not Mapped"))</f>
        <v>Suhas N</v>
      </c>
      <c r="D223" s="40" t="str">
        <f aca="false">IF(B223="","",IFERROR(INDEX('CLM &amp; IM Mapping'!$C$2:$C$270,MATCH(TRIM(B223),'CLM &amp; IM Mapping'!$A$2:$A$270,0)),"Not Mapped"))</f>
        <v>Aravind S</v>
      </c>
      <c r="E223" s="41" t="n">
        <v>3</v>
      </c>
      <c r="F223" s="41" t="n">
        <v>0</v>
      </c>
      <c r="G223" s="41" t="n">
        <v>3</v>
      </c>
      <c r="H223" s="41" t="n">
        <v>0</v>
      </c>
      <c r="I223" s="41" t="n">
        <v>0</v>
      </c>
      <c r="J223" s="41" t="n">
        <v>0</v>
      </c>
      <c r="K223" s="41" t="n">
        <v>0</v>
      </c>
      <c r="L223" s="41" t="n">
        <v>0</v>
      </c>
    </row>
    <row r="224" customFormat="false" ht="15.75" hidden="false" customHeight="false" outlineLevel="0" collapsed="false">
      <c r="B224" s="39" t="s">
        <v>105</v>
      </c>
      <c r="C224" s="40" t="str">
        <f aca="false">IF(B224="","",IFERROR(INDEX('CLM &amp; IM Mapping'!$B$2:$B$270,MATCH(TRIM(B224),'CLM &amp; IM Mapping'!$A$2:$A$270,0)),"Not Mapped"))</f>
        <v>Vijay M</v>
      </c>
      <c r="D224" s="40" t="str">
        <f aca="false">IF(B224="","",IFERROR(INDEX('CLM &amp; IM Mapping'!$C$2:$C$270,MATCH(TRIM(B224),'CLM &amp; IM Mapping'!$A$2:$A$270,0)),"Not Mapped"))</f>
        <v>Kantha Kumar</v>
      </c>
      <c r="E224" s="41" t="n">
        <v>6804</v>
      </c>
      <c r="F224" s="41" t="n">
        <v>0</v>
      </c>
      <c r="G224" s="41" t="n">
        <v>6185</v>
      </c>
      <c r="H224" s="41" t="n">
        <v>0</v>
      </c>
      <c r="I224" s="41" t="n">
        <v>20</v>
      </c>
      <c r="J224" s="41" t="n">
        <v>548</v>
      </c>
      <c r="K224" s="41" t="n">
        <v>51</v>
      </c>
      <c r="L224" s="41" t="n">
        <v>619</v>
      </c>
    </row>
    <row r="225" customFormat="false" ht="15.75" hidden="false" customHeight="false" outlineLevel="0" collapsed="false">
      <c r="B225" s="39" t="s">
        <v>267</v>
      </c>
      <c r="C225" s="40" t="str">
        <f aca="false">IF(B225="","",IFERROR(INDEX('CLM &amp; IM Mapping'!$B$2:$B$270,MATCH(TRIM(B225),'CLM &amp; IM Mapping'!$A$2:$A$270,0)),"Not Mapped"))</f>
        <v>Suhas N</v>
      </c>
      <c r="D225" s="40" t="str">
        <f aca="false">IF(B225="","",IFERROR(INDEX('CLM &amp; IM Mapping'!$C$2:$C$270,MATCH(TRIM(B225),'CLM &amp; IM Mapping'!$A$2:$A$270,0)),"Not Mapped"))</f>
        <v>Aravind S</v>
      </c>
      <c r="E225" s="41" t="n">
        <v>3438</v>
      </c>
      <c r="F225" s="41" t="n">
        <v>3128</v>
      </c>
      <c r="G225" s="41" t="n">
        <v>307</v>
      </c>
      <c r="H225" s="41" t="n">
        <v>0</v>
      </c>
      <c r="I225" s="41" t="n">
        <v>0</v>
      </c>
      <c r="J225" s="41" t="n">
        <v>3</v>
      </c>
      <c r="K225" s="41" t="n">
        <v>0</v>
      </c>
      <c r="L225" s="41" t="n">
        <v>3</v>
      </c>
    </row>
    <row r="226" customFormat="false" ht="15.75" hidden="false" customHeight="false" outlineLevel="0" collapsed="false">
      <c r="B226" s="39" t="s">
        <v>227</v>
      </c>
      <c r="C226" s="40" t="str">
        <f aca="false">IF(B226="","",IFERROR(INDEX('CLM &amp; IM Mapping'!$B$2:$B$270,MATCH(TRIM(B226),'CLM &amp; IM Mapping'!$A$2:$A$270,0)),"Not Mapped"))</f>
        <v>Mohaideen DH</v>
      </c>
      <c r="D226" s="40" t="str">
        <f aca="false">IF(B226="","",IFERROR(INDEX('CLM &amp; IM Mapping'!$C$2:$C$270,MATCH(TRIM(B226),'CLM &amp; IM Mapping'!$A$2:$A$270,0)),"Not Mapped"))</f>
        <v>Mohammed Akbar</v>
      </c>
      <c r="E226" s="41" t="n">
        <v>1909</v>
      </c>
      <c r="F226" s="41" t="n">
        <v>0</v>
      </c>
      <c r="G226" s="41" t="n">
        <v>1249</v>
      </c>
      <c r="H226" s="41" t="n">
        <v>512</v>
      </c>
      <c r="I226" s="41" t="n">
        <v>0</v>
      </c>
      <c r="J226" s="41" t="n">
        <v>148</v>
      </c>
      <c r="K226" s="41" t="n">
        <v>0</v>
      </c>
      <c r="L226" s="41" t="n">
        <v>660</v>
      </c>
    </row>
    <row r="227" customFormat="false" ht="15.75" hidden="false" customHeight="false" outlineLevel="0" collapsed="false">
      <c r="B227" s="39" t="s">
        <v>256</v>
      </c>
      <c r="C227" s="40" t="str">
        <f aca="false">IF(B227="","",IFERROR(INDEX('CLM &amp; IM Mapping'!$B$2:$B$270,MATCH(TRIM(B227),'CLM &amp; IM Mapping'!$A$2:$A$270,0)),"Not Mapped"))</f>
        <v>Raghavendra Vernekar</v>
      </c>
      <c r="D227" s="40" t="str">
        <f aca="false">IF(B227="","",IFERROR(INDEX('CLM &amp; IM Mapping'!$C$2:$C$270,MATCH(TRIM(B227),'CLM &amp; IM Mapping'!$A$2:$A$270,0)),"Not Mapped"))</f>
        <v>Prakash BS</v>
      </c>
      <c r="E227" s="41" t="n">
        <v>85</v>
      </c>
      <c r="F227" s="41" t="n">
        <v>0</v>
      </c>
      <c r="G227" s="41" t="n">
        <v>85</v>
      </c>
      <c r="H227" s="41" t="n">
        <v>0</v>
      </c>
      <c r="I227" s="41" t="n">
        <v>0</v>
      </c>
      <c r="J227" s="41" t="n">
        <v>0</v>
      </c>
      <c r="K227" s="41" t="n">
        <v>0</v>
      </c>
      <c r="L227" s="41" t="n">
        <v>0</v>
      </c>
    </row>
    <row r="228" customFormat="false" ht="15.75" hidden="false" customHeight="false" outlineLevel="0" collapsed="false">
      <c r="B228" s="39" t="s">
        <v>222</v>
      </c>
      <c r="C228" s="40" t="str">
        <f aca="false">IF(B228="","",IFERROR(INDEX('CLM &amp; IM Mapping'!$B$2:$B$270,MATCH(TRIM(B228),'CLM &amp; IM Mapping'!$A$2:$A$270,0)),"Not Mapped"))</f>
        <v>Sundaresh S</v>
      </c>
      <c r="D228" s="40" t="str">
        <f aca="false">IF(B228="","",IFERROR(INDEX('CLM &amp; IM Mapping'!$C$2:$C$270,MATCH(TRIM(B228),'CLM &amp; IM Mapping'!$A$2:$A$270,0)),"Not Mapped"))</f>
        <v>Un Mapped</v>
      </c>
      <c r="E228" s="41" t="n">
        <v>3516</v>
      </c>
      <c r="F228" s="41" t="n">
        <v>618</v>
      </c>
      <c r="G228" s="41" t="n">
        <v>2877</v>
      </c>
      <c r="H228" s="41" t="n">
        <v>21</v>
      </c>
      <c r="I228" s="41" t="n">
        <v>0</v>
      </c>
      <c r="J228" s="41" t="n">
        <v>0</v>
      </c>
      <c r="K228" s="41" t="n">
        <v>0</v>
      </c>
      <c r="L228" s="41" t="n">
        <v>21</v>
      </c>
    </row>
    <row r="229" customFormat="false" ht="15.75" hidden="false" customHeight="false" outlineLevel="0" collapsed="false">
      <c r="B229" s="39" t="s">
        <v>224</v>
      </c>
      <c r="C229" s="40" t="str">
        <f aca="false">IF(B229="","",IFERROR(INDEX('CLM &amp; IM Mapping'!$B$2:$B$270,MATCH(TRIM(B229),'CLM &amp; IM Mapping'!$A$2:$A$270,0)),"Not Mapped"))</f>
        <v>Balaji G</v>
      </c>
      <c r="D229" s="40" t="str">
        <f aca="false">IF(B229="","",IFERROR(INDEX('CLM &amp; IM Mapping'!$C$2:$C$270,MATCH(TRIM(B229),'CLM &amp; IM Mapping'!$A$2:$A$270,0)),"Not Mapped"))</f>
        <v>Mohammed Akbar</v>
      </c>
      <c r="E229" s="41" t="n">
        <v>1462</v>
      </c>
      <c r="F229" s="41" t="n">
        <v>251</v>
      </c>
      <c r="G229" s="41" t="n">
        <v>1211</v>
      </c>
      <c r="H229" s="41" t="n">
        <v>0</v>
      </c>
      <c r="I229" s="41" t="n">
        <v>0</v>
      </c>
      <c r="J229" s="41" t="n">
        <v>0</v>
      </c>
      <c r="K229" s="41" t="n">
        <v>0</v>
      </c>
      <c r="L229" s="41" t="n">
        <v>0</v>
      </c>
    </row>
    <row r="230" customFormat="false" ht="15.75" hidden="false" customHeight="false" outlineLevel="0" collapsed="false">
      <c r="B230" s="39" t="s">
        <v>157</v>
      </c>
      <c r="C230" s="40" t="str">
        <f aca="false">IF(B230="","",IFERROR(INDEX('CLM &amp; IM Mapping'!$B$2:$B$270,MATCH(TRIM(B230),'CLM &amp; IM Mapping'!$A$2:$A$270,0)),"Not Mapped"))</f>
        <v>Arun Raj</v>
      </c>
      <c r="D230" s="40" t="str">
        <f aca="false">IF(B230="","",IFERROR(INDEX('CLM &amp; IM Mapping'!$C$2:$C$270,MATCH(TRIM(B230),'CLM &amp; IM Mapping'!$A$2:$A$270,0)),"Not Mapped"))</f>
        <v>Simon Manoharan</v>
      </c>
      <c r="E230" s="41" t="n">
        <v>4802</v>
      </c>
      <c r="F230" s="41" t="n">
        <v>0</v>
      </c>
      <c r="G230" s="41" t="n">
        <v>818</v>
      </c>
      <c r="H230" s="41" t="n">
        <v>3881</v>
      </c>
      <c r="I230" s="41" t="n">
        <v>0</v>
      </c>
      <c r="J230" s="41" t="n">
        <v>2</v>
      </c>
      <c r="K230" s="41" t="n">
        <v>101</v>
      </c>
      <c r="L230" s="41" t="n">
        <v>103</v>
      </c>
    </row>
    <row r="231" customFormat="false" ht="15.75" hidden="false" customHeight="false" outlineLevel="0" collapsed="false">
      <c r="B231" s="39" t="s">
        <v>144</v>
      </c>
      <c r="C231" s="40" t="str">
        <f aca="false">IF(B231="","",IFERROR(INDEX('CLM &amp; IM Mapping'!$B$2:$B$270,MATCH(TRIM(B231),'CLM &amp; IM Mapping'!$A$2:$A$270,0)),"Not Mapped"))</f>
        <v>Akshay P</v>
      </c>
      <c r="D231" s="40" t="str">
        <f aca="false">IF(B231="","",IFERROR(INDEX('CLM &amp; IM Mapping'!$C$2:$C$270,MATCH(TRIM(B231),'CLM &amp; IM Mapping'!$A$2:$A$270,0)),"Not Mapped"))</f>
        <v>Srittam Dhal</v>
      </c>
      <c r="E231" s="41" t="n">
        <v>6434</v>
      </c>
      <c r="F231" s="41" t="n">
        <v>2129</v>
      </c>
      <c r="G231" s="41" t="n">
        <v>2535</v>
      </c>
      <c r="H231" s="41" t="n">
        <v>0</v>
      </c>
      <c r="I231" s="41" t="n">
        <v>979</v>
      </c>
      <c r="J231" s="41" t="n">
        <v>0</v>
      </c>
      <c r="K231" s="41" t="n">
        <v>791</v>
      </c>
      <c r="L231" s="41" t="n">
        <v>1770</v>
      </c>
    </row>
    <row r="232" customFormat="false" ht="15.75" hidden="false" customHeight="false" outlineLevel="0" collapsed="false">
      <c r="B232" s="39" t="s">
        <v>249</v>
      </c>
      <c r="C232" s="40" t="str">
        <f aca="false">IF(B232="","",IFERROR(INDEX('CLM &amp; IM Mapping'!$B$2:$B$270,MATCH(TRIM(B232),'CLM &amp; IM Mapping'!$A$2:$A$270,0)),"Not Mapped"))</f>
        <v>Manoj Kj</v>
      </c>
      <c r="D232" s="40" t="str">
        <f aca="false">IF(B232="","",IFERROR(INDEX('CLM &amp; IM Mapping'!$C$2:$C$270,MATCH(TRIM(B232),'CLM &amp; IM Mapping'!$A$2:$A$270,0)),"Not Mapped"))</f>
        <v>Srittam Dhal</v>
      </c>
      <c r="E232" s="41" t="n">
        <v>2868</v>
      </c>
      <c r="F232" s="41" t="n">
        <v>0</v>
      </c>
      <c r="G232" s="41" t="n">
        <v>2868</v>
      </c>
      <c r="H232" s="41" t="n">
        <v>0</v>
      </c>
      <c r="I232" s="41" t="n">
        <v>0</v>
      </c>
      <c r="J232" s="41" t="n">
        <v>0</v>
      </c>
      <c r="K232" s="41" t="n">
        <v>0</v>
      </c>
      <c r="L232" s="41" t="n">
        <v>0</v>
      </c>
    </row>
    <row r="233" customFormat="false" ht="15.75" hidden="false" customHeight="false" outlineLevel="0" collapsed="false">
      <c r="B233" s="39" t="s">
        <v>174</v>
      </c>
      <c r="C233" s="40" t="str">
        <f aca="false">IF(B233="","",IFERROR(INDEX('CLM &amp; IM Mapping'!$B$2:$B$270,MATCH(TRIM(B233),'CLM &amp; IM Mapping'!$A$2:$A$270,0)),"Not Mapped"))</f>
        <v>Richard Harris</v>
      </c>
      <c r="D233" s="40" t="str">
        <f aca="false">IF(B233="","",IFERROR(INDEX('CLM &amp; IM Mapping'!$C$2:$C$270,MATCH(TRIM(B233),'CLM &amp; IM Mapping'!$A$2:$A$270,0)),"Not Mapped"))</f>
        <v>Kantha Kumar</v>
      </c>
      <c r="E233" s="41" t="n">
        <v>4120</v>
      </c>
      <c r="F233" s="41" t="n">
        <v>0</v>
      </c>
      <c r="G233" s="41" t="n">
        <v>3079</v>
      </c>
      <c r="H233" s="41" t="n">
        <v>0</v>
      </c>
      <c r="I233" s="41" t="n">
        <v>0</v>
      </c>
      <c r="J233" s="41" t="n">
        <v>542</v>
      </c>
      <c r="K233" s="41" t="n">
        <v>499</v>
      </c>
      <c r="L233" s="41" t="n">
        <v>1041</v>
      </c>
    </row>
    <row r="234" customFormat="false" ht="15.75" hidden="false" customHeight="false" outlineLevel="0" collapsed="false">
      <c r="B234" s="39" t="s">
        <v>127</v>
      </c>
      <c r="C234" s="40" t="str">
        <f aca="false">IF(B234="","",IFERROR(INDEX('CLM &amp; IM Mapping'!$B$2:$B$270,MATCH(TRIM(B234),'CLM &amp; IM Mapping'!$A$2:$A$270,0)),"Not Mapped"))</f>
        <v>Rizwan Ahmed</v>
      </c>
      <c r="D234" s="40" t="str">
        <f aca="false">IF(B234="","",IFERROR(INDEX('CLM &amp; IM Mapping'!$C$2:$C$270,MATCH(TRIM(B234),'CLM &amp; IM Mapping'!$A$2:$A$270,0)),"Not Mapped"))</f>
        <v>Un Mapped</v>
      </c>
      <c r="E234" s="41" t="n">
        <v>8633</v>
      </c>
      <c r="F234" s="41" t="n">
        <v>419</v>
      </c>
      <c r="G234" s="41" t="n">
        <v>7872</v>
      </c>
      <c r="H234" s="41" t="n">
        <v>0</v>
      </c>
      <c r="I234" s="41" t="n">
        <v>0</v>
      </c>
      <c r="J234" s="41" t="n">
        <v>342</v>
      </c>
      <c r="K234" s="41" t="n">
        <v>0</v>
      </c>
      <c r="L234" s="41" t="n">
        <v>342</v>
      </c>
    </row>
    <row r="235" customFormat="false" ht="15.75" hidden="false" customHeight="false" outlineLevel="0" collapsed="false">
      <c r="B235" s="39" t="s">
        <v>149</v>
      </c>
      <c r="C235" s="40" t="str">
        <f aca="false">IF(B235="","",IFERROR(INDEX('CLM &amp; IM Mapping'!$B$2:$B$270,MATCH(TRIM(B235),'CLM &amp; IM Mapping'!$A$2:$A$270,0)),"Not Mapped"))</f>
        <v>Manjunatha V</v>
      </c>
      <c r="D235" s="40" t="str">
        <f aca="false">IF(B235="","",IFERROR(INDEX('CLM &amp; IM Mapping'!$C$2:$C$270,MATCH(TRIM(B235),'CLM &amp; IM Mapping'!$A$2:$A$270,0)),"Not Mapped"))</f>
        <v>Un Mapped</v>
      </c>
      <c r="E235" s="41" t="n">
        <v>33</v>
      </c>
      <c r="F235" s="41" t="n">
        <v>0</v>
      </c>
      <c r="G235" s="41" t="n">
        <v>0</v>
      </c>
      <c r="H235" s="41" t="n">
        <v>33</v>
      </c>
      <c r="I235" s="41" t="n">
        <v>0</v>
      </c>
      <c r="J235" s="41" t="n">
        <v>0</v>
      </c>
      <c r="K235" s="41" t="n">
        <v>0</v>
      </c>
      <c r="L235" s="41" t="n">
        <v>33</v>
      </c>
    </row>
    <row r="236" customFormat="false" ht="15.75" hidden="false" customHeight="false" outlineLevel="0" collapsed="false">
      <c r="B236" s="39" t="s">
        <v>162</v>
      </c>
      <c r="C236" s="40" t="str">
        <f aca="false">IF(B236="","",IFERROR(INDEX('CLM &amp; IM Mapping'!$B$2:$B$270,MATCH(TRIM(B236),'CLM &amp; IM Mapping'!$A$2:$A$270,0)),"Not Mapped"))</f>
        <v>MH</v>
      </c>
      <c r="D236" s="40" t="str">
        <f aca="false">IF(B236="","",IFERROR(INDEX('CLM &amp; IM Mapping'!$C$2:$C$270,MATCH(TRIM(B236),'CLM &amp; IM Mapping'!$A$2:$A$270,0)),"Not Mapped"))</f>
        <v>MH</v>
      </c>
      <c r="E236" s="41" t="n">
        <v>0</v>
      </c>
      <c r="F236" s="41" t="n">
        <v>0</v>
      </c>
      <c r="G236" s="41" t="n">
        <v>0</v>
      </c>
      <c r="H236" s="41" t="n">
        <v>0</v>
      </c>
      <c r="I236" s="41" t="n">
        <v>0</v>
      </c>
      <c r="J236" s="41" t="n">
        <v>0</v>
      </c>
      <c r="K236" s="41" t="n">
        <v>0</v>
      </c>
      <c r="L236" s="41" t="n">
        <v>0</v>
      </c>
    </row>
    <row r="237" customFormat="false" ht="15.75" hidden="false" customHeight="false" outlineLevel="0" collapsed="false">
      <c r="B237" s="39" t="s">
        <v>72</v>
      </c>
      <c r="C237" s="40" t="str">
        <f aca="false">IF(B237="","",IFERROR(INDEX('CLM &amp; IM Mapping'!$B$2:$B$270,MATCH(TRIM(B237),'CLM &amp; IM Mapping'!$A$2:$A$270,0)),"Not Mapped"))</f>
        <v>Basil Scariya</v>
      </c>
      <c r="D237" s="40" t="str">
        <f aca="false">IF(B237="","",IFERROR(INDEX('CLM &amp; IM Mapping'!$C$2:$C$270,MATCH(TRIM(B237),'CLM &amp; IM Mapping'!$A$2:$A$270,0)),"Not Mapped"))</f>
        <v>Prakash BS</v>
      </c>
      <c r="E237" s="41" t="n">
        <v>3157</v>
      </c>
      <c r="F237" s="41" t="n">
        <v>3</v>
      </c>
      <c r="G237" s="41" t="n">
        <v>2893</v>
      </c>
      <c r="H237" s="41" t="n">
        <v>0</v>
      </c>
      <c r="I237" s="41" t="n">
        <v>0</v>
      </c>
      <c r="J237" s="41" t="n">
        <v>194</v>
      </c>
      <c r="K237" s="41" t="n">
        <v>67</v>
      </c>
      <c r="L237" s="41" t="n">
        <v>261</v>
      </c>
    </row>
    <row r="238" customFormat="false" ht="15.75" hidden="false" customHeight="false" outlineLevel="0" collapsed="false">
      <c r="B238" s="39" t="s">
        <v>130</v>
      </c>
      <c r="C238" s="40" t="str">
        <f aca="false">IF(B238="","",IFERROR(INDEX('CLM &amp; IM Mapping'!$B$2:$B$270,MATCH(TRIM(B238),'CLM &amp; IM Mapping'!$A$2:$A$270,0)),"Not Mapped"))</f>
        <v>Arun Raj</v>
      </c>
      <c r="D238" s="40" t="str">
        <f aca="false">IF(B238="","",IFERROR(INDEX('CLM &amp; IM Mapping'!$C$2:$C$270,MATCH(TRIM(B238),'CLM &amp; IM Mapping'!$A$2:$A$270,0)),"Not Mapped"))</f>
        <v>Simon Manoharan</v>
      </c>
      <c r="E238" s="41" t="n">
        <v>0</v>
      </c>
      <c r="F238" s="41" t="n">
        <v>0</v>
      </c>
      <c r="G238" s="41" t="n">
        <v>0</v>
      </c>
      <c r="H238" s="41" t="n">
        <v>0</v>
      </c>
      <c r="I238" s="41" t="n">
        <v>0</v>
      </c>
      <c r="J238" s="41" t="n">
        <v>0</v>
      </c>
      <c r="K238" s="41" t="n">
        <v>0</v>
      </c>
      <c r="L238" s="41" t="n">
        <v>0</v>
      </c>
    </row>
    <row r="239" customFormat="false" ht="15.75" hidden="false" customHeight="false" outlineLevel="0" collapsed="false">
      <c r="B239" s="39" t="s">
        <v>160</v>
      </c>
      <c r="C239" s="40" t="str">
        <f aca="false">IF(B239="","",IFERROR(INDEX('CLM &amp; IM Mapping'!$B$2:$B$270,MATCH(TRIM(B239),'CLM &amp; IM Mapping'!$A$2:$A$270,0)),"Not Mapped"))</f>
        <v>Richard Harris</v>
      </c>
      <c r="D239" s="40" t="str">
        <f aca="false">IF(B239="","",IFERROR(INDEX('CLM &amp; IM Mapping'!$C$2:$C$270,MATCH(TRIM(B239),'CLM &amp; IM Mapping'!$A$2:$A$270,0)),"Not Mapped"))</f>
        <v>Kantha Kumar</v>
      </c>
      <c r="E239" s="41" t="n">
        <v>2924</v>
      </c>
      <c r="F239" s="41" t="n">
        <v>0</v>
      </c>
      <c r="G239" s="41" t="n">
        <v>2901</v>
      </c>
      <c r="H239" s="41" t="n">
        <v>23</v>
      </c>
      <c r="I239" s="41" t="n">
        <v>0</v>
      </c>
      <c r="J239" s="41" t="n">
        <v>0</v>
      </c>
      <c r="K239" s="41" t="n">
        <v>0</v>
      </c>
      <c r="L239" s="41" t="n">
        <v>23</v>
      </c>
    </row>
    <row r="240" customFormat="false" ht="15.75" hidden="false" customHeight="false" outlineLevel="0" collapsed="false">
      <c r="B240" s="39" t="s">
        <v>218</v>
      </c>
      <c r="C240" s="40" t="str">
        <f aca="false">IF(B240="","",IFERROR(INDEX('CLM &amp; IM Mapping'!$B$2:$B$270,MATCH(TRIM(B240),'CLM &amp; IM Mapping'!$A$2:$A$270,0)),"Not Mapped"))</f>
        <v>Akshay P</v>
      </c>
      <c r="D240" s="40" t="str">
        <f aca="false">IF(B240="","",IFERROR(INDEX('CLM &amp; IM Mapping'!$C$2:$C$270,MATCH(TRIM(B240),'CLM &amp; IM Mapping'!$A$2:$A$270,0)),"Not Mapped"))</f>
        <v>Srittam Dhal</v>
      </c>
      <c r="E240" s="41" t="n">
        <v>752</v>
      </c>
      <c r="F240" s="41" t="n">
        <v>0</v>
      </c>
      <c r="G240" s="41" t="n">
        <v>0</v>
      </c>
      <c r="H240" s="41" t="n">
        <v>752</v>
      </c>
      <c r="I240" s="41" t="n">
        <v>0</v>
      </c>
      <c r="J240" s="41" t="n">
        <v>0</v>
      </c>
      <c r="K240" s="41" t="n">
        <v>0</v>
      </c>
      <c r="L240" s="41" t="n">
        <v>752</v>
      </c>
    </row>
    <row r="241" customFormat="false" ht="15.75" hidden="false" customHeight="false" outlineLevel="0" collapsed="false">
      <c r="B241" s="39" t="s">
        <v>87</v>
      </c>
      <c r="C241" s="40" t="str">
        <f aca="false">IF(B241="","",IFERROR(INDEX('CLM &amp; IM Mapping'!$B$2:$B$270,MATCH(TRIM(B241),'CLM &amp; IM Mapping'!$A$2:$A$270,0)),"Not Mapped"))</f>
        <v>Richard Harris</v>
      </c>
      <c r="D241" s="40" t="str">
        <f aca="false">IF(B241="","",IFERROR(INDEX('CLM &amp; IM Mapping'!$C$2:$C$270,MATCH(TRIM(B241),'CLM &amp; IM Mapping'!$A$2:$A$270,0)),"Not Mapped"))</f>
        <v>Kantha Kumar</v>
      </c>
      <c r="E241" s="41" t="n">
        <v>4764</v>
      </c>
      <c r="F241" s="41" t="n">
        <v>288</v>
      </c>
      <c r="G241" s="41" t="n">
        <v>0</v>
      </c>
      <c r="H241" s="41" t="n">
        <v>3499</v>
      </c>
      <c r="I241" s="41" t="n">
        <v>0</v>
      </c>
      <c r="J241" s="41" t="n">
        <v>692</v>
      </c>
      <c r="K241" s="41" t="n">
        <v>285</v>
      </c>
      <c r="L241" s="41" t="n">
        <v>4476</v>
      </c>
    </row>
    <row r="242" customFormat="false" ht="15.75" hidden="false" customHeight="false" outlineLevel="0" collapsed="false">
      <c r="B242" s="39" t="s">
        <v>161</v>
      </c>
      <c r="C242" s="40" t="str">
        <f aca="false">IF(B242="","",IFERROR(INDEX('CLM &amp; IM Mapping'!$B$2:$B$270,MATCH(TRIM(B242),'CLM &amp; IM Mapping'!$A$2:$A$270,0)),"Not Mapped"))</f>
        <v>Raghavendra Vernekar</v>
      </c>
      <c r="D242" s="40" t="str">
        <f aca="false">IF(B242="","",IFERROR(INDEX('CLM &amp; IM Mapping'!$C$2:$C$270,MATCH(TRIM(B242),'CLM &amp; IM Mapping'!$A$2:$A$270,0)),"Not Mapped"))</f>
        <v>Prakash BS</v>
      </c>
      <c r="E242" s="41" t="n">
        <v>545</v>
      </c>
      <c r="F242" s="41" t="n">
        <v>545</v>
      </c>
      <c r="G242" s="41" t="n">
        <v>0</v>
      </c>
      <c r="H242" s="41" t="n">
        <v>0</v>
      </c>
      <c r="I242" s="41" t="n">
        <v>0</v>
      </c>
      <c r="J242" s="41" t="n">
        <v>0</v>
      </c>
      <c r="K242" s="41" t="n">
        <v>0</v>
      </c>
      <c r="L242" s="41" t="n">
        <v>0</v>
      </c>
    </row>
    <row r="243" customFormat="false" ht="15.75" hidden="false" customHeight="false" outlineLevel="0" collapsed="false">
      <c r="B243" s="39" t="s">
        <v>60</v>
      </c>
      <c r="C243" s="40" t="str">
        <f aca="false">IF(B243="","",IFERROR(INDEX('CLM &amp; IM Mapping'!$B$2:$B$270,MATCH(TRIM(B243),'CLM &amp; IM Mapping'!$A$2:$A$270,0)),"Not Mapped"))</f>
        <v>Basil Scariya</v>
      </c>
      <c r="D243" s="40" t="str">
        <f aca="false">IF(B243="","",IFERROR(INDEX('CLM &amp; IM Mapping'!$C$2:$C$270,MATCH(TRIM(B243),'CLM &amp; IM Mapping'!$A$2:$A$270,0)),"Not Mapped"))</f>
        <v>Prakash BS</v>
      </c>
      <c r="E243" s="41" t="n">
        <v>3326</v>
      </c>
      <c r="F243" s="41" t="n">
        <v>0</v>
      </c>
      <c r="G243" s="41" t="n">
        <v>114</v>
      </c>
      <c r="H243" s="41" t="n">
        <v>3113</v>
      </c>
      <c r="I243" s="41" t="n">
        <v>17</v>
      </c>
      <c r="J243" s="41" t="n">
        <v>32</v>
      </c>
      <c r="K243" s="41" t="n">
        <v>50</v>
      </c>
      <c r="L243" s="41" t="n">
        <v>3212</v>
      </c>
    </row>
    <row r="244" customFormat="false" ht="15.75" hidden="false" customHeight="false" outlineLevel="0" collapsed="false">
      <c r="B244" s="39" t="s">
        <v>101</v>
      </c>
      <c r="C244" s="40" t="str">
        <f aca="false">IF(B244="","",IFERROR(INDEX('CLM &amp; IM Mapping'!$B$2:$B$270,MATCH(TRIM(B244),'CLM &amp; IM Mapping'!$A$2:$A$270,0)),"Not Mapped"))</f>
        <v>Arun Raj</v>
      </c>
      <c r="D244" s="40" t="str">
        <f aca="false">IF(B244="","",IFERROR(INDEX('CLM &amp; IM Mapping'!$C$2:$C$270,MATCH(TRIM(B244),'CLM &amp; IM Mapping'!$A$2:$A$270,0)),"Not Mapped"))</f>
        <v>Simon Manoharan</v>
      </c>
      <c r="E244" s="41" t="n">
        <v>0</v>
      </c>
      <c r="F244" s="41" t="n">
        <v>0</v>
      </c>
      <c r="G244" s="41" t="n">
        <v>0</v>
      </c>
      <c r="H244" s="41" t="n">
        <v>0</v>
      </c>
      <c r="I244" s="41" t="n">
        <v>0</v>
      </c>
      <c r="J244" s="41" t="n">
        <v>0</v>
      </c>
      <c r="K244" s="41" t="n">
        <v>0</v>
      </c>
      <c r="L244" s="41" t="n">
        <v>0</v>
      </c>
    </row>
    <row r="245" customFormat="false" ht="15.75" hidden="false" customHeight="false" outlineLevel="0" collapsed="false">
      <c r="B245" s="39" t="s">
        <v>103</v>
      </c>
      <c r="C245" s="40" t="str">
        <f aca="false">IF(B245="","",IFERROR(INDEX('CLM &amp; IM Mapping'!$B$2:$B$270,MATCH(TRIM(B245),'CLM &amp; IM Mapping'!$A$2:$A$270,0)),"Not Mapped"))</f>
        <v>Suhas N</v>
      </c>
      <c r="D245" s="40" t="str">
        <f aca="false">IF(B245="","",IFERROR(INDEX('CLM &amp; IM Mapping'!$C$2:$C$270,MATCH(TRIM(B245),'CLM &amp; IM Mapping'!$A$2:$A$270,0)),"Not Mapped"))</f>
        <v>Aravind S</v>
      </c>
      <c r="E245" s="41" t="n">
        <v>2175</v>
      </c>
      <c r="F245" s="41" t="n">
        <v>0</v>
      </c>
      <c r="G245" s="41" t="n">
        <v>0</v>
      </c>
      <c r="H245" s="41" t="n">
        <v>0</v>
      </c>
      <c r="I245" s="41" t="n">
        <v>2173</v>
      </c>
      <c r="J245" s="41" t="n">
        <v>0</v>
      </c>
      <c r="K245" s="41" t="n">
        <v>2</v>
      </c>
      <c r="L245" s="41" t="n">
        <v>2175</v>
      </c>
    </row>
    <row r="246" customFormat="false" ht="15.75" hidden="false" customHeight="false" outlineLevel="0" collapsed="false">
      <c r="B246" s="39" t="s">
        <v>206</v>
      </c>
      <c r="C246" s="40" t="str">
        <f aca="false">IF(B246="","",IFERROR(INDEX('CLM &amp; IM Mapping'!$B$2:$B$270,MATCH(TRIM(B246),'CLM &amp; IM Mapping'!$A$2:$A$270,0)),"Not Mapped"))</f>
        <v>Saddam Hussain</v>
      </c>
      <c r="D246" s="40" t="str">
        <f aca="false">IF(B246="","",IFERROR(INDEX('CLM &amp; IM Mapping'!$C$2:$C$270,MATCH(TRIM(B246),'CLM &amp; IM Mapping'!$A$2:$A$270,0)),"Not Mapped"))</f>
        <v>Un Mapped</v>
      </c>
      <c r="E246" s="41" t="n">
        <v>5095</v>
      </c>
      <c r="F246" s="41" t="n">
        <v>0</v>
      </c>
      <c r="G246" s="41" t="n">
        <v>3166</v>
      </c>
      <c r="H246" s="41" t="n">
        <v>1526</v>
      </c>
      <c r="I246" s="41" t="n">
        <v>0</v>
      </c>
      <c r="J246" s="41" t="n">
        <v>203</v>
      </c>
      <c r="K246" s="41" t="n">
        <v>200</v>
      </c>
      <c r="L246" s="41" t="n">
        <v>1929</v>
      </c>
    </row>
    <row r="247" customFormat="false" ht="15.75" hidden="false" customHeight="false" outlineLevel="0" collapsed="false">
      <c r="B247" s="39" t="s">
        <v>241</v>
      </c>
      <c r="C247" s="40" t="str">
        <f aca="false">IF(B247="","",IFERROR(INDEX('CLM &amp; IM Mapping'!$B$2:$B$270,MATCH(TRIM(B247),'CLM &amp; IM Mapping'!$A$2:$A$270,0)),"Not Mapped"))</f>
        <v>Arun Raj</v>
      </c>
      <c r="D247" s="40" t="str">
        <f aca="false">IF(B247="","",IFERROR(INDEX('CLM &amp; IM Mapping'!$C$2:$C$270,MATCH(TRIM(B247),'CLM &amp; IM Mapping'!$A$2:$A$270,0)),"Not Mapped"))</f>
        <v>Simon Manoharan</v>
      </c>
      <c r="E247" s="41" t="n">
        <v>555</v>
      </c>
      <c r="F247" s="41" t="n">
        <v>0</v>
      </c>
      <c r="G247" s="41" t="n">
        <v>555</v>
      </c>
      <c r="H247" s="41" t="n">
        <v>0</v>
      </c>
      <c r="I247" s="41" t="n">
        <v>0</v>
      </c>
      <c r="J247" s="41" t="n">
        <v>0</v>
      </c>
      <c r="K247" s="41" t="n">
        <v>0</v>
      </c>
      <c r="L247" s="41" t="n">
        <v>0</v>
      </c>
    </row>
    <row r="248" customFormat="false" ht="15.75" hidden="false" customHeight="false" outlineLevel="0" collapsed="false">
      <c r="B248" s="39" t="s">
        <v>214</v>
      </c>
      <c r="C248" s="40" t="str">
        <f aca="false">IF(B248="","",IFERROR(INDEX('CLM &amp; IM Mapping'!$B$2:$B$270,MATCH(TRIM(B248),'CLM &amp; IM Mapping'!$A$2:$A$270,0)),"Not Mapped"))</f>
        <v>Balaji G</v>
      </c>
      <c r="D248" s="40" t="str">
        <f aca="false">IF(B248="","",IFERROR(INDEX('CLM &amp; IM Mapping'!$C$2:$C$270,MATCH(TRIM(B248),'CLM &amp; IM Mapping'!$A$2:$A$270,0)),"Not Mapped"))</f>
        <v>Mohammed Akbar</v>
      </c>
      <c r="E248" s="41" t="n">
        <v>899</v>
      </c>
      <c r="F248" s="41" t="n">
        <v>0</v>
      </c>
      <c r="G248" s="41" t="n">
        <v>0</v>
      </c>
      <c r="H248" s="41" t="n">
        <v>899</v>
      </c>
      <c r="I248" s="41" t="n">
        <v>0</v>
      </c>
      <c r="J248" s="41" t="n">
        <v>0</v>
      </c>
      <c r="K248" s="41" t="n">
        <v>0</v>
      </c>
      <c r="L248" s="41" t="n">
        <v>899</v>
      </c>
    </row>
    <row r="249" customFormat="false" ht="15.75" hidden="false" customHeight="false" outlineLevel="0" collapsed="false">
      <c r="B249" s="39" t="s">
        <v>121</v>
      </c>
      <c r="C249" s="40" t="str">
        <f aca="false">IF(B249="","",IFERROR(INDEX('CLM &amp; IM Mapping'!$B$2:$B$270,MATCH(TRIM(B249),'CLM &amp; IM Mapping'!$A$2:$A$270,0)),"Not Mapped"))</f>
        <v>Sundaresh S</v>
      </c>
      <c r="D249" s="40" t="str">
        <f aca="false">IF(B249="","",IFERROR(INDEX('CLM &amp; IM Mapping'!$C$2:$C$270,MATCH(TRIM(B249),'CLM &amp; IM Mapping'!$A$2:$A$270,0)),"Not Mapped"))</f>
        <v>Un Mapped</v>
      </c>
      <c r="E249" s="41" t="n">
        <v>4436</v>
      </c>
      <c r="F249" s="41" t="n">
        <v>86</v>
      </c>
      <c r="G249" s="41" t="n">
        <v>3875</v>
      </c>
      <c r="H249" s="41" t="n">
        <v>0</v>
      </c>
      <c r="I249" s="41" t="n">
        <v>223</v>
      </c>
      <c r="J249" s="41" t="n">
        <v>0</v>
      </c>
      <c r="K249" s="41" t="n">
        <v>252</v>
      </c>
      <c r="L249" s="41" t="n">
        <v>475</v>
      </c>
    </row>
    <row r="250" customFormat="false" ht="15.75" hidden="false" customHeight="false" outlineLevel="0" collapsed="false">
      <c r="B250" s="39" t="s">
        <v>21</v>
      </c>
      <c r="C250" s="40" t="str">
        <f aca="false">IF(B250="","",IFERROR(INDEX('CLM &amp; IM Mapping'!$B$2:$B$270,MATCH(TRIM(B250),'CLM &amp; IM Mapping'!$A$2:$A$270,0)),"Not Mapped"))</f>
        <v>Arun Raj</v>
      </c>
      <c r="D250" s="40" t="str">
        <f aca="false">IF(B250="","",IFERROR(INDEX('CLM &amp; IM Mapping'!$C$2:$C$270,MATCH(TRIM(B250),'CLM &amp; IM Mapping'!$A$2:$A$270,0)),"Not Mapped"))</f>
        <v>Simon Manoharan</v>
      </c>
      <c r="E250" s="41" t="n">
        <v>339</v>
      </c>
      <c r="F250" s="41" t="n">
        <v>0</v>
      </c>
      <c r="G250" s="41" t="n">
        <v>0</v>
      </c>
      <c r="H250" s="41" t="n">
        <v>339</v>
      </c>
      <c r="I250" s="41" t="n">
        <v>0</v>
      </c>
      <c r="J250" s="41" t="n">
        <v>0</v>
      </c>
      <c r="K250" s="41" t="n">
        <v>0</v>
      </c>
      <c r="L250" s="41" t="n">
        <v>0</v>
      </c>
    </row>
    <row r="251" customFormat="false" ht="15.75" hidden="false" customHeight="false" outlineLevel="0" collapsed="false">
      <c r="B251" s="39" t="s">
        <v>239</v>
      </c>
      <c r="C251" s="40" t="str">
        <f aca="false">IF(B251="","",IFERROR(INDEX('CLM &amp; IM Mapping'!$B$2:$B$270,MATCH(TRIM(B251),'CLM &amp; IM Mapping'!$A$2:$A$270,0)),"Not Mapped"))</f>
        <v>Silambarasan E</v>
      </c>
      <c r="D251" s="40" t="str">
        <f aca="false">IF(B251="","",IFERROR(INDEX('CLM &amp; IM Mapping'!$C$2:$C$270,MATCH(TRIM(B251),'CLM &amp; IM Mapping'!$A$2:$A$270,0)),"Not Mapped"))</f>
        <v>Arivind S</v>
      </c>
      <c r="E251" s="41" t="n">
        <v>4567</v>
      </c>
      <c r="F251" s="41" t="n">
        <v>116</v>
      </c>
      <c r="G251" s="41" t="n">
        <v>457</v>
      </c>
      <c r="H251" s="41" t="n">
        <v>3530</v>
      </c>
      <c r="I251" s="41" t="n">
        <v>2</v>
      </c>
      <c r="J251" s="41" t="n">
        <v>298</v>
      </c>
      <c r="K251" s="41" t="n">
        <v>164</v>
      </c>
      <c r="L251" s="41" t="n">
        <v>3994</v>
      </c>
    </row>
    <row r="252" customFormat="false" ht="15.75" hidden="false" customHeight="false" outlineLevel="0" collapsed="false">
      <c r="B252" s="39" t="s">
        <v>51</v>
      </c>
      <c r="C252" s="40" t="str">
        <f aca="false">IF(B252="","",IFERROR(INDEX('CLM &amp; IM Mapping'!$B$2:$B$270,MATCH(TRIM(B252),'CLM &amp; IM Mapping'!$A$2:$A$270,0)),"Not Mapped"))</f>
        <v>Arun Raj</v>
      </c>
      <c r="D252" s="40" t="str">
        <f aca="false">IF(B252="","",IFERROR(INDEX('CLM &amp; IM Mapping'!$C$2:$C$270,MATCH(TRIM(B252),'CLM &amp; IM Mapping'!$A$2:$A$270,0)),"Not Mapped"))</f>
        <v>Simon Manoharan</v>
      </c>
      <c r="E252" s="41" t="n">
        <v>0</v>
      </c>
      <c r="F252" s="41" t="n">
        <v>0</v>
      </c>
      <c r="G252" s="41" t="n">
        <v>0</v>
      </c>
      <c r="H252" s="41" t="n">
        <v>0</v>
      </c>
      <c r="I252" s="41" t="n">
        <v>0</v>
      </c>
      <c r="J252" s="41" t="n">
        <v>0</v>
      </c>
      <c r="K252" s="41" t="n">
        <v>0</v>
      </c>
      <c r="L252" s="41" t="n">
        <v>0</v>
      </c>
    </row>
    <row r="253" customFormat="false" ht="15.75" hidden="false" customHeight="false" outlineLevel="0" collapsed="false">
      <c r="B253" s="39" t="s">
        <v>169</v>
      </c>
      <c r="C253" s="40" t="str">
        <f aca="false">IF(B253="","",IFERROR(INDEX('CLM &amp; IM Mapping'!$B$2:$B$270,MATCH(TRIM(B253),'CLM &amp; IM Mapping'!$A$2:$A$270,0)),"Not Mapped"))</f>
        <v>Narasimhamurthy R</v>
      </c>
      <c r="D253" s="40" t="str">
        <f aca="false">IF(B253="","",IFERROR(INDEX('CLM &amp; IM Mapping'!$C$2:$C$270,MATCH(TRIM(B253),'CLM &amp; IM Mapping'!$A$2:$A$270,0)),"Not Mapped"))</f>
        <v>Kishor K</v>
      </c>
      <c r="E253" s="41" t="n">
        <v>3983</v>
      </c>
      <c r="F253" s="41" t="n">
        <v>3112</v>
      </c>
      <c r="G253" s="41" t="n">
        <v>871</v>
      </c>
      <c r="H253" s="41" t="n">
        <v>0</v>
      </c>
      <c r="I253" s="41" t="n">
        <v>0</v>
      </c>
      <c r="J253" s="41" t="n">
        <v>0</v>
      </c>
      <c r="K253" s="41" t="n">
        <v>0</v>
      </c>
      <c r="L253" s="41" t="n">
        <v>0</v>
      </c>
    </row>
    <row r="254" customFormat="false" ht="15.75" hidden="false" customHeight="false" outlineLevel="0" collapsed="false">
      <c r="B254" s="39" t="s">
        <v>165</v>
      </c>
      <c r="C254" s="40" t="str">
        <f aca="false">IF(B254="","",IFERROR(INDEX('CLM &amp; IM Mapping'!$B$2:$B$270,MATCH(TRIM(B254),'CLM &amp; IM Mapping'!$A$2:$A$270,0)),"Not Mapped"))</f>
        <v>Akshay P</v>
      </c>
      <c r="D254" s="40" t="str">
        <f aca="false">IF(B254="","",IFERROR(INDEX('CLM &amp; IM Mapping'!$C$2:$C$270,MATCH(TRIM(B254),'CLM &amp; IM Mapping'!$A$2:$A$270,0)),"Not Mapped"))</f>
        <v>Srittam Dhal</v>
      </c>
      <c r="E254" s="41" t="n">
        <v>2021</v>
      </c>
      <c r="F254" s="41" t="n">
        <v>0</v>
      </c>
      <c r="G254" s="41" t="n">
        <v>1894</v>
      </c>
      <c r="H254" s="41" t="n">
        <v>0</v>
      </c>
      <c r="I254" s="41" t="n">
        <v>10</v>
      </c>
      <c r="J254" s="41" t="n">
        <v>39</v>
      </c>
      <c r="K254" s="41" t="n">
        <v>78</v>
      </c>
      <c r="L254" s="41" t="n">
        <v>127</v>
      </c>
    </row>
    <row r="255" customFormat="false" ht="15.75" hidden="false" customHeight="false" outlineLevel="0" collapsed="false">
      <c r="B255" s="39" t="s">
        <v>137</v>
      </c>
      <c r="C255" s="40" t="str">
        <f aca="false">IF(B255="","",IFERROR(INDEX('CLM &amp; IM Mapping'!$B$2:$B$270,MATCH(TRIM(B255),'CLM &amp; IM Mapping'!$A$2:$A$270,0)),"Not Mapped"))</f>
        <v>Raghavendra Vernekar</v>
      </c>
      <c r="D255" s="40" t="str">
        <f aca="false">IF(B255="","",IFERROR(INDEX('CLM &amp; IM Mapping'!$C$2:$C$270,MATCH(TRIM(B255),'CLM &amp; IM Mapping'!$A$2:$A$270,0)),"Not Mapped"))</f>
        <v>Prakash BS</v>
      </c>
      <c r="E255" s="41" t="n">
        <v>5653</v>
      </c>
      <c r="F255" s="41" t="n">
        <v>5651</v>
      </c>
      <c r="G255" s="41" t="n">
        <v>0</v>
      </c>
      <c r="H255" s="41" t="n">
        <v>0</v>
      </c>
      <c r="I255" s="41" t="n">
        <v>0</v>
      </c>
      <c r="J255" s="41" t="n">
        <v>0</v>
      </c>
      <c r="K255" s="41" t="n">
        <v>2</v>
      </c>
      <c r="L255" s="41" t="n">
        <v>2</v>
      </c>
    </row>
    <row r="256" customFormat="false" ht="15.75" hidden="false" customHeight="false" outlineLevel="0" collapsed="false">
      <c r="B256" s="39" t="s">
        <v>233</v>
      </c>
      <c r="C256" s="40" t="str">
        <f aca="false">IF(B256="","",IFERROR(INDEX('CLM &amp; IM Mapping'!$B$2:$B$270,MATCH(TRIM(B256),'CLM &amp; IM Mapping'!$A$2:$A$270,0)),"Not Mapped"))</f>
        <v>Arun Raj</v>
      </c>
      <c r="D256" s="40" t="str">
        <f aca="false">IF(B256="","",IFERROR(INDEX('CLM &amp; IM Mapping'!$C$2:$C$270,MATCH(TRIM(B256),'CLM &amp; IM Mapping'!$A$2:$A$270,0)),"Not Mapped"))</f>
        <v>Simon Manoharan</v>
      </c>
      <c r="E256" s="41" t="n">
        <v>869</v>
      </c>
      <c r="F256" s="41" t="n">
        <v>0</v>
      </c>
      <c r="G256" s="41" t="n">
        <v>0</v>
      </c>
      <c r="H256" s="41" t="n">
        <v>869</v>
      </c>
      <c r="I256" s="41" t="n">
        <v>0</v>
      </c>
      <c r="J256" s="41" t="n">
        <v>0</v>
      </c>
      <c r="K256" s="41" t="n">
        <v>0</v>
      </c>
      <c r="L256" s="41" t="n">
        <v>0</v>
      </c>
    </row>
    <row r="257" customFormat="false" ht="15.75" hidden="false" customHeight="false" outlineLevel="0" collapsed="false">
      <c r="B257" s="39" t="s">
        <v>20</v>
      </c>
      <c r="C257" s="40" t="str">
        <f aca="false">IF(B257="","",IFERROR(INDEX('CLM &amp; IM Mapping'!$B$2:$B$270,MATCH(TRIM(B257),'CLM &amp; IM Mapping'!$A$2:$A$270,0)),"Not Mapped"))</f>
        <v>Vijay M</v>
      </c>
      <c r="D257" s="40" t="str">
        <f aca="false">IF(B257="","",IFERROR(INDEX('CLM &amp; IM Mapping'!$C$2:$C$270,MATCH(TRIM(B257),'CLM &amp; IM Mapping'!$A$2:$A$270,0)),"Not Mapped"))</f>
        <v>Kantha Kumar</v>
      </c>
      <c r="E257" s="41" t="n">
        <v>7400</v>
      </c>
      <c r="F257" s="41" t="n">
        <v>7389</v>
      </c>
      <c r="G257" s="41" t="n">
        <v>0</v>
      </c>
      <c r="H257" s="41" t="n">
        <v>0</v>
      </c>
      <c r="I257" s="41" t="n">
        <v>11</v>
      </c>
      <c r="J257" s="41" t="n">
        <v>0</v>
      </c>
      <c r="K257" s="41" t="n">
        <v>0</v>
      </c>
      <c r="L257" s="41" t="n">
        <v>11</v>
      </c>
    </row>
    <row r="258" customFormat="false" ht="15.75" hidden="false" customHeight="false" outlineLevel="0" collapsed="false">
      <c r="B258" s="39" t="s">
        <v>110</v>
      </c>
      <c r="C258" s="40" t="str">
        <f aca="false">IF(B258="","",IFERROR(INDEX('CLM &amp; IM Mapping'!$B$2:$B$270,MATCH(TRIM(B258),'CLM &amp; IM Mapping'!$A$2:$A$270,0)),"Not Mapped"))</f>
        <v>Suhas N</v>
      </c>
      <c r="D258" s="40" t="str">
        <f aca="false">IF(B258="","",IFERROR(INDEX('CLM &amp; IM Mapping'!$C$2:$C$270,MATCH(TRIM(B258),'CLM &amp; IM Mapping'!$A$2:$A$270,0)),"Not Mapped"))</f>
        <v>Aravind S</v>
      </c>
      <c r="E258" s="41" t="n">
        <v>7</v>
      </c>
      <c r="F258" s="41" t="n">
        <v>0</v>
      </c>
      <c r="G258" s="41" t="n">
        <v>0</v>
      </c>
      <c r="H258" s="41" t="n">
        <v>7</v>
      </c>
      <c r="I258" s="41" t="n">
        <v>0</v>
      </c>
      <c r="J258" s="41" t="n">
        <v>0</v>
      </c>
      <c r="K258" s="41" t="n">
        <v>0</v>
      </c>
      <c r="L258" s="41" t="n">
        <v>7</v>
      </c>
    </row>
    <row r="259" customFormat="false" ht="15.75" hidden="false" customHeight="false" outlineLevel="0" collapsed="false">
      <c r="B259" s="39" t="s">
        <v>35</v>
      </c>
      <c r="C259" s="40" t="str">
        <f aca="false">IF(B259="","",IFERROR(INDEX('CLM &amp; IM Mapping'!$B$2:$B$270,MATCH(TRIM(B259),'CLM &amp; IM Mapping'!$A$2:$A$270,0)),"Not Mapped"))</f>
        <v>Manjunatha V</v>
      </c>
      <c r="D259" s="40" t="str">
        <f aca="false">IF(B259="","",IFERROR(INDEX('CLM &amp; IM Mapping'!$C$2:$C$270,MATCH(TRIM(B259),'CLM &amp; IM Mapping'!$A$2:$A$270,0)),"Not Mapped"))</f>
        <v>Un Mapped</v>
      </c>
      <c r="E259" s="41" t="n">
        <v>4247</v>
      </c>
      <c r="F259" s="41" t="n">
        <v>4245</v>
      </c>
      <c r="G259" s="41" t="n">
        <v>2</v>
      </c>
      <c r="H259" s="41" t="n">
        <v>0</v>
      </c>
      <c r="I259" s="41" t="n">
        <v>0</v>
      </c>
      <c r="J259" s="41" t="n">
        <v>0</v>
      </c>
      <c r="K259" s="41" t="n">
        <v>0</v>
      </c>
      <c r="L259" s="41" t="n">
        <v>0</v>
      </c>
    </row>
    <row r="260" customFormat="false" ht="15.75" hidden="false" customHeight="false" outlineLevel="0" collapsed="false">
      <c r="B260" s="39" t="s">
        <v>125</v>
      </c>
      <c r="C260" s="40" t="str">
        <f aca="false">IF(B260="","",IFERROR(INDEX('CLM &amp; IM Mapping'!$B$2:$B$270,MATCH(TRIM(B260),'CLM &amp; IM Mapping'!$A$2:$A$270,0)),"Not Mapped"))</f>
        <v>Sundaresh S</v>
      </c>
      <c r="D260" s="40" t="str">
        <f aca="false">IF(B260="","",IFERROR(INDEX('CLM &amp; IM Mapping'!$C$2:$C$270,MATCH(TRIM(B260),'CLM &amp; IM Mapping'!$A$2:$A$270,0)),"Not Mapped"))</f>
        <v>Un Mapped</v>
      </c>
      <c r="E260" s="41" t="n">
        <v>5704</v>
      </c>
      <c r="F260" s="41" t="n">
        <v>0</v>
      </c>
      <c r="G260" s="41" t="n">
        <v>5704</v>
      </c>
      <c r="H260" s="41" t="n">
        <v>0</v>
      </c>
      <c r="I260" s="41" t="n">
        <v>0</v>
      </c>
      <c r="J260" s="41" t="n">
        <v>0</v>
      </c>
      <c r="K260" s="41" t="n">
        <v>0</v>
      </c>
      <c r="L260" s="41" t="n">
        <v>0</v>
      </c>
    </row>
    <row r="261" customFormat="false" ht="15.75" hidden="false" customHeight="false" outlineLevel="0" collapsed="false">
      <c r="B261" s="39" t="s">
        <v>186</v>
      </c>
      <c r="C261" s="40" t="str">
        <f aca="false">IF(B261="","",IFERROR(INDEX('CLM &amp; IM Mapping'!$B$2:$B$270,MATCH(TRIM(B261),'CLM &amp; IM Mapping'!$A$2:$A$270,0)),"Not Mapped"))</f>
        <v>Balaji G</v>
      </c>
      <c r="D261" s="40" t="str">
        <f aca="false">IF(B261="","",IFERROR(INDEX('CLM &amp; IM Mapping'!$C$2:$C$270,MATCH(TRIM(B261),'CLM &amp; IM Mapping'!$A$2:$A$270,0)),"Not Mapped"))</f>
        <v>Mohammed Akbar</v>
      </c>
      <c r="E261" s="41" t="n">
        <v>365</v>
      </c>
      <c r="F261" s="41" t="n">
        <v>365</v>
      </c>
      <c r="G261" s="41" t="n">
        <v>0</v>
      </c>
      <c r="H261" s="41" t="n">
        <v>0</v>
      </c>
      <c r="I261" s="41" t="n">
        <v>0</v>
      </c>
      <c r="J261" s="41" t="n">
        <v>0</v>
      </c>
      <c r="K261" s="41" t="n">
        <v>0</v>
      </c>
      <c r="L261" s="41" t="n">
        <v>0</v>
      </c>
    </row>
    <row r="262" customFormat="false" ht="15.75" hidden="false" customHeight="false" outlineLevel="0" collapsed="false">
      <c r="B262" s="39" t="s">
        <v>277</v>
      </c>
      <c r="C262" s="40" t="str">
        <f aca="false">IF(B262="","",IFERROR(INDEX('CLM &amp; IM Mapping'!$B$2:$B$270,MATCH(TRIM(B262),'CLM &amp; IM Mapping'!$A$2:$A$270,0)),"Not Mapped"))</f>
        <v>Silambarasan E</v>
      </c>
      <c r="D262" s="40" t="str">
        <f aca="false">IF(B262="","",IFERROR(INDEX('CLM &amp; IM Mapping'!$C$2:$C$270,MATCH(TRIM(B262),'CLM &amp; IM Mapping'!$A$2:$A$270,0)),"Not Mapped"))</f>
        <v>Arivind S</v>
      </c>
      <c r="E262" s="41" t="n">
        <v>21</v>
      </c>
      <c r="F262" s="41" t="n">
        <v>21</v>
      </c>
      <c r="G262" s="41" t="n">
        <v>0</v>
      </c>
      <c r="H262" s="41" t="n">
        <v>0</v>
      </c>
      <c r="I262" s="41" t="n">
        <v>0</v>
      </c>
      <c r="J262" s="41" t="n">
        <v>0</v>
      </c>
      <c r="K262" s="41" t="n">
        <v>0</v>
      </c>
      <c r="L262" s="41" t="n">
        <v>0</v>
      </c>
    </row>
    <row r="263" customFormat="false" ht="15.75" hidden="false" customHeight="false" outlineLevel="0" collapsed="false">
      <c r="B263" s="39" t="s">
        <v>182</v>
      </c>
      <c r="C263" s="40" t="str">
        <f aca="false">IF(B263="","",IFERROR(INDEX('CLM &amp; IM Mapping'!$B$2:$B$270,MATCH(TRIM(B263),'CLM &amp; IM Mapping'!$A$2:$A$270,0)),"Not Mapped"))</f>
        <v>Balaji G</v>
      </c>
      <c r="D263" s="40" t="str">
        <f aca="false">IF(B263="","",IFERROR(INDEX('CLM &amp; IM Mapping'!$C$2:$C$270,MATCH(TRIM(B263),'CLM &amp; IM Mapping'!$A$2:$A$270,0)),"Not Mapped"))</f>
        <v>Mohammed Akbar</v>
      </c>
      <c r="E263" s="41" t="n">
        <v>0</v>
      </c>
      <c r="F263" s="41" t="n">
        <v>0</v>
      </c>
      <c r="G263" s="41" t="n">
        <v>0</v>
      </c>
      <c r="H263" s="41" t="n">
        <v>0</v>
      </c>
      <c r="I263" s="41" t="n">
        <v>0</v>
      </c>
      <c r="J263" s="41" t="n">
        <v>0</v>
      </c>
      <c r="K263" s="41" t="n">
        <v>0</v>
      </c>
      <c r="L263" s="41" t="n">
        <v>0</v>
      </c>
    </row>
    <row r="264" customFormat="false" ht="15.75" hidden="false" customHeight="false" outlineLevel="0" collapsed="false">
      <c r="B264" s="39" t="s">
        <v>141</v>
      </c>
      <c r="C264" s="40" t="str">
        <f aca="false">IF(B264="","",IFERROR(INDEX('CLM &amp; IM Mapping'!$B$2:$B$270,MATCH(TRIM(B264),'CLM &amp; IM Mapping'!$A$2:$A$270,0)),"Not Mapped"))</f>
        <v>Rizwan Ahmed</v>
      </c>
      <c r="D264" s="40" t="str">
        <f aca="false">IF(B264="","",IFERROR(INDEX('CLM &amp; IM Mapping'!$C$2:$C$270,MATCH(TRIM(B264),'CLM &amp; IM Mapping'!$A$2:$A$270,0)),"Not Mapped"))</f>
        <v>Un Mapped</v>
      </c>
      <c r="E264" s="41" t="n">
        <v>802</v>
      </c>
      <c r="F264" s="41" t="n">
        <v>0</v>
      </c>
      <c r="G264" s="41" t="n">
        <v>0</v>
      </c>
      <c r="H264" s="41" t="n">
        <v>802</v>
      </c>
      <c r="I264" s="41" t="n">
        <v>0</v>
      </c>
      <c r="J264" s="41" t="n">
        <v>0</v>
      </c>
      <c r="K264" s="41" t="n">
        <v>0</v>
      </c>
      <c r="L264" s="41" t="n">
        <v>802</v>
      </c>
    </row>
    <row r="265" customFormat="false" ht="15.75" hidden="false" customHeight="false" outlineLevel="0" collapsed="false">
      <c r="B265" s="39" t="s">
        <v>19</v>
      </c>
      <c r="C265" s="40" t="str">
        <f aca="false">IF(B265="","",IFERROR(INDEX('CLM &amp; IM Mapping'!$B$2:$B$270,MATCH(TRIM(B265),'CLM &amp; IM Mapping'!$A$2:$A$270,0)),"Not Mapped"))</f>
        <v>Ashwath S</v>
      </c>
      <c r="D265" s="40" t="str">
        <f aca="false">IF(B265="","",IFERROR(INDEX('CLM &amp; IM Mapping'!$C$2:$C$270,MATCH(TRIM(B265),'CLM &amp; IM Mapping'!$A$2:$A$270,0)),"Not Mapped"))</f>
        <v>Kantha Kumar</v>
      </c>
      <c r="E265" s="41" t="n">
        <v>1262</v>
      </c>
      <c r="F265" s="41" t="n">
        <v>0</v>
      </c>
      <c r="G265" s="41" t="n">
        <v>0</v>
      </c>
      <c r="H265" s="41" t="n">
        <v>1259</v>
      </c>
      <c r="I265" s="41" t="n">
        <v>3</v>
      </c>
      <c r="J265" s="41" t="n">
        <v>0</v>
      </c>
      <c r="K265" s="41" t="n">
        <v>0</v>
      </c>
      <c r="L265" s="41" t="n">
        <v>1262</v>
      </c>
    </row>
    <row r="266" customFormat="false" ht="15.75" hidden="false" customHeight="false" outlineLevel="0" collapsed="false">
      <c r="B266" s="39" t="s">
        <v>167</v>
      </c>
      <c r="C266" s="40" t="str">
        <f aca="false">IF(B266="","",IFERROR(INDEX('CLM &amp; IM Mapping'!$B$2:$B$270,MATCH(TRIM(B266),'CLM &amp; IM Mapping'!$A$2:$A$270,0)),"Not Mapped"))</f>
        <v>Rizwan Ahmed</v>
      </c>
      <c r="D266" s="40" t="str">
        <f aca="false">IF(B266="","",IFERROR(INDEX('CLM &amp; IM Mapping'!$C$2:$C$270,MATCH(TRIM(B266),'CLM &amp; IM Mapping'!$A$2:$A$270,0)),"Not Mapped"))</f>
        <v>Un Mapped</v>
      </c>
      <c r="E266" s="41" t="n">
        <v>3647</v>
      </c>
      <c r="F266" s="41" t="n">
        <v>82</v>
      </c>
      <c r="G266" s="41" t="n">
        <v>3485</v>
      </c>
      <c r="H266" s="41" t="n">
        <v>0</v>
      </c>
      <c r="I266" s="41" t="n">
        <v>11</v>
      </c>
      <c r="J266" s="41" t="n">
        <v>0</v>
      </c>
      <c r="K266" s="41" t="n">
        <v>69</v>
      </c>
      <c r="L266" s="41" t="n">
        <v>80</v>
      </c>
    </row>
    <row r="267" customFormat="false" ht="15.75" hidden="false" customHeight="false" outlineLevel="0" collapsed="false">
      <c r="B267" s="39" t="s">
        <v>183</v>
      </c>
      <c r="C267" s="40" t="str">
        <f aca="false">IF(B267="","",IFERROR(INDEX('CLM &amp; IM Mapping'!$B$2:$B$270,MATCH(TRIM(B267),'CLM &amp; IM Mapping'!$A$2:$A$270,0)),"Not Mapped"))</f>
        <v>Ashwath S</v>
      </c>
      <c r="D267" s="40" t="str">
        <f aca="false">IF(B267="","",IFERROR(INDEX('CLM &amp; IM Mapping'!$C$2:$C$270,MATCH(TRIM(B267),'CLM &amp; IM Mapping'!$A$2:$A$270,0)),"Not Mapped"))</f>
        <v>Kantha Kumar</v>
      </c>
      <c r="E267" s="41" t="n">
        <v>2939</v>
      </c>
      <c r="F267" s="41" t="n">
        <v>0</v>
      </c>
      <c r="G267" s="41" t="n">
        <v>2837</v>
      </c>
      <c r="H267" s="41" t="n">
        <v>0</v>
      </c>
      <c r="I267" s="41" t="n">
        <v>102</v>
      </c>
      <c r="J267" s="41" t="n">
        <v>0</v>
      </c>
      <c r="K267" s="41" t="n">
        <v>0</v>
      </c>
      <c r="L267" s="41" t="n">
        <v>102</v>
      </c>
    </row>
    <row r="268" customFormat="false" ht="15.75" hidden="false" customHeight="false" outlineLevel="0" collapsed="false">
      <c r="B268" s="39" t="s">
        <v>46</v>
      </c>
      <c r="C268" s="40" t="str">
        <f aca="false">IF(B268="","",IFERROR(INDEX('CLM &amp; IM Mapping'!$B$2:$B$270,MATCH(TRIM(B268),'CLM &amp; IM Mapping'!$A$2:$A$270,0)),"Not Mapped"))</f>
        <v>Ashwath S</v>
      </c>
      <c r="D268" s="40" t="str">
        <f aca="false">IF(B268="","",IFERROR(INDEX('CLM &amp; IM Mapping'!$C$2:$C$270,MATCH(TRIM(B268),'CLM &amp; IM Mapping'!$A$2:$A$270,0)),"Not Mapped"))</f>
        <v>Kantha Kumar</v>
      </c>
      <c r="E268" s="41" t="n">
        <v>0</v>
      </c>
      <c r="F268" s="41" t="n">
        <v>0</v>
      </c>
      <c r="G268" s="41" t="n">
        <v>0</v>
      </c>
      <c r="H268" s="41" t="n">
        <v>0</v>
      </c>
      <c r="I268" s="41" t="n">
        <v>0</v>
      </c>
      <c r="J268" s="41" t="n">
        <v>0</v>
      </c>
      <c r="K268" s="41" t="n">
        <v>0</v>
      </c>
      <c r="L268" s="41" t="n">
        <v>0</v>
      </c>
    </row>
    <row r="269" customFormat="false" ht="15.75" hidden="false" customHeight="false" outlineLevel="0" collapsed="false">
      <c r="B269" s="39" t="s">
        <v>71</v>
      </c>
      <c r="C269" s="40" t="str">
        <f aca="false">IF(B269="","",IFERROR(INDEX('CLM &amp; IM Mapping'!$B$2:$B$270,MATCH(TRIM(B269),'CLM &amp; IM Mapping'!$A$2:$A$270,0)),"Not Mapped"))</f>
        <v>Manoj Kj</v>
      </c>
      <c r="D269" s="40" t="str">
        <f aca="false">IF(B269="","",IFERROR(INDEX('CLM &amp; IM Mapping'!$C$2:$C$270,MATCH(TRIM(B269),'CLM &amp; IM Mapping'!$A$2:$A$270,0)),"Not Mapped"))</f>
        <v>Srittam Dhal</v>
      </c>
      <c r="E269" s="41" t="n">
        <v>0</v>
      </c>
      <c r="F269" s="41" t="n">
        <v>0</v>
      </c>
      <c r="G269" s="41" t="n">
        <v>0</v>
      </c>
      <c r="H269" s="41" t="n">
        <v>0</v>
      </c>
      <c r="I269" s="41" t="n">
        <v>0</v>
      </c>
      <c r="J269" s="41" t="n">
        <v>0</v>
      </c>
      <c r="K269" s="41" t="n">
        <v>0</v>
      </c>
      <c r="L269" s="41" t="n">
        <v>0</v>
      </c>
    </row>
    <row r="270" customFormat="false" ht="15.75" hidden="false" customHeight="false" outlineLevel="0" collapsed="false">
      <c r="B270" s="39" t="s">
        <v>176</v>
      </c>
      <c r="C270" s="40" t="str">
        <f aca="false">IF(B270="","",IFERROR(INDEX('CLM &amp; IM Mapping'!$B$2:$B$270,MATCH(TRIM(B270),'CLM &amp; IM Mapping'!$A$2:$A$270,0)),"Not Mapped"))</f>
        <v>Raghavendra Vernekar</v>
      </c>
      <c r="D270" s="40" t="str">
        <f aca="false">IF(B270="","",IFERROR(INDEX('CLM &amp; IM Mapping'!$C$2:$C$270,MATCH(TRIM(B270),'CLM &amp; IM Mapping'!$A$2:$A$270,0)),"Not Mapped"))</f>
        <v>Prakash BS</v>
      </c>
      <c r="E270" s="41" t="n">
        <v>1352</v>
      </c>
      <c r="F270" s="41" t="n">
        <v>0</v>
      </c>
      <c r="G270" s="41" t="n">
        <v>1352</v>
      </c>
      <c r="H270" s="41" t="n">
        <v>0</v>
      </c>
      <c r="I270" s="41" t="n">
        <v>0</v>
      </c>
      <c r="J270" s="41" t="n">
        <v>0</v>
      </c>
      <c r="K270" s="41" t="n">
        <v>0</v>
      </c>
      <c r="L270" s="41" t="n">
        <v>0</v>
      </c>
    </row>
    <row r="271" customFormat="false" ht="15.75" hidden="false" customHeight="false" outlineLevel="0" collapsed="false">
      <c r="B271" s="39" t="s">
        <v>142</v>
      </c>
      <c r="C271" s="40" t="str">
        <f aca="false">IF(B271="","",IFERROR(INDEX('CLM &amp; IM Mapping'!$B$2:$B$270,MATCH(TRIM(B271),'CLM &amp; IM Mapping'!$A$2:$A$270,0)),"Not Mapped"))</f>
        <v>Girish N</v>
      </c>
      <c r="D271" s="40" t="str">
        <f aca="false">IF(B271="","",IFERROR(INDEX('CLM &amp; IM Mapping'!$C$2:$C$270,MATCH(TRIM(B271),'CLM &amp; IM Mapping'!$A$2:$A$270,0)),"Not Mapped"))</f>
        <v>Un Mapped</v>
      </c>
      <c r="E271" s="41" t="n">
        <v>3443</v>
      </c>
      <c r="F271" s="41" t="n">
        <v>2591</v>
      </c>
      <c r="G271" s="41" t="n">
        <v>852</v>
      </c>
      <c r="H271" s="41" t="n">
        <v>0</v>
      </c>
      <c r="I271" s="41" t="n">
        <v>0</v>
      </c>
      <c r="J271" s="41" t="n">
        <v>0</v>
      </c>
      <c r="K271" s="41" t="n">
        <v>0</v>
      </c>
      <c r="L271" s="41" t="n">
        <v>0</v>
      </c>
    </row>
    <row r="272" customFormat="false" ht="15.75" hidden="false" customHeight="false" outlineLevel="0" collapsed="false">
      <c r="B272" s="39" t="s">
        <v>155</v>
      </c>
      <c r="C272" s="40" t="str">
        <f aca="false">IF(B272="","",IFERROR(INDEX('CLM &amp; IM Mapping'!$B$2:$B$270,MATCH(TRIM(B272),'CLM &amp; IM Mapping'!$A$2:$A$270,0)),"Not Mapped"))</f>
        <v>Akshay P</v>
      </c>
      <c r="D272" s="40" t="str">
        <f aca="false">IF(B272="","",IFERROR(INDEX('CLM &amp; IM Mapping'!$C$2:$C$270,MATCH(TRIM(B272),'CLM &amp; IM Mapping'!$A$2:$A$270,0)),"Not Mapped"))</f>
        <v>Srittam Dhal</v>
      </c>
      <c r="E272" s="41" t="n">
        <v>0</v>
      </c>
      <c r="F272" s="41" t="n">
        <v>0</v>
      </c>
      <c r="G272" s="41" t="n">
        <v>0</v>
      </c>
      <c r="H272" s="41" t="n">
        <v>0</v>
      </c>
      <c r="I272" s="41" t="n">
        <v>0</v>
      </c>
      <c r="J272" s="41" t="n">
        <v>0</v>
      </c>
      <c r="K272" s="41" t="n">
        <v>0</v>
      </c>
      <c r="L272" s="41" t="n">
        <v>0</v>
      </c>
    </row>
    <row r="273" customFormat="false" ht="15.75" hidden="false" customHeight="false" outlineLevel="0" collapsed="false">
      <c r="B273" s="39" t="s">
        <v>244</v>
      </c>
      <c r="C273" s="40" t="str">
        <f aca="false">IF(B273="","",IFERROR(INDEX('CLM &amp; IM Mapping'!$B$2:$B$270,MATCH(TRIM(B273),'CLM &amp; IM Mapping'!$A$2:$A$270,0)),"Not Mapped"))</f>
        <v>Balaji G</v>
      </c>
      <c r="D273" s="40" t="str">
        <f aca="false">IF(B273="","",IFERROR(INDEX('CLM &amp; IM Mapping'!$C$2:$C$270,MATCH(TRIM(B273),'CLM &amp; IM Mapping'!$A$2:$A$270,0)),"Not Mapped"))</f>
        <v>Mohammed Akbar</v>
      </c>
      <c r="E273" s="41" t="n">
        <v>0</v>
      </c>
      <c r="F273" s="41" t="n">
        <v>0</v>
      </c>
      <c r="G273" s="41" t="n">
        <v>0</v>
      </c>
      <c r="H273" s="41" t="n">
        <v>0</v>
      </c>
      <c r="I273" s="41" t="n">
        <v>0</v>
      </c>
      <c r="J273" s="41" t="n">
        <v>0</v>
      </c>
      <c r="K273" s="41" t="n">
        <v>0</v>
      </c>
      <c r="L273" s="41" t="n">
        <v>0</v>
      </c>
    </row>
    <row r="274" customFormat="false" ht="15.75" hidden="false" customHeight="false" outlineLevel="0" collapsed="false">
      <c r="B274" s="39" t="s">
        <v>154</v>
      </c>
      <c r="C274" s="40" t="str">
        <f aca="false">IF(B274="","",IFERROR(INDEX('CLM &amp; IM Mapping'!$B$2:$B$270,MATCH(TRIM(B274),'CLM &amp; IM Mapping'!$A$2:$A$270,0)),"Not Mapped"))</f>
        <v>Manoj Kj</v>
      </c>
      <c r="D274" s="40" t="str">
        <f aca="false">IF(B274="","",IFERROR(INDEX('CLM &amp; IM Mapping'!$C$2:$C$270,MATCH(TRIM(B274),'CLM &amp; IM Mapping'!$A$2:$A$270,0)),"Not Mapped"))</f>
        <v>Srittam Dhal</v>
      </c>
      <c r="E274" s="41" t="n">
        <v>1951</v>
      </c>
      <c r="F274" s="41" t="n">
        <v>1951</v>
      </c>
      <c r="G274" s="41" t="n">
        <v>0</v>
      </c>
      <c r="H274" s="41" t="n">
        <v>0</v>
      </c>
      <c r="I274" s="41" t="n">
        <v>0</v>
      </c>
      <c r="J274" s="41" t="n">
        <v>0</v>
      </c>
      <c r="K274" s="41" t="n">
        <v>0</v>
      </c>
      <c r="L274" s="41" t="n">
        <v>0</v>
      </c>
    </row>
    <row r="275" customFormat="false" ht="15.75" hidden="false" customHeight="false" outlineLevel="0" collapsed="false">
      <c r="B275" s="39" t="s">
        <v>41</v>
      </c>
      <c r="C275" s="40" t="str">
        <f aca="false">IF(B275="","",IFERROR(INDEX('CLM &amp; IM Mapping'!$B$2:$B$270,MATCH(TRIM(B275),'CLM &amp; IM Mapping'!$A$2:$A$270,0)),"Not Mapped"))</f>
        <v>Silambarasan E</v>
      </c>
      <c r="D275" s="40" t="str">
        <f aca="false">IF(B275="","",IFERROR(INDEX('CLM &amp; IM Mapping'!$C$2:$C$270,MATCH(TRIM(B275),'CLM &amp; IM Mapping'!$A$2:$A$270,0)),"Not Mapped"))</f>
        <v>Arivind S</v>
      </c>
      <c r="E275" s="41" t="n">
        <v>10473</v>
      </c>
      <c r="F275" s="41" t="n">
        <v>4904</v>
      </c>
      <c r="G275" s="41" t="n">
        <v>3220</v>
      </c>
      <c r="H275" s="41" t="n">
        <v>252</v>
      </c>
      <c r="I275" s="41" t="n">
        <v>1583</v>
      </c>
      <c r="J275" s="41" t="n">
        <v>0</v>
      </c>
      <c r="K275" s="41" t="n">
        <v>514</v>
      </c>
      <c r="L275" s="41" t="n">
        <v>2349</v>
      </c>
    </row>
    <row r="276" customFormat="false" ht="15.75" hidden="false" customHeight="false" outlineLevel="0" collapsed="false">
      <c r="B276" s="39" t="s">
        <v>285</v>
      </c>
      <c r="C276" s="40" t="str">
        <f aca="false">IF(B276="","",IFERROR(INDEX('CLM &amp; IM Mapping'!$B$2:$B$270,MATCH(TRIM(B276),'CLM &amp; IM Mapping'!$A$2:$A$270,0)),"Not Mapped"))</f>
        <v>Adhavan Subramani</v>
      </c>
      <c r="D276" s="40" t="str">
        <f aca="false">IF(B276="","",IFERROR(INDEX('CLM &amp; IM Mapping'!$C$2:$C$270,MATCH(TRIM(B276),'CLM &amp; IM Mapping'!$A$2:$A$270,0)),"Not Mapped"))</f>
        <v>Mohammed Akbar</v>
      </c>
      <c r="E276" s="41" t="n">
        <v>2935</v>
      </c>
      <c r="F276" s="41" t="n">
        <v>0</v>
      </c>
      <c r="G276" s="41" t="n">
        <v>2096</v>
      </c>
      <c r="H276" s="41" t="n">
        <v>808</v>
      </c>
      <c r="I276" s="41" t="n">
        <v>0</v>
      </c>
      <c r="J276" s="41" t="n">
        <v>0</v>
      </c>
      <c r="K276" s="41" t="n">
        <v>31</v>
      </c>
      <c r="L276" s="41" t="n">
        <v>839</v>
      </c>
    </row>
    <row r="277" customFormat="false" ht="15.75" hidden="false" customHeight="false" outlineLevel="0" collapsed="false">
      <c r="B277" s="39" t="s">
        <v>107</v>
      </c>
      <c r="C277" s="40" t="str">
        <f aca="false">IF(B277="","",IFERROR(INDEX('CLM &amp; IM Mapping'!$B$2:$B$270,MATCH(TRIM(B277),'CLM &amp; IM Mapping'!$A$2:$A$270,0)),"Not Mapped"))</f>
        <v>Adhavan Subramani</v>
      </c>
      <c r="D277" s="40" t="str">
        <f aca="false">IF(B277="","",IFERROR(INDEX('CLM &amp; IM Mapping'!$C$2:$C$270,MATCH(TRIM(B277),'CLM &amp; IM Mapping'!$A$2:$A$270,0)),"Not Mapped"))</f>
        <v>Mohammed Akbar</v>
      </c>
      <c r="E277" s="41" t="n">
        <v>3224</v>
      </c>
      <c r="F277" s="41" t="n">
        <v>3199</v>
      </c>
      <c r="G277" s="41" t="n">
        <v>0</v>
      </c>
      <c r="H277" s="41" t="n">
        <v>0</v>
      </c>
      <c r="I277" s="41" t="n">
        <v>0</v>
      </c>
      <c r="J277" s="41" t="n">
        <v>0</v>
      </c>
      <c r="K277" s="41" t="n">
        <v>25</v>
      </c>
      <c r="L277" s="41" t="n">
        <v>25</v>
      </c>
    </row>
    <row r="278" customFormat="false" ht="15.75" hidden="false" customHeight="false" outlineLevel="0" collapsed="false">
      <c r="B278" s="39" t="s">
        <v>153</v>
      </c>
      <c r="C278" s="40" t="str">
        <f aca="false">IF(B278="","",IFERROR(INDEX('CLM &amp; IM Mapping'!$B$2:$B$270,MATCH(TRIM(B278),'CLM &amp; IM Mapping'!$A$2:$A$270,0)),"Not Mapped"))</f>
        <v>MH</v>
      </c>
      <c r="D278" s="40" t="str">
        <f aca="false">IF(B278="","",IFERROR(INDEX('CLM &amp; IM Mapping'!$C$2:$C$270,MATCH(TRIM(B278),'CLM &amp; IM Mapping'!$A$2:$A$270,0)),"Not Mapped"))</f>
        <v>MH</v>
      </c>
      <c r="E278" s="46"/>
      <c r="F278" s="46"/>
      <c r="G278" s="46"/>
      <c r="H278" s="46"/>
      <c r="I278" s="46"/>
      <c r="J278" s="46"/>
      <c r="K278" s="46"/>
      <c r="L278" s="41" t="n">
        <v>0</v>
      </c>
    </row>
    <row r="279" customFormat="false" ht="15.75" hidden="false" customHeight="false" outlineLevel="0" collapsed="false">
      <c r="B279" s="39" t="s">
        <v>442</v>
      </c>
      <c r="C279" s="40" t="str">
        <f aca="false">IF(B279="","",IFERROR(INDEX('CLM &amp; IM Mapping'!$B$2:$B$270,MATCH(TRIM(B279),'CLM &amp; IM Mapping'!$A$2:$A$270,0)),"Not Mapped"))</f>
        <v>Not Mapped</v>
      </c>
      <c r="D279" s="40" t="str">
        <f aca="false">IF(B279="","",IFERROR(INDEX('CLM &amp; IM Mapping'!$C$2:$C$270,MATCH(TRIM(B279),'CLM &amp; IM Mapping'!$A$2:$A$270,0)),"Not Mapped"))</f>
        <v>Not Mapped</v>
      </c>
      <c r="E279" s="41" t="n">
        <v>3205</v>
      </c>
      <c r="F279" s="41" t="n">
        <v>0</v>
      </c>
      <c r="G279" s="41" t="n">
        <v>40</v>
      </c>
      <c r="H279" s="41" t="n">
        <v>2795</v>
      </c>
      <c r="I279" s="41" t="n">
        <v>0</v>
      </c>
      <c r="J279" s="41" t="n">
        <v>370</v>
      </c>
      <c r="K279" s="41" t="n">
        <v>0</v>
      </c>
      <c r="L279" s="41" t="n">
        <v>3165</v>
      </c>
    </row>
    <row r="280" customFormat="false" ht="15.75" hidden="false" customHeight="false" outlineLevel="0" collapsed="false">
      <c r="B280" s="39" t="s">
        <v>443</v>
      </c>
      <c r="C280" s="40" t="str">
        <f aca="false">IF(B280="","",IFERROR(INDEX('CLM &amp; IM Mapping'!$B$2:$B$270,MATCH(TRIM(B280),'CLM &amp; IM Mapping'!$A$2:$A$270,0)),"Not Mapped"))</f>
        <v>Not Mapped</v>
      </c>
      <c r="D280" s="40" t="str">
        <f aca="false">IF(B280="","",IFERROR(INDEX('CLM &amp; IM Mapping'!$C$2:$C$270,MATCH(TRIM(B280),'CLM &amp; IM Mapping'!$A$2:$A$270,0)),"Not Mapped"))</f>
        <v>Not Mapped</v>
      </c>
      <c r="E280" s="41" t="n">
        <v>0</v>
      </c>
      <c r="F280" s="41" t="n">
        <v>0</v>
      </c>
      <c r="G280" s="41" t="n">
        <v>0</v>
      </c>
      <c r="H280" s="41" t="n">
        <v>0</v>
      </c>
      <c r="I280" s="41" t="n">
        <v>0</v>
      </c>
      <c r="J280" s="41" t="n">
        <v>0</v>
      </c>
      <c r="K280" s="41" t="n">
        <v>0</v>
      </c>
      <c r="L280" s="41" t="n">
        <v>0</v>
      </c>
    </row>
    <row r="281" customFormat="false" ht="15.75" hidden="false" customHeight="false" outlineLevel="0" collapsed="false">
      <c r="B281" s="39" t="s">
        <v>444</v>
      </c>
      <c r="C281" s="40" t="str">
        <f aca="false">IF(B281="","",IFERROR(INDEX('CLM &amp; IM Mapping'!$B$2:$B$270,MATCH(TRIM(B281),'CLM &amp; IM Mapping'!$A$2:$A$270,0)),"Not Mapped"))</f>
        <v>Not Mapped</v>
      </c>
      <c r="D281" s="40" t="str">
        <f aca="false">IF(B281="","",IFERROR(INDEX('CLM &amp; IM Mapping'!$C$2:$C$270,MATCH(TRIM(B281),'CLM &amp; IM Mapping'!$A$2:$A$270,0)),"Not Mapped"))</f>
        <v>Not Mapped</v>
      </c>
      <c r="E281" s="41" t="n">
        <v>0</v>
      </c>
      <c r="F281" s="41" t="n">
        <v>0</v>
      </c>
      <c r="G281" s="41" t="n">
        <v>0</v>
      </c>
      <c r="H281" s="41" t="n">
        <v>0</v>
      </c>
      <c r="I281" s="41" t="n">
        <v>0</v>
      </c>
      <c r="J281" s="41" t="n">
        <v>0</v>
      </c>
      <c r="K281" s="41" t="n">
        <v>0</v>
      </c>
      <c r="L281" s="41" t="n">
        <v>0</v>
      </c>
    </row>
    <row r="282" customFormat="false" ht="15.75" hidden="false" customHeight="false" outlineLevel="0" collapsed="false">
      <c r="B282" s="39" t="s">
        <v>445</v>
      </c>
      <c r="C282" s="40" t="str">
        <f aca="false">IF(B282="","",IFERROR(INDEX('CLM &amp; IM Mapping'!$B$2:$B$270,MATCH(TRIM(B282),'CLM &amp; IM Mapping'!$A$2:$A$270,0)),"Not Mapped"))</f>
        <v>Not Mapped</v>
      </c>
      <c r="D282" s="40" t="str">
        <f aca="false">IF(B282="","",IFERROR(INDEX('CLM &amp; IM Mapping'!$C$2:$C$270,MATCH(TRIM(B282),'CLM &amp; IM Mapping'!$A$2:$A$270,0)),"Not Mapped"))</f>
        <v>Not Mapped</v>
      </c>
      <c r="E282" s="41" t="n">
        <v>3169</v>
      </c>
      <c r="F282" s="41" t="n">
        <v>0</v>
      </c>
      <c r="G282" s="41" t="n">
        <v>0</v>
      </c>
      <c r="H282" s="41" t="n">
        <v>3169</v>
      </c>
      <c r="I282" s="41" t="n">
        <v>0</v>
      </c>
      <c r="J282" s="41" t="n">
        <v>0</v>
      </c>
      <c r="K282" s="41" t="n">
        <v>0</v>
      </c>
      <c r="L282" s="41" t="n">
        <v>3169</v>
      </c>
    </row>
    <row r="283" customFormat="false" ht="15.75" hidden="false" customHeight="false" outlineLevel="0" collapsed="false">
      <c r="B283" s="39" t="s">
        <v>446</v>
      </c>
      <c r="C283" s="40" t="str">
        <f aca="false">IF(B283="","",IFERROR(INDEX('CLM &amp; IM Mapping'!$B$2:$B$270,MATCH(TRIM(B283),'CLM &amp; IM Mapping'!$A$2:$A$270,0)),"Not Mapped"))</f>
        <v>Not Mapped</v>
      </c>
      <c r="D283" s="40" t="str">
        <f aca="false">IF(B283="","",IFERROR(INDEX('CLM &amp; IM Mapping'!$C$2:$C$270,MATCH(TRIM(B283),'CLM &amp; IM Mapping'!$A$2:$A$270,0)),"Not Mapped"))</f>
        <v>Not Mapped</v>
      </c>
      <c r="E283" s="41" t="n">
        <v>1979</v>
      </c>
      <c r="F283" s="41" t="n">
        <v>0</v>
      </c>
      <c r="G283" s="41" t="n">
        <v>1979</v>
      </c>
      <c r="H283" s="41" t="n">
        <v>0</v>
      </c>
      <c r="I283" s="41" t="n">
        <v>0</v>
      </c>
      <c r="J283" s="41" t="n">
        <v>0</v>
      </c>
      <c r="K283" s="41" t="n">
        <v>0</v>
      </c>
      <c r="L283" s="41" t="n">
        <v>0</v>
      </c>
    </row>
    <row r="284" customFormat="false" ht="15.75" hidden="false" customHeight="false" outlineLevel="0" collapsed="false">
      <c r="B284" s="39" t="s">
        <v>447</v>
      </c>
      <c r="C284" s="40" t="str">
        <f aca="false">IF(B284="","",IFERROR(INDEX('CLM &amp; IM Mapping'!$B$2:$B$270,MATCH(TRIM(B284),'CLM &amp; IM Mapping'!$A$2:$A$270,0)),"Not Mapped"))</f>
        <v>Not Mapped</v>
      </c>
      <c r="D284" s="40" t="str">
        <f aca="false">IF(B284="","",IFERROR(INDEX('CLM &amp; IM Mapping'!$C$2:$C$270,MATCH(TRIM(B284),'CLM &amp; IM Mapping'!$A$2:$A$270,0)),"Not Mapped"))</f>
        <v>Not Mapped</v>
      </c>
      <c r="E284" s="41" t="n">
        <v>5242</v>
      </c>
      <c r="F284" s="41" t="n">
        <v>2406</v>
      </c>
      <c r="G284" s="41" t="n">
        <v>2732</v>
      </c>
      <c r="H284" s="41" t="n">
        <v>31</v>
      </c>
      <c r="I284" s="41" t="n">
        <v>73</v>
      </c>
      <c r="J284" s="41" t="n">
        <v>0</v>
      </c>
      <c r="K284" s="41" t="n">
        <v>0</v>
      </c>
      <c r="L284" s="41" t="n">
        <v>104</v>
      </c>
    </row>
    <row r="285" customFormat="false" ht="15.75" hidden="false" customHeight="false" outlineLevel="0" collapsed="false">
      <c r="B285" s="39" t="s">
        <v>448</v>
      </c>
      <c r="C285" s="40" t="str">
        <f aca="false">IF(B285="","",IFERROR(INDEX('CLM &amp; IM Mapping'!$B$2:$B$270,MATCH(TRIM(B285),'CLM &amp; IM Mapping'!$A$2:$A$270,0)),"Not Mapped"))</f>
        <v>Not Mapped</v>
      </c>
      <c r="D285" s="40" t="str">
        <f aca="false">IF(B285="","",IFERROR(INDEX('CLM &amp; IM Mapping'!$C$2:$C$270,MATCH(TRIM(B285),'CLM &amp; IM Mapping'!$A$2:$A$270,0)),"Not Mapped"))</f>
        <v>Not Mapped</v>
      </c>
      <c r="E285" s="41" t="n">
        <v>7</v>
      </c>
      <c r="F285" s="41" t="n">
        <v>0</v>
      </c>
      <c r="G285" s="41" t="n">
        <v>0</v>
      </c>
      <c r="H285" s="41" t="n">
        <v>7</v>
      </c>
      <c r="I285" s="41" t="n">
        <v>0</v>
      </c>
      <c r="J285" s="41" t="n">
        <v>0</v>
      </c>
      <c r="K285" s="41" t="n">
        <v>0</v>
      </c>
      <c r="L285" s="41" t="n">
        <v>7</v>
      </c>
    </row>
    <row r="286" customFormat="false" ht="15.75" hidden="false" customHeight="false" outlineLevel="0" collapsed="false">
      <c r="B286" s="39" t="s">
        <v>449</v>
      </c>
      <c r="C286" s="40" t="str">
        <f aca="false">IF(B286="","",IFERROR(INDEX('CLM &amp; IM Mapping'!$B$2:$B$270,MATCH(TRIM(B286),'CLM &amp; IM Mapping'!$A$2:$A$270,0)),"Not Mapped"))</f>
        <v>Not Mapped</v>
      </c>
      <c r="D286" s="40" t="str">
        <f aca="false">IF(B286="","",IFERROR(INDEX('CLM &amp; IM Mapping'!$C$2:$C$270,MATCH(TRIM(B286),'CLM &amp; IM Mapping'!$A$2:$A$270,0)),"Not Mapped"))</f>
        <v>Not Mapped</v>
      </c>
      <c r="E286" s="41" t="n">
        <v>885</v>
      </c>
      <c r="F286" s="41" t="n">
        <v>0</v>
      </c>
      <c r="G286" s="41" t="n">
        <v>841</v>
      </c>
      <c r="H286" s="41" t="n">
        <v>0</v>
      </c>
      <c r="I286" s="41" t="n">
        <v>44</v>
      </c>
      <c r="J286" s="41" t="n">
        <v>0</v>
      </c>
      <c r="K286" s="41" t="n">
        <v>0</v>
      </c>
      <c r="L286" s="41" t="n">
        <v>44</v>
      </c>
    </row>
    <row r="287" customFormat="false" ht="15.75" hidden="false" customHeight="false" outlineLevel="0" collapsed="false">
      <c r="B287" s="39" t="s">
        <v>450</v>
      </c>
      <c r="C287" s="40" t="str">
        <f aca="false">IF(B287="","",IFERROR(INDEX('CLM &amp; IM Mapping'!$B$2:$B$270,MATCH(TRIM(B287),'CLM &amp; IM Mapping'!$A$2:$A$270,0)),"Not Mapped"))</f>
        <v>Not Mapped</v>
      </c>
      <c r="D287" s="40" t="str">
        <f aca="false">IF(B287="","",IFERROR(INDEX('CLM &amp; IM Mapping'!$C$2:$C$270,MATCH(TRIM(B287),'CLM &amp; IM Mapping'!$A$2:$A$270,0)),"Not Mapped"))</f>
        <v>Not Mapped</v>
      </c>
      <c r="E287" s="41" t="n">
        <v>5263</v>
      </c>
      <c r="F287" s="41" t="n">
        <v>3176</v>
      </c>
      <c r="G287" s="41" t="n">
        <v>975</v>
      </c>
      <c r="H287" s="41" t="n">
        <v>0</v>
      </c>
      <c r="I287" s="41" t="n">
        <v>892</v>
      </c>
      <c r="J287" s="41" t="n">
        <v>0</v>
      </c>
      <c r="K287" s="41" t="n">
        <v>220</v>
      </c>
      <c r="L287" s="41" t="n">
        <v>1112</v>
      </c>
    </row>
    <row r="288" customFormat="false" ht="15.75" hidden="false" customHeight="false" outlineLevel="0" collapsed="false">
      <c r="B288" s="39" t="s">
        <v>451</v>
      </c>
      <c r="C288" s="40" t="str">
        <f aca="false">IF(B288="","",IFERROR(INDEX('CLM &amp; IM Mapping'!$B$2:$B$270,MATCH(TRIM(B288),'CLM &amp; IM Mapping'!$A$2:$A$270,0)),"Not Mapped"))</f>
        <v>Not Mapped</v>
      </c>
      <c r="D288" s="40" t="str">
        <f aca="false">IF(B288="","",IFERROR(INDEX('CLM &amp; IM Mapping'!$C$2:$C$270,MATCH(TRIM(B288),'CLM &amp; IM Mapping'!$A$2:$A$270,0)),"Not Mapped"))</f>
        <v>Not Mapped</v>
      </c>
      <c r="E288" s="41" t="n">
        <v>0</v>
      </c>
      <c r="F288" s="41" t="n">
        <v>0</v>
      </c>
      <c r="G288" s="41" t="n">
        <v>0</v>
      </c>
      <c r="H288" s="41" t="n">
        <v>0</v>
      </c>
      <c r="I288" s="41" t="n">
        <v>0</v>
      </c>
      <c r="J288" s="41" t="n">
        <v>0</v>
      </c>
      <c r="K288" s="41" t="n">
        <v>0</v>
      </c>
      <c r="L288" s="41" t="n">
        <v>0</v>
      </c>
    </row>
    <row r="289" customFormat="false" ht="15.75" hidden="false" customHeight="false" outlineLevel="0" collapsed="false">
      <c r="B289" s="39" t="s">
        <v>452</v>
      </c>
      <c r="C289" s="40" t="str">
        <f aca="false">IF(B289="","",IFERROR(INDEX('CLM &amp; IM Mapping'!$B$2:$B$270,MATCH(TRIM(B289),'CLM &amp; IM Mapping'!$A$2:$A$270,0)),"Not Mapped"))</f>
        <v>Not Mapped</v>
      </c>
      <c r="D289" s="40" t="str">
        <f aca="false">IF(B289="","",IFERROR(INDEX('CLM &amp; IM Mapping'!$C$2:$C$270,MATCH(TRIM(B289),'CLM &amp; IM Mapping'!$A$2:$A$270,0)),"Not Mapped"))</f>
        <v>Not Mapped</v>
      </c>
      <c r="E289" s="41" t="n">
        <v>3899</v>
      </c>
      <c r="F289" s="41" t="n">
        <v>3554</v>
      </c>
      <c r="G289" s="41" t="n">
        <v>0</v>
      </c>
      <c r="H289" s="41" t="n">
        <v>0</v>
      </c>
      <c r="I289" s="41" t="n">
        <v>0</v>
      </c>
      <c r="J289" s="41" t="n">
        <v>345</v>
      </c>
      <c r="K289" s="41" t="n">
        <v>0</v>
      </c>
      <c r="L289" s="41" t="n">
        <v>345</v>
      </c>
    </row>
    <row r="290" customFormat="false" ht="15.75" hidden="false" customHeight="false" outlineLevel="0" collapsed="false">
      <c r="B290" s="39" t="s">
        <v>453</v>
      </c>
      <c r="C290" s="40" t="str">
        <f aca="false">IF(B290="","",IFERROR(INDEX('CLM &amp; IM Mapping'!$B$2:$B$270,MATCH(TRIM(B290),'CLM &amp; IM Mapping'!$A$2:$A$270,0)),"Not Mapped"))</f>
        <v>Not Mapped</v>
      </c>
      <c r="D290" s="40" t="str">
        <f aca="false">IF(B290="","",IFERROR(INDEX('CLM &amp; IM Mapping'!$C$2:$C$270,MATCH(TRIM(B290),'CLM &amp; IM Mapping'!$A$2:$A$270,0)),"Not Mapped"))</f>
        <v>Not Mapped</v>
      </c>
      <c r="E290" s="41" t="n">
        <v>666</v>
      </c>
      <c r="F290" s="41" t="n">
        <v>0</v>
      </c>
      <c r="G290" s="41" t="n">
        <v>666</v>
      </c>
      <c r="H290" s="41" t="n">
        <v>0</v>
      </c>
      <c r="I290" s="41" t="n">
        <v>0</v>
      </c>
      <c r="J290" s="41" t="n">
        <v>0</v>
      </c>
      <c r="K290" s="41" t="n">
        <v>0</v>
      </c>
      <c r="L290" s="41" t="n">
        <v>0</v>
      </c>
    </row>
    <row r="291" customFormat="false" ht="15.75" hidden="false" customHeight="false" outlineLevel="0" collapsed="false">
      <c r="B291" s="39" t="s">
        <v>454</v>
      </c>
      <c r="C291" s="40" t="str">
        <f aca="false">IF(B291="","",IFERROR(INDEX('CLM &amp; IM Mapping'!$B$2:$B$270,MATCH(TRIM(B291),'CLM &amp; IM Mapping'!$A$2:$A$270,0)),"Not Mapped"))</f>
        <v>Not Mapped</v>
      </c>
      <c r="D291" s="40" t="str">
        <f aca="false">IF(B291="","",IFERROR(INDEX('CLM &amp; IM Mapping'!$C$2:$C$270,MATCH(TRIM(B291),'CLM &amp; IM Mapping'!$A$2:$A$270,0)),"Not Mapped"))</f>
        <v>Not Mapped</v>
      </c>
      <c r="E291" s="41" t="n">
        <v>2128</v>
      </c>
      <c r="F291" s="41" t="n">
        <v>0</v>
      </c>
      <c r="G291" s="41" t="n">
        <v>0</v>
      </c>
      <c r="H291" s="41" t="n">
        <v>0</v>
      </c>
      <c r="I291" s="41" t="n">
        <v>1887</v>
      </c>
      <c r="J291" s="41" t="n">
        <v>0</v>
      </c>
      <c r="K291" s="41" t="n">
        <v>241</v>
      </c>
      <c r="L291" s="41" t="n">
        <v>2128</v>
      </c>
    </row>
    <row r="292" customFormat="false" ht="15.75" hidden="false" customHeight="false" outlineLevel="0" collapsed="false">
      <c r="B292" s="39" t="s">
        <v>455</v>
      </c>
      <c r="C292" s="40" t="str">
        <f aca="false">IF(B292="","",IFERROR(INDEX('CLM &amp; IM Mapping'!$B$2:$B$270,MATCH(TRIM(B292),'CLM &amp; IM Mapping'!$A$2:$A$270,0)),"Not Mapped"))</f>
        <v>Not Mapped</v>
      </c>
      <c r="D292" s="40" t="str">
        <f aca="false">IF(B292="","",IFERROR(INDEX('CLM &amp; IM Mapping'!$C$2:$C$270,MATCH(TRIM(B292),'CLM &amp; IM Mapping'!$A$2:$A$270,0)),"Not Mapped"))</f>
        <v>Not Mapped</v>
      </c>
      <c r="E292" s="41" t="n">
        <v>1013</v>
      </c>
      <c r="F292" s="41" t="n">
        <v>0</v>
      </c>
      <c r="G292" s="41" t="n">
        <v>0</v>
      </c>
      <c r="H292" s="41" t="n">
        <v>1009</v>
      </c>
      <c r="I292" s="41" t="n">
        <v>0</v>
      </c>
      <c r="J292" s="41" t="n">
        <v>0</v>
      </c>
      <c r="K292" s="41" t="n">
        <v>4</v>
      </c>
      <c r="L292" s="41" t="n">
        <v>4</v>
      </c>
    </row>
    <row r="293" customFormat="false" ht="15.75" hidden="false" customHeight="false" outlineLevel="0" collapsed="false">
      <c r="B293" s="39" t="s">
        <v>456</v>
      </c>
      <c r="C293" s="40" t="str">
        <f aca="false">IF(B293="","",IFERROR(INDEX('CLM &amp; IM Mapping'!$B$2:$B$270,MATCH(TRIM(B293),'CLM &amp; IM Mapping'!$A$2:$A$270,0)),"Not Mapped"))</f>
        <v>Not Mapped</v>
      </c>
      <c r="D293" s="40" t="str">
        <f aca="false">IF(B293="","",IFERROR(INDEX('CLM &amp; IM Mapping'!$C$2:$C$270,MATCH(TRIM(B293),'CLM &amp; IM Mapping'!$A$2:$A$270,0)),"Not Mapped"))</f>
        <v>Not Mapped</v>
      </c>
      <c r="E293" s="41" t="n">
        <v>4430</v>
      </c>
      <c r="F293" s="41" t="n">
        <v>3107</v>
      </c>
      <c r="G293" s="41" t="n">
        <v>0</v>
      </c>
      <c r="H293" s="41" t="n">
        <v>1225</v>
      </c>
      <c r="I293" s="41" t="n">
        <v>0</v>
      </c>
      <c r="J293" s="41" t="n">
        <v>98</v>
      </c>
      <c r="K293" s="41" t="n">
        <v>0</v>
      </c>
      <c r="L293" s="41" t="n">
        <v>1323</v>
      </c>
    </row>
    <row r="294" customFormat="false" ht="15.75" hidden="false" customHeight="false" outlineLevel="0" collapsed="false">
      <c r="B294" s="39" t="s">
        <v>457</v>
      </c>
      <c r="C294" s="40" t="str">
        <f aca="false">IF(B294="","",IFERROR(INDEX('CLM &amp; IM Mapping'!$B$2:$B$270,MATCH(TRIM(B294),'CLM &amp; IM Mapping'!$A$2:$A$270,0)),"Not Mapped"))</f>
        <v>Not Mapped</v>
      </c>
      <c r="D294" s="40" t="str">
        <f aca="false">IF(B294="","",IFERROR(INDEX('CLM &amp; IM Mapping'!$C$2:$C$270,MATCH(TRIM(B294),'CLM &amp; IM Mapping'!$A$2:$A$270,0)),"Not Mapped"))</f>
        <v>Not Mapped</v>
      </c>
      <c r="E294" s="41" t="n">
        <v>0</v>
      </c>
      <c r="F294" s="41" t="n">
        <v>0</v>
      </c>
      <c r="G294" s="41" t="n">
        <v>0</v>
      </c>
      <c r="H294" s="41" t="n">
        <v>0</v>
      </c>
      <c r="I294" s="41" t="n">
        <v>0</v>
      </c>
      <c r="J294" s="41" t="n">
        <v>0</v>
      </c>
      <c r="K294" s="41" t="n">
        <v>0</v>
      </c>
      <c r="L294" s="41" t="n">
        <v>0</v>
      </c>
    </row>
    <row r="295" customFormat="false" ht="15.75" hidden="false" customHeight="false" outlineLevel="0" collapsed="false">
      <c r="B295" s="39" t="s">
        <v>458</v>
      </c>
      <c r="C295" s="40" t="str">
        <f aca="false">IF(B295="","",IFERROR(INDEX('CLM &amp; IM Mapping'!$B$2:$B$270,MATCH(TRIM(B295),'CLM &amp; IM Mapping'!$A$2:$A$270,0)),"Not Mapped"))</f>
        <v>Not Mapped</v>
      </c>
      <c r="D295" s="40" t="str">
        <f aca="false">IF(B295="","",IFERROR(INDEX('CLM &amp; IM Mapping'!$C$2:$C$270,MATCH(TRIM(B295),'CLM &amp; IM Mapping'!$A$2:$A$270,0)),"Not Mapped"))</f>
        <v>Not Mapped</v>
      </c>
      <c r="E295" s="41" t="n">
        <v>0</v>
      </c>
      <c r="F295" s="41" t="n">
        <v>0</v>
      </c>
      <c r="G295" s="41" t="n">
        <v>0</v>
      </c>
      <c r="H295" s="41" t="n">
        <v>0</v>
      </c>
      <c r="I295" s="41" t="n">
        <v>0</v>
      </c>
      <c r="J295" s="41" t="n">
        <v>0</v>
      </c>
      <c r="K295" s="41" t="n">
        <v>0</v>
      </c>
      <c r="L295" s="41" t="n">
        <v>0</v>
      </c>
    </row>
    <row r="296" customFormat="false" ht="15.75" hidden="false" customHeight="false" outlineLevel="0" collapsed="false">
      <c r="B296" s="39" t="s">
        <v>459</v>
      </c>
      <c r="C296" s="40" t="str">
        <f aca="false">IF(B296="","",IFERROR(INDEX('CLM &amp; IM Mapping'!$B$2:$B$270,MATCH(TRIM(B296),'CLM &amp; IM Mapping'!$A$2:$A$270,0)),"Not Mapped"))</f>
        <v>Not Mapped</v>
      </c>
      <c r="D296" s="40" t="str">
        <f aca="false">IF(B296="","",IFERROR(INDEX('CLM &amp; IM Mapping'!$C$2:$C$270,MATCH(TRIM(B296),'CLM &amp; IM Mapping'!$A$2:$A$270,0)),"Not Mapped"))</f>
        <v>Not Mapped</v>
      </c>
      <c r="E296" s="41" t="n">
        <v>6</v>
      </c>
      <c r="F296" s="41" t="n">
        <v>0</v>
      </c>
      <c r="G296" s="41" t="n">
        <v>0</v>
      </c>
      <c r="H296" s="41" t="n">
        <v>6</v>
      </c>
      <c r="I296" s="41" t="n">
        <v>0</v>
      </c>
      <c r="J296" s="41" t="n">
        <v>0</v>
      </c>
      <c r="K296" s="41" t="n">
        <v>0</v>
      </c>
      <c r="L296" s="41" t="n">
        <v>0</v>
      </c>
    </row>
    <row r="297" customFormat="false" ht="15.75" hidden="false" customHeight="false" outlineLevel="0" collapsed="false">
      <c r="B297" s="39" t="s">
        <v>460</v>
      </c>
      <c r="C297" s="40" t="str">
        <f aca="false">IF(B297="","",IFERROR(INDEX('CLM &amp; IM Mapping'!$B$2:$B$270,MATCH(TRIM(B297),'CLM &amp; IM Mapping'!$A$2:$A$270,0)),"Not Mapped"))</f>
        <v>Not Mapped</v>
      </c>
      <c r="D297" s="40" t="str">
        <f aca="false">IF(B297="","",IFERROR(INDEX('CLM &amp; IM Mapping'!$C$2:$C$270,MATCH(TRIM(B297),'CLM &amp; IM Mapping'!$A$2:$A$270,0)),"Not Mapped"))</f>
        <v>Not Mapped</v>
      </c>
      <c r="E297" s="41" t="n">
        <v>603</v>
      </c>
      <c r="F297" s="41" t="n">
        <v>0</v>
      </c>
      <c r="G297" s="41" t="n">
        <v>0</v>
      </c>
      <c r="H297" s="41" t="n">
        <v>136</v>
      </c>
      <c r="I297" s="41" t="n">
        <v>0</v>
      </c>
      <c r="J297" s="41" t="n">
        <v>143</v>
      </c>
      <c r="K297" s="41" t="n">
        <v>324</v>
      </c>
      <c r="L297" s="41" t="n">
        <v>467</v>
      </c>
    </row>
    <row r="298" customFormat="false" ht="15.75" hidden="false" customHeight="false" outlineLevel="0" collapsed="false">
      <c r="B298" s="39" t="s">
        <v>461</v>
      </c>
      <c r="C298" s="40" t="str">
        <f aca="false">IF(B298="","",IFERROR(INDEX('CLM &amp; IM Mapping'!$B$2:$B$270,MATCH(TRIM(B298),'CLM &amp; IM Mapping'!$A$2:$A$270,0)),"Not Mapped"))</f>
        <v>Not Mapped</v>
      </c>
      <c r="D298" s="40" t="str">
        <f aca="false">IF(B298="","",IFERROR(INDEX('CLM &amp; IM Mapping'!$C$2:$C$270,MATCH(TRIM(B298),'CLM &amp; IM Mapping'!$A$2:$A$270,0)),"Not Mapped"))</f>
        <v>Not Mapped</v>
      </c>
      <c r="E298" s="41" t="n">
        <v>0</v>
      </c>
      <c r="F298" s="41" t="n">
        <v>0</v>
      </c>
      <c r="G298" s="41" t="n">
        <v>0</v>
      </c>
      <c r="H298" s="41" t="n">
        <v>0</v>
      </c>
      <c r="I298" s="41" t="n">
        <v>0</v>
      </c>
      <c r="J298" s="41" t="n">
        <v>0</v>
      </c>
      <c r="K298" s="41" t="n">
        <v>0</v>
      </c>
      <c r="L298" s="41" t="n">
        <v>0</v>
      </c>
    </row>
    <row r="299" customFormat="false" ht="15.75" hidden="false" customHeight="false" outlineLevel="0" collapsed="false">
      <c r="B299" s="39" t="s">
        <v>462</v>
      </c>
      <c r="C299" s="40" t="str">
        <f aca="false">IF(B299="","",IFERROR(INDEX('CLM &amp; IM Mapping'!$B$2:$B$270,MATCH(TRIM(B299),'CLM &amp; IM Mapping'!$A$2:$A$270,0)),"Not Mapped"))</f>
        <v>Not Mapped</v>
      </c>
      <c r="D299" s="40" t="str">
        <f aca="false">IF(B299="","",IFERROR(INDEX('CLM &amp; IM Mapping'!$C$2:$C$270,MATCH(TRIM(B299),'CLM &amp; IM Mapping'!$A$2:$A$270,0)),"Not Mapped"))</f>
        <v>Not Mapped</v>
      </c>
      <c r="E299" s="41" t="n">
        <v>241</v>
      </c>
      <c r="F299" s="41" t="n">
        <v>87</v>
      </c>
      <c r="G299" s="41" t="n">
        <v>154</v>
      </c>
      <c r="H299" s="41" t="n">
        <v>0</v>
      </c>
      <c r="I299" s="41" t="n">
        <v>0</v>
      </c>
      <c r="J299" s="41" t="n">
        <v>0</v>
      </c>
      <c r="K299" s="41" t="n">
        <v>0</v>
      </c>
      <c r="L299" s="41" t="n">
        <v>0</v>
      </c>
    </row>
    <row r="300" customFormat="false" ht="15.75" hidden="false" customHeight="false" outlineLevel="0" collapsed="false">
      <c r="B300" s="39" t="s">
        <v>463</v>
      </c>
      <c r="C300" s="40" t="str">
        <f aca="false">IF(B300="","",IFERROR(INDEX('CLM &amp; IM Mapping'!$B$2:$B$270,MATCH(TRIM(B300),'CLM &amp; IM Mapping'!$A$2:$A$270,0)),"Not Mapped"))</f>
        <v>Not Mapped</v>
      </c>
      <c r="D300" s="40" t="str">
        <f aca="false">IF(B300="","",IFERROR(INDEX('CLM &amp; IM Mapping'!$C$2:$C$270,MATCH(TRIM(B300),'CLM &amp; IM Mapping'!$A$2:$A$270,0)),"Not Mapped"))</f>
        <v>Not Mapped</v>
      </c>
      <c r="E300" s="41" t="n">
        <v>5177</v>
      </c>
      <c r="F300" s="41" t="n">
        <v>1415</v>
      </c>
      <c r="G300" s="41" t="n">
        <v>3762</v>
      </c>
      <c r="H300" s="41" t="n">
        <v>0</v>
      </c>
      <c r="I300" s="41" t="n">
        <v>0</v>
      </c>
      <c r="J300" s="41" t="n">
        <v>0</v>
      </c>
      <c r="K300" s="41" t="n">
        <v>0</v>
      </c>
      <c r="L300" s="41" t="n">
        <v>0</v>
      </c>
    </row>
    <row r="301" customFormat="false" ht="15.75" hidden="false" customHeight="false" outlineLevel="0" collapsed="false">
      <c r="B301" s="39" t="s">
        <v>464</v>
      </c>
      <c r="C301" s="40" t="str">
        <f aca="false">IF(B301="","",IFERROR(INDEX('CLM &amp; IM Mapping'!$B$2:$B$270,MATCH(TRIM(B301),'CLM &amp; IM Mapping'!$A$2:$A$270,0)),"Not Mapped"))</f>
        <v>Not Mapped</v>
      </c>
      <c r="D301" s="40" t="str">
        <f aca="false">IF(B301="","",IFERROR(INDEX('CLM &amp; IM Mapping'!$C$2:$C$270,MATCH(TRIM(B301),'CLM &amp; IM Mapping'!$A$2:$A$270,0)),"Not Mapped"))</f>
        <v>Not Mapped</v>
      </c>
      <c r="E301" s="41" t="n">
        <v>7608</v>
      </c>
      <c r="F301" s="41" t="n">
        <v>1149</v>
      </c>
      <c r="G301" s="41" t="n">
        <v>6459</v>
      </c>
      <c r="H301" s="41" t="n">
        <v>0</v>
      </c>
      <c r="I301" s="41" t="n">
        <v>0</v>
      </c>
      <c r="J301" s="41" t="n">
        <v>0</v>
      </c>
      <c r="K301" s="41" t="n">
        <v>0</v>
      </c>
      <c r="L301" s="41" t="n">
        <v>0</v>
      </c>
    </row>
    <row r="302" customFormat="false" ht="15.75" hidden="false" customHeight="false" outlineLevel="0" collapsed="false">
      <c r="B302" s="39" t="s">
        <v>465</v>
      </c>
      <c r="C302" s="40" t="str">
        <f aca="false">IF(B302="","",IFERROR(INDEX('CLM &amp; IM Mapping'!$B$2:$B$270,MATCH(TRIM(B302),'CLM &amp; IM Mapping'!$A$2:$A$270,0)),"Not Mapped"))</f>
        <v>Not Mapped</v>
      </c>
      <c r="D302" s="40" t="str">
        <f aca="false">IF(B302="","",IFERROR(INDEX('CLM &amp; IM Mapping'!$C$2:$C$270,MATCH(TRIM(B302),'CLM &amp; IM Mapping'!$A$2:$A$270,0)),"Not Mapped"))</f>
        <v>Not Mapped</v>
      </c>
      <c r="E302" s="41" t="n">
        <v>0</v>
      </c>
      <c r="F302" s="41" t="n">
        <v>0</v>
      </c>
      <c r="G302" s="41" t="n">
        <v>0</v>
      </c>
      <c r="H302" s="41" t="n">
        <v>0</v>
      </c>
      <c r="I302" s="41" t="n">
        <v>0</v>
      </c>
      <c r="J302" s="41" t="n">
        <v>0</v>
      </c>
      <c r="K302" s="41" t="n">
        <v>0</v>
      </c>
      <c r="L302" s="41" t="n">
        <v>0</v>
      </c>
    </row>
    <row r="303" customFormat="false" ht="15.75" hidden="false" customHeight="false" outlineLevel="0" collapsed="false">
      <c r="B303" s="39" t="s">
        <v>466</v>
      </c>
      <c r="C303" s="40" t="str">
        <f aca="false">IF(B303="","",IFERROR(INDEX('CLM &amp; IM Mapping'!$B$2:$B$270,MATCH(TRIM(B303),'CLM &amp; IM Mapping'!$A$2:$A$270,0)),"Not Mapped"))</f>
        <v>Not Mapped</v>
      </c>
      <c r="D303" s="40" t="str">
        <f aca="false">IF(B303="","",IFERROR(INDEX('CLM &amp; IM Mapping'!$C$2:$C$270,MATCH(TRIM(B303),'CLM &amp; IM Mapping'!$A$2:$A$270,0)),"Not Mapped"))</f>
        <v>Not Mapped</v>
      </c>
      <c r="E303" s="41" t="n">
        <v>594</v>
      </c>
      <c r="F303" s="41" t="n">
        <v>539</v>
      </c>
      <c r="G303" s="41" t="n">
        <v>55</v>
      </c>
      <c r="H303" s="41" t="n">
        <v>0</v>
      </c>
      <c r="I303" s="41" t="n">
        <v>0</v>
      </c>
      <c r="J303" s="41" t="n">
        <v>0</v>
      </c>
      <c r="K303" s="41" t="n">
        <v>0</v>
      </c>
      <c r="L303" s="41" t="n">
        <v>0</v>
      </c>
    </row>
    <row r="304" customFormat="false" ht="15.75" hidden="false" customHeight="false" outlineLevel="0" collapsed="false">
      <c r="B304" s="39" t="s">
        <v>467</v>
      </c>
      <c r="C304" s="40" t="str">
        <f aca="false">IF(B304="","",IFERROR(INDEX('CLM &amp; IM Mapping'!$B$2:$B$270,MATCH(TRIM(B304),'CLM &amp; IM Mapping'!$A$2:$A$270,0)),"Not Mapped"))</f>
        <v>Not Mapped</v>
      </c>
      <c r="D304" s="40" t="str">
        <f aca="false">IF(B304="","",IFERROR(INDEX('CLM &amp; IM Mapping'!$C$2:$C$270,MATCH(TRIM(B304),'CLM &amp; IM Mapping'!$A$2:$A$270,0)),"Not Mapped"))</f>
        <v>Not Mapped</v>
      </c>
      <c r="E304" s="41" t="n">
        <v>89</v>
      </c>
      <c r="F304" s="41" t="n">
        <v>0</v>
      </c>
      <c r="G304" s="41" t="n">
        <v>0</v>
      </c>
      <c r="H304" s="41" t="n">
        <v>49</v>
      </c>
      <c r="I304" s="41" t="n">
        <v>0</v>
      </c>
      <c r="J304" s="41" t="n">
        <v>20</v>
      </c>
      <c r="K304" s="41" t="n">
        <v>20</v>
      </c>
      <c r="L304" s="41" t="n">
        <v>89</v>
      </c>
    </row>
    <row r="305" customFormat="false" ht="15.75" hidden="false" customHeight="false" outlineLevel="0" collapsed="false">
      <c r="B305" s="39" t="s">
        <v>468</v>
      </c>
      <c r="C305" s="40" t="str">
        <f aca="false">IF(B305="","",IFERROR(INDEX('CLM &amp; IM Mapping'!$B$2:$B$270,MATCH(TRIM(B305),'CLM &amp; IM Mapping'!$A$2:$A$270,0)),"Not Mapped"))</f>
        <v>Not Mapped</v>
      </c>
      <c r="D305" s="40" t="str">
        <f aca="false">IF(B305="","",IFERROR(INDEX('CLM &amp; IM Mapping'!$C$2:$C$270,MATCH(TRIM(B305),'CLM &amp; IM Mapping'!$A$2:$A$270,0)),"Not Mapped"))</f>
        <v>Not Mapped</v>
      </c>
      <c r="E305" s="41" t="n">
        <v>0</v>
      </c>
      <c r="F305" s="41" t="n">
        <v>0</v>
      </c>
      <c r="G305" s="41" t="n">
        <v>0</v>
      </c>
      <c r="H305" s="41" t="n">
        <v>0</v>
      </c>
      <c r="I305" s="41" t="n">
        <v>0</v>
      </c>
      <c r="J305" s="41" t="n">
        <v>0</v>
      </c>
      <c r="K305" s="41" t="n">
        <v>0</v>
      </c>
      <c r="L305" s="41" t="n">
        <v>0</v>
      </c>
    </row>
    <row r="306" customFormat="false" ht="15.75" hidden="false" customHeight="false" outlineLevel="0" collapsed="false">
      <c r="B306" s="39" t="s">
        <v>469</v>
      </c>
      <c r="C306" s="40" t="str">
        <f aca="false">IF(B306="","",IFERROR(INDEX('CLM &amp; IM Mapping'!$B$2:$B$270,MATCH(TRIM(B306),'CLM &amp; IM Mapping'!$A$2:$A$270,0)),"Not Mapped"))</f>
        <v>Not Mapped</v>
      </c>
      <c r="D306" s="40" t="str">
        <f aca="false">IF(B306="","",IFERROR(INDEX('CLM &amp; IM Mapping'!$C$2:$C$270,MATCH(TRIM(B306),'CLM &amp; IM Mapping'!$A$2:$A$270,0)),"Not Mapped"))</f>
        <v>Not Mapped</v>
      </c>
      <c r="E306" s="41" t="n">
        <v>14</v>
      </c>
      <c r="F306" s="41" t="n">
        <v>0</v>
      </c>
      <c r="G306" s="41" t="n">
        <v>0</v>
      </c>
      <c r="H306" s="41" t="n">
        <v>0</v>
      </c>
      <c r="I306" s="41" t="n">
        <v>14</v>
      </c>
      <c r="J306" s="41" t="n">
        <v>0</v>
      </c>
      <c r="K306" s="41" t="n">
        <v>0</v>
      </c>
      <c r="L306" s="41" t="n">
        <v>14</v>
      </c>
    </row>
    <row r="307" customFormat="false" ht="15.75" hidden="false" customHeight="false" outlineLevel="0" collapsed="false">
      <c r="B307" s="39" t="s">
        <v>470</v>
      </c>
      <c r="C307" s="40" t="str">
        <f aca="false">IF(B307="","",IFERROR(INDEX('CLM &amp; IM Mapping'!$B$2:$B$270,MATCH(TRIM(B307),'CLM &amp; IM Mapping'!$A$2:$A$270,0)),"Not Mapped"))</f>
        <v>Not Mapped</v>
      </c>
      <c r="D307" s="40" t="str">
        <f aca="false">IF(B307="","",IFERROR(INDEX('CLM &amp; IM Mapping'!$C$2:$C$270,MATCH(TRIM(B307),'CLM &amp; IM Mapping'!$A$2:$A$270,0)),"Not Mapped"))</f>
        <v>Not Mapped</v>
      </c>
      <c r="E307" s="41" t="n">
        <v>0</v>
      </c>
      <c r="F307" s="41" t="n">
        <v>0</v>
      </c>
      <c r="G307" s="41" t="n">
        <v>0</v>
      </c>
      <c r="H307" s="41" t="n">
        <v>0</v>
      </c>
      <c r="I307" s="41" t="n">
        <v>0</v>
      </c>
      <c r="J307" s="41" t="n">
        <v>0</v>
      </c>
      <c r="K307" s="41" t="n">
        <v>0</v>
      </c>
      <c r="L307" s="41" t="n">
        <v>0</v>
      </c>
    </row>
    <row r="308" customFormat="false" ht="15.75" hidden="false" customHeight="false" outlineLevel="0" collapsed="false">
      <c r="B308" s="39" t="s">
        <v>471</v>
      </c>
      <c r="C308" s="40" t="str">
        <f aca="false">IF(B308="","",IFERROR(INDEX('CLM &amp; IM Mapping'!$B$2:$B$270,MATCH(TRIM(B308),'CLM &amp; IM Mapping'!$A$2:$A$270,0)),"Not Mapped"))</f>
        <v>Not Mapped</v>
      </c>
      <c r="D308" s="40" t="str">
        <f aca="false">IF(B308="","",IFERROR(INDEX('CLM &amp; IM Mapping'!$C$2:$C$270,MATCH(TRIM(B308),'CLM &amp; IM Mapping'!$A$2:$A$270,0)),"Not Mapped"))</f>
        <v>Not Mapped</v>
      </c>
      <c r="E308" s="41" t="n">
        <v>1097</v>
      </c>
      <c r="F308" s="41" t="n">
        <v>145</v>
      </c>
      <c r="G308" s="41" t="n">
        <v>0</v>
      </c>
      <c r="H308" s="41" t="n">
        <v>952</v>
      </c>
      <c r="I308" s="41" t="n">
        <v>0</v>
      </c>
      <c r="J308" s="41" t="n">
        <v>0</v>
      </c>
      <c r="K308" s="41" t="n">
        <v>0</v>
      </c>
      <c r="L308" s="41" t="n">
        <v>952</v>
      </c>
    </row>
    <row r="309" customFormat="false" ht="15.75" hidden="false" customHeight="false" outlineLevel="0" collapsed="false">
      <c r="B309" s="39" t="s">
        <v>472</v>
      </c>
      <c r="C309" s="40" t="str">
        <f aca="false">IF(B309="","",IFERROR(INDEX('CLM &amp; IM Mapping'!$B$2:$B$270,MATCH(TRIM(B309),'CLM &amp; IM Mapping'!$A$2:$A$270,0)),"Not Mapped"))</f>
        <v>Not Mapped</v>
      </c>
      <c r="D309" s="40" t="str">
        <f aca="false">IF(B309="","",IFERROR(INDEX('CLM &amp; IM Mapping'!$C$2:$C$270,MATCH(TRIM(B309),'CLM &amp; IM Mapping'!$A$2:$A$270,0)),"Not Mapped"))</f>
        <v>Not Mapped</v>
      </c>
      <c r="E309" s="41" t="n">
        <v>6978</v>
      </c>
      <c r="F309" s="41" t="n">
        <v>71</v>
      </c>
      <c r="G309" s="41" t="n">
        <v>5222</v>
      </c>
      <c r="H309" s="41" t="n">
        <v>0</v>
      </c>
      <c r="I309" s="41" t="n">
        <v>1685</v>
      </c>
      <c r="J309" s="41" t="n">
        <v>0</v>
      </c>
      <c r="K309" s="41" t="n">
        <v>0</v>
      </c>
      <c r="L309" s="41" t="n">
        <v>1685</v>
      </c>
    </row>
    <row r="310" customFormat="false" ht="15.75" hidden="false" customHeight="false" outlineLevel="0" collapsed="false">
      <c r="B310" s="39" t="s">
        <v>473</v>
      </c>
      <c r="C310" s="40" t="str">
        <f aca="false">IF(B310="","",IFERROR(INDEX('CLM &amp; IM Mapping'!$B$2:$B$270,MATCH(TRIM(B310),'CLM &amp; IM Mapping'!$A$2:$A$270,0)),"Not Mapped"))</f>
        <v>Not Mapped</v>
      </c>
      <c r="D310" s="40" t="str">
        <f aca="false">IF(B310="","",IFERROR(INDEX('CLM &amp; IM Mapping'!$C$2:$C$270,MATCH(TRIM(B310),'CLM &amp; IM Mapping'!$A$2:$A$270,0)),"Not Mapped"))</f>
        <v>Not Mapped</v>
      </c>
      <c r="E310" s="41" t="n">
        <v>3904</v>
      </c>
      <c r="F310" s="41" t="n">
        <v>1634</v>
      </c>
      <c r="G310" s="41" t="n">
        <v>2015</v>
      </c>
      <c r="H310" s="41" t="n">
        <v>0</v>
      </c>
      <c r="I310" s="41" t="n">
        <v>248</v>
      </c>
      <c r="J310" s="41" t="n">
        <v>0</v>
      </c>
      <c r="K310" s="41" t="n">
        <v>7</v>
      </c>
      <c r="L310" s="41" t="n">
        <v>255</v>
      </c>
    </row>
    <row r="311" customFormat="false" ht="15.75" hidden="false" customHeight="false" outlineLevel="0" collapsed="false">
      <c r="B311" s="39" t="s">
        <v>474</v>
      </c>
      <c r="C311" s="40" t="str">
        <f aca="false">IF(B311="","",IFERROR(INDEX('CLM &amp; IM Mapping'!$B$2:$B$270,MATCH(TRIM(B311),'CLM &amp; IM Mapping'!$A$2:$A$270,0)),"Not Mapped"))</f>
        <v>Not Mapped</v>
      </c>
      <c r="D311" s="40" t="str">
        <f aca="false">IF(B311="","",IFERROR(INDEX('CLM &amp; IM Mapping'!$C$2:$C$270,MATCH(TRIM(B311),'CLM &amp; IM Mapping'!$A$2:$A$270,0)),"Not Mapped"))</f>
        <v>Not Mapped</v>
      </c>
      <c r="E311" s="41" t="n">
        <v>335</v>
      </c>
      <c r="F311" s="41" t="n">
        <v>0</v>
      </c>
      <c r="G311" s="41" t="n">
        <v>0</v>
      </c>
      <c r="H311" s="41" t="n">
        <v>335</v>
      </c>
      <c r="I311" s="41" t="n">
        <v>0</v>
      </c>
      <c r="J311" s="41" t="n">
        <v>0</v>
      </c>
      <c r="K311" s="41" t="n">
        <v>0</v>
      </c>
      <c r="L311" s="41" t="n">
        <v>0</v>
      </c>
    </row>
    <row r="312" customFormat="false" ht="15.75" hidden="false" customHeight="false" outlineLevel="0" collapsed="false">
      <c r="B312" s="39" t="s">
        <v>475</v>
      </c>
      <c r="C312" s="40" t="str">
        <f aca="false">IF(B312="","",IFERROR(INDEX('CLM &amp; IM Mapping'!$B$2:$B$270,MATCH(TRIM(B312),'CLM &amp; IM Mapping'!$A$2:$A$270,0)),"Not Mapped"))</f>
        <v>Not Mapped</v>
      </c>
      <c r="D312" s="40" t="str">
        <f aca="false">IF(B312="","",IFERROR(INDEX('CLM &amp; IM Mapping'!$C$2:$C$270,MATCH(TRIM(B312),'CLM &amp; IM Mapping'!$A$2:$A$270,0)),"Not Mapped"))</f>
        <v>Not Mapped</v>
      </c>
      <c r="E312" s="41" t="n">
        <v>3521</v>
      </c>
      <c r="F312" s="41" t="n">
        <v>14</v>
      </c>
      <c r="G312" s="41" t="n">
        <v>3221</v>
      </c>
      <c r="H312" s="41" t="n">
        <v>0</v>
      </c>
      <c r="I312" s="41" t="n">
        <v>286</v>
      </c>
      <c r="J312" s="41" t="n">
        <v>0</v>
      </c>
      <c r="K312" s="41" t="n">
        <v>0</v>
      </c>
      <c r="L312" s="41" t="n">
        <v>286</v>
      </c>
    </row>
    <row r="313" customFormat="false" ht="15.75" hidden="false" customHeight="false" outlineLevel="0" collapsed="false">
      <c r="B313" s="39" t="s">
        <v>476</v>
      </c>
      <c r="C313" s="40" t="str">
        <f aca="false">IF(B313="","",IFERROR(INDEX('CLM &amp; IM Mapping'!$B$2:$B$270,MATCH(TRIM(B313),'CLM &amp; IM Mapping'!$A$2:$A$270,0)),"Not Mapped"))</f>
        <v>Not Mapped</v>
      </c>
      <c r="D313" s="40" t="str">
        <f aca="false">IF(B313="","",IFERROR(INDEX('CLM &amp; IM Mapping'!$C$2:$C$270,MATCH(TRIM(B313),'CLM &amp; IM Mapping'!$A$2:$A$270,0)),"Not Mapped"))</f>
        <v>Not Mapped</v>
      </c>
      <c r="E313" s="41" t="n">
        <v>0</v>
      </c>
      <c r="F313" s="41" t="n">
        <v>0</v>
      </c>
      <c r="G313" s="41" t="n">
        <v>0</v>
      </c>
      <c r="H313" s="41" t="n">
        <v>0</v>
      </c>
      <c r="I313" s="41" t="n">
        <v>0</v>
      </c>
      <c r="J313" s="41" t="n">
        <v>0</v>
      </c>
      <c r="K313" s="41" t="n">
        <v>0</v>
      </c>
      <c r="L313" s="41" t="n">
        <v>0</v>
      </c>
    </row>
    <row r="314" customFormat="false" ht="15.75" hidden="false" customHeight="false" outlineLevel="0" collapsed="false">
      <c r="B314" s="39" t="s">
        <v>477</v>
      </c>
      <c r="C314" s="40" t="str">
        <f aca="false">IF(B314="","",IFERROR(INDEX('CLM &amp; IM Mapping'!$B$2:$B$270,MATCH(TRIM(B314),'CLM &amp; IM Mapping'!$A$2:$A$270,0)),"Not Mapped"))</f>
        <v>Not Mapped</v>
      </c>
      <c r="D314" s="40" t="str">
        <f aca="false">IF(B314="","",IFERROR(INDEX('CLM &amp; IM Mapping'!$C$2:$C$270,MATCH(TRIM(B314),'CLM &amp; IM Mapping'!$A$2:$A$270,0)),"Not Mapped"))</f>
        <v>Not Mapped</v>
      </c>
      <c r="E314" s="41" t="n">
        <v>0</v>
      </c>
      <c r="F314" s="41" t="n">
        <v>0</v>
      </c>
      <c r="G314" s="41" t="n">
        <v>0</v>
      </c>
      <c r="H314" s="41" t="n">
        <v>0</v>
      </c>
      <c r="I314" s="41" t="n">
        <v>0</v>
      </c>
      <c r="J314" s="41" t="n">
        <v>0</v>
      </c>
      <c r="K314" s="41" t="n">
        <v>0</v>
      </c>
      <c r="L314" s="41" t="n">
        <v>0</v>
      </c>
    </row>
    <row r="315" customFormat="false" ht="15.75" hidden="false" customHeight="false" outlineLevel="0" collapsed="false">
      <c r="B315" s="39" t="s">
        <v>478</v>
      </c>
      <c r="C315" s="40" t="str">
        <f aca="false">IF(B315="","",IFERROR(INDEX('CLM &amp; IM Mapping'!$B$2:$B$270,MATCH(TRIM(B315),'CLM &amp; IM Mapping'!$A$2:$A$270,0)),"Not Mapped"))</f>
        <v>Not Mapped</v>
      </c>
      <c r="D315" s="40" t="str">
        <f aca="false">IF(B315="","",IFERROR(INDEX('CLM &amp; IM Mapping'!$C$2:$C$270,MATCH(TRIM(B315),'CLM &amp; IM Mapping'!$A$2:$A$270,0)),"Not Mapped"))</f>
        <v>Not Mapped</v>
      </c>
      <c r="E315" s="41" t="n">
        <v>0</v>
      </c>
      <c r="F315" s="41" t="n">
        <v>0</v>
      </c>
      <c r="G315" s="41" t="n">
        <v>0</v>
      </c>
      <c r="H315" s="41" t="n">
        <v>0</v>
      </c>
      <c r="I315" s="41" t="n">
        <v>0</v>
      </c>
      <c r="J315" s="41" t="n">
        <v>0</v>
      </c>
      <c r="K315" s="41" t="n">
        <v>0</v>
      </c>
      <c r="L315" s="41" t="n">
        <v>0</v>
      </c>
    </row>
    <row r="316" customFormat="false" ht="15.75" hidden="false" customHeight="false" outlineLevel="0" collapsed="false">
      <c r="B316" s="39" t="s">
        <v>479</v>
      </c>
      <c r="C316" s="40" t="str">
        <f aca="false">IF(B316="","",IFERROR(INDEX('CLM &amp; IM Mapping'!$B$2:$B$270,MATCH(TRIM(B316),'CLM &amp; IM Mapping'!$A$2:$A$270,0)),"Not Mapped"))</f>
        <v>Not Mapped</v>
      </c>
      <c r="D316" s="40" t="str">
        <f aca="false">IF(B316="","",IFERROR(INDEX('CLM &amp; IM Mapping'!$C$2:$C$270,MATCH(TRIM(B316),'CLM &amp; IM Mapping'!$A$2:$A$270,0)),"Not Mapped"))</f>
        <v>Not Mapped</v>
      </c>
      <c r="E316" s="41" t="n">
        <v>0</v>
      </c>
      <c r="F316" s="41" t="n">
        <v>0</v>
      </c>
      <c r="G316" s="41" t="n">
        <v>0</v>
      </c>
      <c r="H316" s="41" t="n">
        <v>0</v>
      </c>
      <c r="I316" s="41" t="n">
        <v>0</v>
      </c>
      <c r="J316" s="41" t="n">
        <v>0</v>
      </c>
      <c r="K316" s="41" t="n">
        <v>0</v>
      </c>
      <c r="L316" s="41" t="n">
        <v>0</v>
      </c>
    </row>
    <row r="317" customFormat="false" ht="15.75" hidden="false" customHeight="false" outlineLevel="0" collapsed="false">
      <c r="B317" s="39" t="s">
        <v>480</v>
      </c>
      <c r="C317" s="40" t="str">
        <f aca="false">IF(B317="","",IFERROR(INDEX('CLM &amp; IM Mapping'!$B$2:$B$270,MATCH(TRIM(B317),'CLM &amp; IM Mapping'!$A$2:$A$270,0)),"Not Mapped"))</f>
        <v>Not Mapped</v>
      </c>
      <c r="D317" s="40" t="str">
        <f aca="false">IF(B317="","",IFERROR(INDEX('CLM &amp; IM Mapping'!$C$2:$C$270,MATCH(TRIM(B317),'CLM &amp; IM Mapping'!$A$2:$A$270,0)),"Not Mapped"))</f>
        <v>Not Mapped</v>
      </c>
      <c r="E317" s="41" t="n">
        <v>0</v>
      </c>
      <c r="F317" s="41" t="n">
        <v>0</v>
      </c>
      <c r="G317" s="41" t="n">
        <v>0</v>
      </c>
      <c r="H317" s="41" t="n">
        <v>0</v>
      </c>
      <c r="I317" s="41" t="n">
        <v>0</v>
      </c>
      <c r="J317" s="41" t="n">
        <v>0</v>
      </c>
      <c r="K317" s="41" t="n">
        <v>0</v>
      </c>
      <c r="L317" s="41" t="n">
        <v>0</v>
      </c>
    </row>
    <row r="318" customFormat="false" ht="15.75" hidden="false" customHeight="false" outlineLevel="0" collapsed="false">
      <c r="B318" s="39" t="s">
        <v>481</v>
      </c>
      <c r="C318" s="40" t="str">
        <f aca="false">IF(B318="","",IFERROR(INDEX('CLM &amp; IM Mapping'!$B$2:$B$270,MATCH(TRIM(B318),'CLM &amp; IM Mapping'!$A$2:$A$270,0)),"Not Mapped"))</f>
        <v>Not Mapped</v>
      </c>
      <c r="D318" s="40" t="str">
        <f aca="false">IF(B318="","",IFERROR(INDEX('CLM &amp; IM Mapping'!$C$2:$C$270,MATCH(TRIM(B318),'CLM &amp; IM Mapping'!$A$2:$A$270,0)),"Not Mapped"))</f>
        <v>Not Mapped</v>
      </c>
      <c r="E318" s="41" t="n">
        <v>7377</v>
      </c>
      <c r="F318" s="41" t="n">
        <v>4660</v>
      </c>
      <c r="G318" s="41" t="n">
        <v>2517</v>
      </c>
      <c r="H318" s="41" t="n">
        <v>0</v>
      </c>
      <c r="I318" s="41" t="n">
        <v>26</v>
      </c>
      <c r="J318" s="41" t="n">
        <v>102</v>
      </c>
      <c r="K318" s="41" t="n">
        <v>72</v>
      </c>
      <c r="L318" s="41" t="n">
        <v>200</v>
      </c>
    </row>
    <row r="319" customFormat="false" ht="15.75" hidden="false" customHeight="false" outlineLevel="0" collapsed="false">
      <c r="B319" s="39" t="s">
        <v>482</v>
      </c>
      <c r="C319" s="40" t="str">
        <f aca="false">IF(B319="","",IFERROR(INDEX('CLM &amp; IM Mapping'!$B$2:$B$270,MATCH(TRIM(B319),'CLM &amp; IM Mapping'!$A$2:$A$270,0)),"Not Mapped"))</f>
        <v>Not Mapped</v>
      </c>
      <c r="D319" s="40" t="str">
        <f aca="false">IF(B319="","",IFERROR(INDEX('CLM &amp; IM Mapping'!$C$2:$C$270,MATCH(TRIM(B319),'CLM &amp; IM Mapping'!$A$2:$A$270,0)),"Not Mapped"))</f>
        <v>Not Mapped</v>
      </c>
      <c r="E319" s="41" t="n">
        <v>1588</v>
      </c>
      <c r="F319" s="41" t="n">
        <v>78</v>
      </c>
      <c r="G319" s="41" t="n">
        <v>1</v>
      </c>
      <c r="H319" s="41" t="n">
        <v>0</v>
      </c>
      <c r="I319" s="41" t="n">
        <v>0</v>
      </c>
      <c r="J319" s="41" t="n">
        <v>234</v>
      </c>
      <c r="K319" s="41" t="n">
        <v>1275</v>
      </c>
      <c r="L319" s="41" t="n">
        <v>1509</v>
      </c>
    </row>
    <row r="320" customFormat="false" ht="15.75" hidden="false" customHeight="false" outlineLevel="0" collapsed="false">
      <c r="B320" s="39" t="s">
        <v>483</v>
      </c>
      <c r="C320" s="40" t="str">
        <f aca="false">IF(B320="","",IFERROR(INDEX('CLM &amp; IM Mapping'!$B$2:$B$270,MATCH(TRIM(B320),'CLM &amp; IM Mapping'!$A$2:$A$270,0)),"Not Mapped"))</f>
        <v>Not Mapped</v>
      </c>
      <c r="D320" s="40" t="str">
        <f aca="false">IF(B320="","",IFERROR(INDEX('CLM &amp; IM Mapping'!$C$2:$C$270,MATCH(TRIM(B320),'CLM &amp; IM Mapping'!$A$2:$A$270,0)),"Not Mapped"))</f>
        <v>Not Mapped</v>
      </c>
      <c r="E320" s="41" t="n">
        <v>0</v>
      </c>
      <c r="F320" s="41" t="n">
        <v>0</v>
      </c>
      <c r="G320" s="41" t="n">
        <v>0</v>
      </c>
      <c r="H320" s="41" t="n">
        <v>0</v>
      </c>
      <c r="I320" s="41" t="n">
        <v>0</v>
      </c>
      <c r="J320" s="41" t="n">
        <v>0</v>
      </c>
      <c r="K320" s="41" t="n">
        <v>0</v>
      </c>
      <c r="L320" s="41" t="n">
        <v>0</v>
      </c>
    </row>
    <row r="321" customFormat="false" ht="15.75" hidden="false" customHeight="false" outlineLevel="0" collapsed="false">
      <c r="B321" s="39" t="s">
        <v>484</v>
      </c>
      <c r="C321" s="40" t="str">
        <f aca="false">IF(B321="","",IFERROR(INDEX('CLM &amp; IM Mapping'!$B$2:$B$270,MATCH(TRIM(B321),'CLM &amp; IM Mapping'!$A$2:$A$270,0)),"Not Mapped"))</f>
        <v>Not Mapped</v>
      </c>
      <c r="D321" s="40" t="str">
        <f aca="false">IF(B321="","",IFERROR(INDEX('CLM &amp; IM Mapping'!$C$2:$C$270,MATCH(TRIM(B321),'CLM &amp; IM Mapping'!$A$2:$A$270,0)),"Not Mapped"))</f>
        <v>Not Mapped</v>
      </c>
      <c r="E321" s="41" t="n">
        <v>7381</v>
      </c>
      <c r="F321" s="41" t="n">
        <v>54</v>
      </c>
      <c r="G321" s="41" t="n">
        <v>3858</v>
      </c>
      <c r="H321" s="41" t="n">
        <v>3459</v>
      </c>
      <c r="I321" s="41" t="n">
        <v>0</v>
      </c>
      <c r="J321" s="41" t="n">
        <v>0</v>
      </c>
      <c r="K321" s="41" t="n">
        <v>10</v>
      </c>
      <c r="L321" s="41" t="n">
        <v>3469</v>
      </c>
    </row>
    <row r="322" customFormat="false" ht="15.75" hidden="false" customHeight="false" outlineLevel="0" collapsed="false">
      <c r="B322" s="39" t="s">
        <v>485</v>
      </c>
      <c r="C322" s="40" t="str">
        <f aca="false">IF(B322="","",IFERROR(INDEX('CLM &amp; IM Mapping'!$B$2:$B$270,MATCH(TRIM(B322),'CLM &amp; IM Mapping'!$A$2:$A$270,0)),"Not Mapped"))</f>
        <v>Not Mapped</v>
      </c>
      <c r="D322" s="40" t="str">
        <f aca="false">IF(B322="","",IFERROR(INDEX('CLM &amp; IM Mapping'!$C$2:$C$270,MATCH(TRIM(B322),'CLM &amp; IM Mapping'!$A$2:$A$270,0)),"Not Mapped"))</f>
        <v>Not Mapped</v>
      </c>
      <c r="E322" s="41" t="n">
        <v>2114</v>
      </c>
      <c r="F322" s="41" t="n">
        <v>0</v>
      </c>
      <c r="G322" s="41" t="n">
        <v>0</v>
      </c>
      <c r="H322" s="41" t="n">
        <v>4</v>
      </c>
      <c r="I322" s="41" t="n">
        <v>11</v>
      </c>
      <c r="J322" s="41" t="n">
        <v>1326</v>
      </c>
      <c r="K322" s="41" t="n">
        <v>773</v>
      </c>
      <c r="L322" s="41" t="n">
        <v>2114</v>
      </c>
    </row>
    <row r="323" customFormat="false" ht="15.75" hidden="false" customHeight="false" outlineLevel="0" collapsed="false">
      <c r="B323" s="39" t="s">
        <v>486</v>
      </c>
      <c r="C323" s="40" t="str">
        <f aca="false">IF(B323="","",IFERROR(INDEX('CLM &amp; IM Mapping'!$B$2:$B$270,MATCH(TRIM(B323),'CLM &amp; IM Mapping'!$A$2:$A$270,0)),"Not Mapped"))</f>
        <v>Not Mapped</v>
      </c>
      <c r="D323" s="40" t="str">
        <f aca="false">IF(B323="","",IFERROR(INDEX('CLM &amp; IM Mapping'!$C$2:$C$270,MATCH(TRIM(B323),'CLM &amp; IM Mapping'!$A$2:$A$270,0)),"Not Mapped"))</f>
        <v>Not Mapped</v>
      </c>
      <c r="E323" s="41" t="n">
        <v>757</v>
      </c>
      <c r="F323" s="41" t="n">
        <v>20</v>
      </c>
      <c r="G323" s="41" t="n">
        <v>34</v>
      </c>
      <c r="H323" s="41" t="n">
        <v>703</v>
      </c>
      <c r="I323" s="41" t="n">
        <v>0</v>
      </c>
      <c r="J323" s="41" t="n">
        <v>0</v>
      </c>
      <c r="K323" s="41" t="n">
        <v>0</v>
      </c>
      <c r="L323" s="41" t="n">
        <v>703</v>
      </c>
    </row>
    <row r="324" customFormat="false" ht="15.75" hidden="false" customHeight="false" outlineLevel="0" collapsed="false">
      <c r="B324" s="39" t="s">
        <v>487</v>
      </c>
      <c r="C324" s="40" t="str">
        <f aca="false">IF(B324="","",IFERROR(INDEX('CLM &amp; IM Mapping'!$B$2:$B$270,MATCH(TRIM(B324),'CLM &amp; IM Mapping'!$A$2:$A$270,0)),"Not Mapped"))</f>
        <v>Not Mapped</v>
      </c>
      <c r="D324" s="40" t="str">
        <f aca="false">IF(B324="","",IFERROR(INDEX('CLM &amp; IM Mapping'!$C$2:$C$270,MATCH(TRIM(B324),'CLM &amp; IM Mapping'!$A$2:$A$270,0)),"Not Mapped"))</f>
        <v>Not Mapped</v>
      </c>
      <c r="E324" s="41" t="n">
        <v>5195</v>
      </c>
      <c r="F324" s="41" t="n">
        <v>0</v>
      </c>
      <c r="G324" s="41" t="n">
        <v>870</v>
      </c>
      <c r="H324" s="41" t="n">
        <v>1909</v>
      </c>
      <c r="I324" s="41" t="n">
        <v>1</v>
      </c>
      <c r="J324" s="41" t="n">
        <v>795</v>
      </c>
      <c r="K324" s="41" t="n">
        <v>1620</v>
      </c>
      <c r="L324" s="41" t="n">
        <v>4325</v>
      </c>
    </row>
    <row r="325" customFormat="false" ht="15.75" hidden="false" customHeight="false" outlineLevel="0" collapsed="false">
      <c r="B325" s="39" t="s">
        <v>488</v>
      </c>
      <c r="C325" s="40" t="str">
        <f aca="false">IF(B325="","",IFERROR(INDEX('CLM &amp; IM Mapping'!$B$2:$B$270,MATCH(TRIM(B325),'CLM &amp; IM Mapping'!$A$2:$A$270,0)),"Not Mapped"))</f>
        <v>Not Mapped</v>
      </c>
      <c r="D325" s="40" t="str">
        <f aca="false">IF(B325="","",IFERROR(INDEX('CLM &amp; IM Mapping'!$C$2:$C$270,MATCH(TRIM(B325),'CLM &amp; IM Mapping'!$A$2:$A$270,0)),"Not Mapped"))</f>
        <v>Not Mapped</v>
      </c>
      <c r="E325" s="41" t="n">
        <v>0</v>
      </c>
      <c r="F325" s="41" t="n">
        <v>0</v>
      </c>
      <c r="G325" s="41" t="n">
        <v>0</v>
      </c>
      <c r="H325" s="41" t="n">
        <v>0</v>
      </c>
      <c r="I325" s="41" t="n">
        <v>0</v>
      </c>
      <c r="J325" s="41" t="n">
        <v>0</v>
      </c>
      <c r="K325" s="41" t="n">
        <v>0</v>
      </c>
      <c r="L325" s="41" t="n">
        <v>0</v>
      </c>
    </row>
    <row r="326" customFormat="false" ht="15.75" hidden="false" customHeight="false" outlineLevel="0" collapsed="false">
      <c r="B326" s="39" t="s">
        <v>489</v>
      </c>
      <c r="C326" s="40" t="str">
        <f aca="false">IF(B326="","",IFERROR(INDEX('CLM &amp; IM Mapping'!$B$2:$B$270,MATCH(TRIM(B326),'CLM &amp; IM Mapping'!$A$2:$A$270,0)),"Not Mapped"))</f>
        <v>Not Mapped</v>
      </c>
      <c r="D326" s="40" t="str">
        <f aca="false">IF(B326="","",IFERROR(INDEX('CLM &amp; IM Mapping'!$C$2:$C$270,MATCH(TRIM(B326),'CLM &amp; IM Mapping'!$A$2:$A$270,0)),"Not Mapped"))</f>
        <v>Not Mapped</v>
      </c>
      <c r="E326" s="41" t="n">
        <v>1369</v>
      </c>
      <c r="F326" s="41" t="n">
        <v>895</v>
      </c>
      <c r="G326" s="41" t="n">
        <v>0</v>
      </c>
      <c r="H326" s="41" t="n">
        <v>450</v>
      </c>
      <c r="I326" s="41" t="n">
        <v>0</v>
      </c>
      <c r="J326" s="41" t="n">
        <v>24</v>
      </c>
      <c r="K326" s="41" t="n">
        <v>0</v>
      </c>
      <c r="L326" s="41" t="n">
        <v>474</v>
      </c>
    </row>
    <row r="327" customFormat="false" ht="15.75" hidden="false" customHeight="false" outlineLevel="0" collapsed="false">
      <c r="B327" s="39" t="s">
        <v>490</v>
      </c>
      <c r="C327" s="40" t="str">
        <f aca="false">IF(B327="","",IFERROR(INDEX('CLM &amp; IM Mapping'!$B$2:$B$270,MATCH(TRIM(B327),'CLM &amp; IM Mapping'!$A$2:$A$270,0)),"Not Mapped"))</f>
        <v>Not Mapped</v>
      </c>
      <c r="D327" s="40" t="str">
        <f aca="false">IF(B327="","",IFERROR(INDEX('CLM &amp; IM Mapping'!$C$2:$C$270,MATCH(TRIM(B327),'CLM &amp; IM Mapping'!$A$2:$A$270,0)),"Not Mapped"))</f>
        <v>Not Mapped</v>
      </c>
      <c r="E327" s="41" t="n">
        <v>4785</v>
      </c>
      <c r="F327" s="41" t="n">
        <v>1359</v>
      </c>
      <c r="G327" s="41" t="n">
        <v>3426</v>
      </c>
      <c r="H327" s="41" t="n">
        <v>0</v>
      </c>
      <c r="I327" s="41" t="n">
        <v>0</v>
      </c>
      <c r="J327" s="41" t="n">
        <v>0</v>
      </c>
      <c r="K327" s="41" t="n">
        <v>0</v>
      </c>
      <c r="L327" s="41" t="n">
        <v>0</v>
      </c>
    </row>
    <row r="328" customFormat="false" ht="15.75" hidden="false" customHeight="false" outlineLevel="0" collapsed="false">
      <c r="B328" s="39" t="s">
        <v>491</v>
      </c>
      <c r="C328" s="40" t="str">
        <f aca="false">IF(B328="","",IFERROR(INDEX('CLM &amp; IM Mapping'!$B$2:$B$270,MATCH(TRIM(B328),'CLM &amp; IM Mapping'!$A$2:$A$270,0)),"Not Mapped"))</f>
        <v>Not Mapped</v>
      </c>
      <c r="D328" s="40" t="str">
        <f aca="false">IF(B328="","",IFERROR(INDEX('CLM &amp; IM Mapping'!$C$2:$C$270,MATCH(TRIM(B328),'CLM &amp; IM Mapping'!$A$2:$A$270,0)),"Not Mapped"))</f>
        <v>Not Mapped</v>
      </c>
      <c r="E328" s="41" t="n">
        <v>147</v>
      </c>
      <c r="F328" s="41" t="n">
        <v>147</v>
      </c>
      <c r="G328" s="41" t="n">
        <v>0</v>
      </c>
      <c r="H328" s="41" t="n">
        <v>0</v>
      </c>
      <c r="I328" s="41" t="n">
        <v>0</v>
      </c>
      <c r="J328" s="41" t="n">
        <v>0</v>
      </c>
      <c r="K328" s="41" t="n">
        <v>0</v>
      </c>
      <c r="L328" s="41" t="n">
        <v>0</v>
      </c>
    </row>
    <row r="329" customFormat="false" ht="15.75" hidden="false" customHeight="false" outlineLevel="0" collapsed="false">
      <c r="B329" s="39" t="s">
        <v>492</v>
      </c>
      <c r="C329" s="40" t="str">
        <f aca="false">IF(B329="","",IFERROR(INDEX('CLM &amp; IM Mapping'!$B$2:$B$270,MATCH(TRIM(B329),'CLM &amp; IM Mapping'!$A$2:$A$270,0)),"Not Mapped"))</f>
        <v>Not Mapped</v>
      </c>
      <c r="D329" s="40" t="str">
        <f aca="false">IF(B329="","",IFERROR(INDEX('CLM &amp; IM Mapping'!$C$2:$C$270,MATCH(TRIM(B329),'CLM &amp; IM Mapping'!$A$2:$A$270,0)),"Not Mapped"))</f>
        <v>Not Mapped</v>
      </c>
      <c r="E329" s="41" t="n">
        <v>0</v>
      </c>
      <c r="F329" s="41" t="n">
        <v>0</v>
      </c>
      <c r="G329" s="41" t="n">
        <v>0</v>
      </c>
      <c r="H329" s="41" t="n">
        <v>0</v>
      </c>
      <c r="I329" s="41" t="n">
        <v>0</v>
      </c>
      <c r="J329" s="41" t="n">
        <v>0</v>
      </c>
      <c r="K329" s="41" t="n">
        <v>0</v>
      </c>
      <c r="L329" s="41" t="n">
        <v>0</v>
      </c>
    </row>
    <row r="330" customFormat="false" ht="15.75" hidden="false" customHeight="false" outlineLevel="0" collapsed="false">
      <c r="B330" s="39" t="s">
        <v>493</v>
      </c>
      <c r="C330" s="40" t="str">
        <f aca="false">IF(B330="","",IFERROR(INDEX('CLM &amp; IM Mapping'!$B$2:$B$270,MATCH(TRIM(B330),'CLM &amp; IM Mapping'!$A$2:$A$270,0)),"Not Mapped"))</f>
        <v>Not Mapped</v>
      </c>
      <c r="D330" s="40" t="str">
        <f aca="false">IF(B330="","",IFERROR(INDEX('CLM &amp; IM Mapping'!$C$2:$C$270,MATCH(TRIM(B330),'CLM &amp; IM Mapping'!$A$2:$A$270,0)),"Not Mapped"))</f>
        <v>Not Mapped</v>
      </c>
      <c r="E330" s="41" t="n">
        <v>138</v>
      </c>
      <c r="F330" s="41" t="n">
        <v>0</v>
      </c>
      <c r="G330" s="41" t="n">
        <v>0</v>
      </c>
      <c r="H330" s="41" t="n">
        <v>138</v>
      </c>
      <c r="I330" s="41" t="n">
        <v>0</v>
      </c>
      <c r="J330" s="41" t="n">
        <v>0</v>
      </c>
      <c r="K330" s="41" t="n">
        <v>0</v>
      </c>
      <c r="L330" s="41" t="n">
        <v>138</v>
      </c>
    </row>
    <row r="331" customFormat="false" ht="15.75" hidden="false" customHeight="false" outlineLevel="0" collapsed="false">
      <c r="B331" s="39" t="s">
        <v>494</v>
      </c>
      <c r="C331" s="40" t="str">
        <f aca="false">IF(B331="","",IFERROR(INDEX('CLM &amp; IM Mapping'!$B$2:$B$270,MATCH(TRIM(B331),'CLM &amp; IM Mapping'!$A$2:$A$270,0)),"Not Mapped"))</f>
        <v>Not Mapped</v>
      </c>
      <c r="D331" s="40" t="str">
        <f aca="false">IF(B331="","",IFERROR(INDEX('CLM &amp; IM Mapping'!$C$2:$C$270,MATCH(TRIM(B331),'CLM &amp; IM Mapping'!$A$2:$A$270,0)),"Not Mapped"))</f>
        <v>Not Mapped</v>
      </c>
      <c r="E331" s="41" t="n">
        <v>1051</v>
      </c>
      <c r="F331" s="41" t="n">
        <v>0</v>
      </c>
      <c r="G331" s="41" t="n">
        <v>0</v>
      </c>
      <c r="H331" s="41" t="n">
        <v>1051</v>
      </c>
      <c r="I331" s="41" t="n">
        <v>0</v>
      </c>
      <c r="J331" s="41" t="n">
        <v>0</v>
      </c>
      <c r="K331" s="41" t="n">
        <v>0</v>
      </c>
      <c r="L331" s="41" t="n">
        <v>1051</v>
      </c>
    </row>
    <row r="332" customFormat="false" ht="15.75" hidden="false" customHeight="false" outlineLevel="0" collapsed="false">
      <c r="B332" s="39" t="s">
        <v>495</v>
      </c>
      <c r="C332" s="40" t="str">
        <f aca="false">IF(B332="","",IFERROR(INDEX('CLM &amp; IM Mapping'!$B$2:$B$270,MATCH(TRIM(B332),'CLM &amp; IM Mapping'!$A$2:$A$270,0)),"Not Mapped"))</f>
        <v>Not Mapped</v>
      </c>
      <c r="D332" s="40" t="str">
        <f aca="false">IF(B332="","",IFERROR(INDEX('CLM &amp; IM Mapping'!$C$2:$C$270,MATCH(TRIM(B332),'CLM &amp; IM Mapping'!$A$2:$A$270,0)),"Not Mapped"))</f>
        <v>Not Mapped</v>
      </c>
      <c r="E332" s="41" t="n">
        <v>1740</v>
      </c>
      <c r="F332" s="41" t="n">
        <v>0</v>
      </c>
      <c r="G332" s="41" t="n">
        <v>55</v>
      </c>
      <c r="H332" s="41" t="n">
        <v>738</v>
      </c>
      <c r="I332" s="41" t="n">
        <v>0</v>
      </c>
      <c r="J332" s="41" t="n">
        <v>175</v>
      </c>
      <c r="K332" s="41" t="n">
        <v>772</v>
      </c>
      <c r="L332" s="41" t="n">
        <v>1685</v>
      </c>
    </row>
    <row r="333" customFormat="false" ht="15.75" hidden="false" customHeight="false" outlineLevel="0" collapsed="false">
      <c r="B333" s="39" t="s">
        <v>496</v>
      </c>
      <c r="C333" s="40" t="str">
        <f aca="false">IF(B333="","",IFERROR(INDEX('CLM &amp; IM Mapping'!$B$2:$B$270,MATCH(TRIM(B333),'CLM &amp; IM Mapping'!$A$2:$A$270,0)),"Not Mapped"))</f>
        <v>Not Mapped</v>
      </c>
      <c r="D333" s="40" t="str">
        <f aca="false">IF(B333="","",IFERROR(INDEX('CLM &amp; IM Mapping'!$C$2:$C$270,MATCH(TRIM(B333),'CLM &amp; IM Mapping'!$A$2:$A$270,0)),"Not Mapped"))</f>
        <v>Not Mapped</v>
      </c>
      <c r="E333" s="41" t="n">
        <v>2</v>
      </c>
      <c r="F333" s="41" t="n">
        <v>2</v>
      </c>
      <c r="G333" s="41" t="n">
        <v>0</v>
      </c>
      <c r="H333" s="41" t="n">
        <v>0</v>
      </c>
      <c r="I333" s="41" t="n">
        <v>0</v>
      </c>
      <c r="J333" s="41" t="n">
        <v>0</v>
      </c>
      <c r="K333" s="41" t="n">
        <v>0</v>
      </c>
      <c r="L333" s="41" t="n">
        <v>0</v>
      </c>
    </row>
    <row r="334" customFormat="false" ht="15.75" hidden="false" customHeight="false" outlineLevel="0" collapsed="false">
      <c r="B334" s="39" t="s">
        <v>497</v>
      </c>
      <c r="C334" s="40" t="str">
        <f aca="false">IF(B334="","",IFERROR(INDEX('CLM &amp; IM Mapping'!$B$2:$B$270,MATCH(TRIM(B334),'CLM &amp; IM Mapping'!$A$2:$A$270,0)),"Not Mapped"))</f>
        <v>Not Mapped</v>
      </c>
      <c r="D334" s="40" t="str">
        <f aca="false">IF(B334="","",IFERROR(INDEX('CLM &amp; IM Mapping'!$C$2:$C$270,MATCH(TRIM(B334),'CLM &amp; IM Mapping'!$A$2:$A$270,0)),"Not Mapped"))</f>
        <v>Not Mapped</v>
      </c>
      <c r="E334" s="41" t="n">
        <v>5054</v>
      </c>
      <c r="F334" s="41" t="n">
        <v>1472</v>
      </c>
      <c r="G334" s="41" t="n">
        <v>3582</v>
      </c>
      <c r="H334" s="41" t="n">
        <v>0</v>
      </c>
      <c r="I334" s="41" t="n">
        <v>0</v>
      </c>
      <c r="J334" s="41" t="n">
        <v>0</v>
      </c>
      <c r="K334" s="41" t="n">
        <v>0</v>
      </c>
      <c r="L334" s="41" t="n">
        <v>0</v>
      </c>
    </row>
    <row r="335" customFormat="false" ht="15.75" hidden="false" customHeight="false" outlineLevel="0" collapsed="false">
      <c r="B335" s="39" t="s">
        <v>498</v>
      </c>
      <c r="C335" s="40" t="str">
        <f aca="false">IF(B335="","",IFERROR(INDEX('CLM &amp; IM Mapping'!$B$2:$B$270,MATCH(TRIM(B335),'CLM &amp; IM Mapping'!$A$2:$A$270,0)),"Not Mapped"))</f>
        <v>Not Mapped</v>
      </c>
      <c r="D335" s="40" t="str">
        <f aca="false">IF(B335="","",IFERROR(INDEX('CLM &amp; IM Mapping'!$C$2:$C$270,MATCH(TRIM(B335),'CLM &amp; IM Mapping'!$A$2:$A$270,0)),"Not Mapped"))</f>
        <v>Not Mapped</v>
      </c>
      <c r="E335" s="41" t="n">
        <v>9530</v>
      </c>
      <c r="F335" s="41" t="n">
        <v>9530</v>
      </c>
      <c r="G335" s="41" t="n">
        <v>0</v>
      </c>
      <c r="H335" s="41" t="n">
        <v>0</v>
      </c>
      <c r="I335" s="41" t="n">
        <v>0</v>
      </c>
      <c r="J335" s="41" t="n">
        <v>0</v>
      </c>
      <c r="K335" s="41" t="n">
        <v>0</v>
      </c>
      <c r="L335" s="41" t="n">
        <v>0</v>
      </c>
    </row>
    <row r="336" customFormat="false" ht="15.75" hidden="false" customHeight="false" outlineLevel="0" collapsed="false">
      <c r="B336" s="39" t="s">
        <v>499</v>
      </c>
      <c r="C336" s="40" t="str">
        <f aca="false">IF(B336="","",IFERROR(INDEX('CLM &amp; IM Mapping'!$B$2:$B$270,MATCH(TRIM(B336),'CLM &amp; IM Mapping'!$A$2:$A$270,0)),"Not Mapped"))</f>
        <v>Not Mapped</v>
      </c>
      <c r="D336" s="40" t="str">
        <f aca="false">IF(B336="","",IFERROR(INDEX('CLM &amp; IM Mapping'!$C$2:$C$270,MATCH(TRIM(B336),'CLM &amp; IM Mapping'!$A$2:$A$270,0)),"Not Mapped"))</f>
        <v>Not Mapped</v>
      </c>
      <c r="E336" s="41" t="n">
        <v>0</v>
      </c>
      <c r="F336" s="41" t="n">
        <v>0</v>
      </c>
      <c r="G336" s="41" t="n">
        <v>0</v>
      </c>
      <c r="H336" s="41" t="n">
        <v>0</v>
      </c>
      <c r="I336" s="41" t="n">
        <v>0</v>
      </c>
      <c r="J336" s="41" t="n">
        <v>0</v>
      </c>
      <c r="K336" s="41" t="n">
        <v>0</v>
      </c>
      <c r="L336" s="41" t="n">
        <v>0</v>
      </c>
    </row>
    <row r="337" customFormat="false" ht="15.75" hidden="false" customHeight="false" outlineLevel="0" collapsed="false">
      <c r="B337" s="39" t="s">
        <v>500</v>
      </c>
      <c r="C337" s="40" t="str">
        <f aca="false">IF(B337="","",IFERROR(INDEX('CLM &amp; IM Mapping'!$B$2:$B$270,MATCH(TRIM(B337),'CLM &amp; IM Mapping'!$A$2:$A$270,0)),"Not Mapped"))</f>
        <v>Not Mapped</v>
      </c>
      <c r="D337" s="40" t="str">
        <f aca="false">IF(B337="","",IFERROR(INDEX('CLM &amp; IM Mapping'!$C$2:$C$270,MATCH(TRIM(B337),'CLM &amp; IM Mapping'!$A$2:$A$270,0)),"Not Mapped"))</f>
        <v>Not Mapped</v>
      </c>
      <c r="E337" s="41" t="n">
        <v>417</v>
      </c>
      <c r="F337" s="41" t="n">
        <v>16</v>
      </c>
      <c r="G337" s="41" t="n">
        <v>0</v>
      </c>
      <c r="H337" s="41" t="n">
        <v>123</v>
      </c>
      <c r="I337" s="41" t="n">
        <v>0</v>
      </c>
      <c r="J337" s="41" t="n">
        <v>4</v>
      </c>
      <c r="K337" s="41" t="n">
        <v>274</v>
      </c>
      <c r="L337" s="41" t="n">
        <v>401</v>
      </c>
    </row>
    <row r="338" customFormat="false" ht="15.75" hidden="false" customHeight="false" outlineLevel="0" collapsed="false">
      <c r="B338" s="39" t="s">
        <v>501</v>
      </c>
      <c r="C338" s="40" t="str">
        <f aca="false">IF(B338="","",IFERROR(INDEX('CLM &amp; IM Mapping'!$B$2:$B$270,MATCH(TRIM(B338),'CLM &amp; IM Mapping'!$A$2:$A$270,0)),"Not Mapped"))</f>
        <v>Not Mapped</v>
      </c>
      <c r="D338" s="40" t="str">
        <f aca="false">IF(B338="","",IFERROR(INDEX('CLM &amp; IM Mapping'!$C$2:$C$270,MATCH(TRIM(B338),'CLM &amp; IM Mapping'!$A$2:$A$270,0)),"Not Mapped"))</f>
        <v>Not Mapped</v>
      </c>
      <c r="E338" s="41" t="n">
        <v>0</v>
      </c>
      <c r="F338" s="41" t="n">
        <v>0</v>
      </c>
      <c r="G338" s="41" t="n">
        <v>0</v>
      </c>
      <c r="H338" s="41" t="n">
        <v>0</v>
      </c>
      <c r="I338" s="41" t="n">
        <v>0</v>
      </c>
      <c r="J338" s="41" t="n">
        <v>0</v>
      </c>
      <c r="K338" s="41" t="n">
        <v>0</v>
      </c>
      <c r="L338" s="41" t="n">
        <v>0</v>
      </c>
    </row>
    <row r="339" customFormat="false" ht="15.75" hidden="false" customHeight="false" outlineLevel="0" collapsed="false">
      <c r="B339" s="39" t="s">
        <v>502</v>
      </c>
      <c r="C339" s="40" t="str">
        <f aca="false">IF(B339="","",IFERROR(INDEX('CLM &amp; IM Mapping'!$B$2:$B$270,MATCH(TRIM(B339),'CLM &amp; IM Mapping'!$A$2:$A$270,0)),"Not Mapped"))</f>
        <v>Not Mapped</v>
      </c>
      <c r="D339" s="40" t="str">
        <f aca="false">IF(B339="","",IFERROR(INDEX('CLM &amp; IM Mapping'!$C$2:$C$270,MATCH(TRIM(B339),'CLM &amp; IM Mapping'!$A$2:$A$270,0)),"Not Mapped"))</f>
        <v>Not Mapped</v>
      </c>
      <c r="E339" s="41" t="n">
        <v>0</v>
      </c>
      <c r="F339" s="41" t="n">
        <v>0</v>
      </c>
      <c r="G339" s="41" t="n">
        <v>0</v>
      </c>
      <c r="H339" s="41" t="n">
        <v>0</v>
      </c>
      <c r="I339" s="41" t="n">
        <v>0</v>
      </c>
      <c r="J339" s="41" t="n">
        <v>0</v>
      </c>
      <c r="K339" s="41" t="n">
        <v>0</v>
      </c>
      <c r="L339" s="41" t="n">
        <v>0</v>
      </c>
    </row>
    <row r="340" customFormat="false" ht="15.75" hidden="false" customHeight="false" outlineLevel="0" collapsed="false">
      <c r="B340" s="23" t="s">
        <v>503</v>
      </c>
      <c r="C340" s="44" t="str">
        <f aca="false">IF(B340="","",IFERROR(INDEX('CLM &amp; IM Mapping'!$B$2:$B$270,MATCH(TRIM(B340),'CLM &amp; IM Mapping'!$A$2:$A$270,0)),"Not Mapped"))</f>
        <v>Not Mapped</v>
      </c>
      <c r="D340" s="44" t="str">
        <f aca="false">IF(B340="","",IFERROR(INDEX('CLM &amp; IM Mapping'!$C$2:$C$270,MATCH(TRIM(B340),'CLM &amp; IM Mapping'!$A$2:$A$270,0)),"Not Mapped"))</f>
        <v>Not Mapped</v>
      </c>
      <c r="E340" s="41" t="n">
        <v>0</v>
      </c>
      <c r="F340" s="41" t="n">
        <v>0</v>
      </c>
      <c r="G340" s="41" t="n">
        <v>0</v>
      </c>
      <c r="H340" s="41" t="n">
        <v>0</v>
      </c>
      <c r="I340" s="41" t="n">
        <v>0</v>
      </c>
      <c r="J340" s="41" t="n">
        <v>0</v>
      </c>
      <c r="K340" s="41" t="n">
        <v>0</v>
      </c>
      <c r="L340" s="41" t="n">
        <v>0</v>
      </c>
    </row>
    <row r="341" customFormat="false" ht="15.75" hidden="false" customHeight="false" outlineLevel="0" collapsed="false">
      <c r="B341" s="39" t="s">
        <v>504</v>
      </c>
      <c r="C341" s="40" t="str">
        <f aca="false">IF(B341="","",IFERROR(INDEX('CLM &amp; IM Mapping'!$B$2:$B$270,MATCH(TRIM(B341),'CLM &amp; IM Mapping'!$A$2:$A$270,0)),"Not Mapped"))</f>
        <v>Not Mapped</v>
      </c>
      <c r="D341" s="40" t="str">
        <f aca="false">IF(B341="","",IFERROR(INDEX('CLM &amp; IM Mapping'!$C$2:$C$270,MATCH(TRIM(B341),'CLM &amp; IM Mapping'!$A$2:$A$270,0)),"Not Mapped"))</f>
        <v>Not Mapped</v>
      </c>
      <c r="E341" s="41" t="n">
        <v>120</v>
      </c>
      <c r="F341" s="41" t="n">
        <v>0</v>
      </c>
      <c r="G341" s="41" t="n">
        <v>0</v>
      </c>
      <c r="H341" s="41" t="n">
        <v>0</v>
      </c>
      <c r="I341" s="41" t="n">
        <v>0</v>
      </c>
      <c r="J341" s="41" t="n">
        <v>5</v>
      </c>
      <c r="K341" s="41" t="n">
        <v>115</v>
      </c>
      <c r="L341" s="41" t="n">
        <v>120</v>
      </c>
    </row>
    <row r="342" customFormat="false" ht="15.75" hidden="false" customHeight="false" outlineLevel="0" collapsed="false">
      <c r="B342" s="39" t="s">
        <v>505</v>
      </c>
      <c r="C342" s="40" t="str">
        <f aca="false">IF(B342="","",IFERROR(INDEX('CLM &amp; IM Mapping'!$B$2:$B$270,MATCH(TRIM(B342),'CLM &amp; IM Mapping'!$A$2:$A$270,0)),"Not Mapped"))</f>
        <v>Not Mapped</v>
      </c>
      <c r="D342" s="40" t="str">
        <f aca="false">IF(B342="","",IFERROR(INDEX('CLM &amp; IM Mapping'!$C$2:$C$270,MATCH(TRIM(B342),'CLM &amp; IM Mapping'!$A$2:$A$270,0)),"Not Mapped"))</f>
        <v>Not Mapped</v>
      </c>
      <c r="E342" s="41" t="n">
        <v>6778</v>
      </c>
      <c r="F342" s="41" t="n">
        <v>0</v>
      </c>
      <c r="G342" s="41" t="n">
        <v>5086</v>
      </c>
      <c r="H342" s="41" t="n">
        <v>0</v>
      </c>
      <c r="I342" s="41" t="n">
        <v>0</v>
      </c>
      <c r="J342" s="41" t="n">
        <v>515</v>
      </c>
      <c r="K342" s="41" t="n">
        <v>1177</v>
      </c>
      <c r="L342" s="41" t="n">
        <v>1692</v>
      </c>
    </row>
    <row r="343" customFormat="false" ht="15.75" hidden="false" customHeight="false" outlineLevel="0" collapsed="false">
      <c r="B343" s="39" t="s">
        <v>506</v>
      </c>
      <c r="C343" s="40" t="str">
        <f aca="false">IF(B343="","",IFERROR(INDEX('CLM &amp; IM Mapping'!$B$2:$B$270,MATCH(TRIM(B343),'CLM &amp; IM Mapping'!$A$2:$A$270,0)),"Not Mapped"))</f>
        <v>Not Mapped</v>
      </c>
      <c r="D343" s="40" t="str">
        <f aca="false">IF(B343="","",IFERROR(INDEX('CLM &amp; IM Mapping'!$C$2:$C$270,MATCH(TRIM(B343),'CLM &amp; IM Mapping'!$A$2:$A$270,0)),"Not Mapped"))</f>
        <v>Not Mapped</v>
      </c>
      <c r="E343" s="41" t="n">
        <v>0</v>
      </c>
      <c r="F343" s="41" t="n">
        <v>0</v>
      </c>
      <c r="G343" s="41" t="n">
        <v>0</v>
      </c>
      <c r="H343" s="41" t="n">
        <v>0</v>
      </c>
      <c r="I343" s="41" t="n">
        <v>0</v>
      </c>
      <c r="J343" s="41" t="n">
        <v>0</v>
      </c>
      <c r="K343" s="41" t="n">
        <v>0</v>
      </c>
      <c r="L343" s="41" t="n">
        <v>0</v>
      </c>
    </row>
    <row r="344" customFormat="false" ht="15.75" hidden="false" customHeight="false" outlineLevel="0" collapsed="false">
      <c r="B344" s="39" t="s">
        <v>507</v>
      </c>
      <c r="C344" s="40" t="str">
        <f aca="false">IF(B344="","",IFERROR(INDEX('CLM &amp; IM Mapping'!$B$2:$B$270,MATCH(TRIM(B344),'CLM &amp; IM Mapping'!$A$2:$A$270,0)),"Not Mapped"))</f>
        <v>Not Mapped</v>
      </c>
      <c r="D344" s="40" t="str">
        <f aca="false">IF(B344="","",IFERROR(INDEX('CLM &amp; IM Mapping'!$C$2:$C$270,MATCH(TRIM(B344),'CLM &amp; IM Mapping'!$A$2:$A$270,0)),"Not Mapped"))</f>
        <v>Not Mapped</v>
      </c>
      <c r="E344" s="41" t="n">
        <v>4551</v>
      </c>
      <c r="F344" s="41" t="n">
        <v>79</v>
      </c>
      <c r="G344" s="41" t="n">
        <v>4472</v>
      </c>
      <c r="H344" s="41" t="n">
        <v>0</v>
      </c>
      <c r="I344" s="41" t="n">
        <v>0</v>
      </c>
      <c r="J344" s="41" t="n">
        <v>0</v>
      </c>
      <c r="K344" s="41" t="n">
        <v>0</v>
      </c>
      <c r="L344" s="41" t="n">
        <v>0</v>
      </c>
    </row>
    <row r="345" customFormat="false" ht="15.75" hidden="false" customHeight="false" outlineLevel="0" collapsed="false">
      <c r="B345" s="39" t="s">
        <v>508</v>
      </c>
      <c r="C345" s="40" t="str">
        <f aca="false">IF(B345="","",IFERROR(INDEX('CLM &amp; IM Mapping'!$B$2:$B$270,MATCH(TRIM(B345),'CLM &amp; IM Mapping'!$A$2:$A$270,0)),"Not Mapped"))</f>
        <v>Not Mapped</v>
      </c>
      <c r="D345" s="40" t="str">
        <f aca="false">IF(B345="","",IFERROR(INDEX('CLM &amp; IM Mapping'!$C$2:$C$270,MATCH(TRIM(B345),'CLM &amp; IM Mapping'!$A$2:$A$270,0)),"Not Mapped"))</f>
        <v>Not Mapped</v>
      </c>
      <c r="E345" s="41" t="n">
        <v>0</v>
      </c>
      <c r="F345" s="41" t="n">
        <v>0</v>
      </c>
      <c r="G345" s="41" t="n">
        <v>0</v>
      </c>
      <c r="H345" s="41" t="n">
        <v>0</v>
      </c>
      <c r="I345" s="41" t="n">
        <v>0</v>
      </c>
      <c r="J345" s="41" t="n">
        <v>0</v>
      </c>
      <c r="K345" s="41" t="n">
        <v>0</v>
      </c>
      <c r="L345" s="41" t="n">
        <v>0</v>
      </c>
    </row>
    <row r="346" customFormat="false" ht="15.75" hidden="false" customHeight="false" outlineLevel="0" collapsed="false">
      <c r="B346" s="39" t="s">
        <v>509</v>
      </c>
      <c r="C346" s="40" t="str">
        <f aca="false">IF(B346="","",IFERROR(INDEX('CLM &amp; IM Mapping'!$B$2:$B$270,MATCH(TRIM(B346),'CLM &amp; IM Mapping'!$A$2:$A$270,0)),"Not Mapped"))</f>
        <v>Not Mapped</v>
      </c>
      <c r="D346" s="40" t="str">
        <f aca="false">IF(B346="","",IFERROR(INDEX('CLM &amp; IM Mapping'!$C$2:$C$270,MATCH(TRIM(B346),'CLM &amp; IM Mapping'!$A$2:$A$270,0)),"Not Mapped"))</f>
        <v>Not Mapped</v>
      </c>
      <c r="E346" s="41" t="n">
        <v>159</v>
      </c>
      <c r="F346" s="41" t="n">
        <v>0</v>
      </c>
      <c r="G346" s="41" t="n">
        <v>0</v>
      </c>
      <c r="H346" s="41" t="n">
        <v>0</v>
      </c>
      <c r="I346" s="41" t="n">
        <v>0</v>
      </c>
      <c r="J346" s="41" t="n">
        <v>43</v>
      </c>
      <c r="K346" s="41" t="n">
        <v>116</v>
      </c>
      <c r="L346" s="41" t="n">
        <v>159</v>
      </c>
    </row>
    <row r="347" customFormat="false" ht="15.75" hidden="false" customHeight="false" outlineLevel="0" collapsed="false">
      <c r="B347" s="39" t="s">
        <v>510</v>
      </c>
      <c r="C347" s="40" t="str">
        <f aca="false">IF(B347="","",IFERROR(INDEX('CLM &amp; IM Mapping'!$B$2:$B$270,MATCH(TRIM(B347),'CLM &amp; IM Mapping'!$A$2:$A$270,0)),"Not Mapped"))</f>
        <v>Not Mapped</v>
      </c>
      <c r="D347" s="40" t="str">
        <f aca="false">IF(B347="","",IFERROR(INDEX('CLM &amp; IM Mapping'!$C$2:$C$270,MATCH(TRIM(B347),'CLM &amp; IM Mapping'!$A$2:$A$270,0)),"Not Mapped"))</f>
        <v>Not Mapped</v>
      </c>
      <c r="E347" s="41" t="n">
        <v>78</v>
      </c>
      <c r="F347" s="41" t="n">
        <v>0</v>
      </c>
      <c r="G347" s="41" t="n">
        <v>0</v>
      </c>
      <c r="H347" s="41" t="n">
        <v>78</v>
      </c>
      <c r="I347" s="41" t="n">
        <v>0</v>
      </c>
      <c r="J347" s="41" t="n">
        <v>0</v>
      </c>
      <c r="K347" s="41" t="n">
        <v>0</v>
      </c>
      <c r="L347" s="41" t="n">
        <v>78</v>
      </c>
    </row>
    <row r="348" customFormat="false" ht="15.75" hidden="false" customHeight="false" outlineLevel="0" collapsed="false">
      <c r="B348" s="39" t="s">
        <v>511</v>
      </c>
      <c r="C348" s="40" t="str">
        <f aca="false">IF(B348="","",IFERROR(INDEX('CLM &amp; IM Mapping'!$B$2:$B$270,MATCH(TRIM(B348),'CLM &amp; IM Mapping'!$A$2:$A$270,0)),"Not Mapped"))</f>
        <v>Not Mapped</v>
      </c>
      <c r="D348" s="40" t="str">
        <f aca="false">IF(B348="","",IFERROR(INDEX('CLM &amp; IM Mapping'!$C$2:$C$270,MATCH(TRIM(B348),'CLM &amp; IM Mapping'!$A$2:$A$270,0)),"Not Mapped"))</f>
        <v>Not Mapped</v>
      </c>
      <c r="E348" s="41" t="n">
        <v>0</v>
      </c>
      <c r="F348" s="41" t="n">
        <v>0</v>
      </c>
      <c r="G348" s="41" t="n">
        <v>0</v>
      </c>
      <c r="H348" s="41" t="n">
        <v>0</v>
      </c>
      <c r="I348" s="41" t="n">
        <v>0</v>
      </c>
      <c r="J348" s="41" t="n">
        <v>0</v>
      </c>
      <c r="K348" s="41" t="n">
        <v>0</v>
      </c>
      <c r="L348" s="41" t="n">
        <v>0</v>
      </c>
    </row>
    <row r="349" customFormat="false" ht="15.75" hidden="false" customHeight="false" outlineLevel="0" collapsed="false">
      <c r="B349" s="39" t="s">
        <v>512</v>
      </c>
      <c r="C349" s="40" t="str">
        <f aca="false">IF(B349="","",IFERROR(INDEX('CLM &amp; IM Mapping'!$B$2:$B$270,MATCH(TRIM(B349),'CLM &amp; IM Mapping'!$A$2:$A$270,0)),"Not Mapped"))</f>
        <v>Not Mapped</v>
      </c>
      <c r="D349" s="40" t="str">
        <f aca="false">IF(B349="","",IFERROR(INDEX('CLM &amp; IM Mapping'!$C$2:$C$270,MATCH(TRIM(B349),'CLM &amp; IM Mapping'!$A$2:$A$270,0)),"Not Mapped"))</f>
        <v>Not Mapped</v>
      </c>
      <c r="E349" s="41" t="n">
        <v>0</v>
      </c>
      <c r="F349" s="41" t="n">
        <v>0</v>
      </c>
      <c r="G349" s="41" t="n">
        <v>0</v>
      </c>
      <c r="H349" s="41" t="n">
        <v>0</v>
      </c>
      <c r="I349" s="41" t="n">
        <v>0</v>
      </c>
      <c r="J349" s="41" t="n">
        <v>0</v>
      </c>
      <c r="K349" s="41" t="n">
        <v>0</v>
      </c>
      <c r="L349" s="41" t="n">
        <v>0</v>
      </c>
    </row>
    <row r="350" customFormat="false" ht="15.75" hidden="false" customHeight="false" outlineLevel="0" collapsed="false">
      <c r="B350" s="39" t="s">
        <v>513</v>
      </c>
      <c r="C350" s="40" t="str">
        <f aca="false">IF(B350="","",IFERROR(INDEX('CLM &amp; IM Mapping'!$B$2:$B$270,MATCH(TRIM(B350),'CLM &amp; IM Mapping'!$A$2:$A$270,0)),"Not Mapped"))</f>
        <v>Not Mapped</v>
      </c>
      <c r="D350" s="40" t="str">
        <f aca="false">IF(B350="","",IFERROR(INDEX('CLM &amp; IM Mapping'!$C$2:$C$270,MATCH(TRIM(B350),'CLM &amp; IM Mapping'!$A$2:$A$270,0)),"Not Mapped"))</f>
        <v>Not Mapped</v>
      </c>
      <c r="E350" s="41" t="n">
        <v>994</v>
      </c>
      <c r="F350" s="41" t="n">
        <v>0</v>
      </c>
      <c r="G350" s="41" t="n">
        <v>0</v>
      </c>
      <c r="H350" s="41" t="n">
        <v>994</v>
      </c>
      <c r="I350" s="41" t="n">
        <v>0</v>
      </c>
      <c r="J350" s="41" t="n">
        <v>0</v>
      </c>
      <c r="K350" s="41" t="n">
        <v>0</v>
      </c>
      <c r="L350" s="41" t="n">
        <v>0</v>
      </c>
    </row>
    <row r="351" customFormat="false" ht="15.75" hidden="false" customHeight="false" outlineLevel="0" collapsed="false">
      <c r="B351" s="39" t="s">
        <v>514</v>
      </c>
      <c r="C351" s="40" t="str">
        <f aca="false">IF(B351="","",IFERROR(INDEX('CLM &amp; IM Mapping'!$B$2:$B$270,MATCH(TRIM(B351),'CLM &amp; IM Mapping'!$A$2:$A$270,0)),"Not Mapped"))</f>
        <v>Not Mapped</v>
      </c>
      <c r="D351" s="40" t="str">
        <f aca="false">IF(B351="","",IFERROR(INDEX('CLM &amp; IM Mapping'!$C$2:$C$270,MATCH(TRIM(B351),'CLM &amp; IM Mapping'!$A$2:$A$270,0)),"Not Mapped"))</f>
        <v>Not Mapped</v>
      </c>
      <c r="E351" s="41" t="n">
        <v>2732</v>
      </c>
      <c r="F351" s="41" t="n">
        <v>2615</v>
      </c>
      <c r="G351" s="41" t="n">
        <v>117</v>
      </c>
      <c r="H351" s="41" t="n">
        <v>0</v>
      </c>
      <c r="I351" s="41" t="n">
        <v>0</v>
      </c>
      <c r="J351" s="41" t="n">
        <v>0</v>
      </c>
      <c r="K351" s="41" t="n">
        <v>0</v>
      </c>
      <c r="L351" s="41" t="n">
        <v>0</v>
      </c>
    </row>
    <row r="352" customFormat="false" ht="15.75" hidden="false" customHeight="false" outlineLevel="0" collapsed="false">
      <c r="B352" s="39" t="s">
        <v>515</v>
      </c>
      <c r="C352" s="40" t="str">
        <f aca="false">IF(B352="","",IFERROR(INDEX('CLM &amp; IM Mapping'!$B$2:$B$270,MATCH(TRIM(B352),'CLM &amp; IM Mapping'!$A$2:$A$270,0)),"Not Mapped"))</f>
        <v>Not Mapped</v>
      </c>
      <c r="D352" s="40" t="str">
        <f aca="false">IF(B352="","",IFERROR(INDEX('CLM &amp; IM Mapping'!$C$2:$C$270,MATCH(TRIM(B352),'CLM &amp; IM Mapping'!$A$2:$A$270,0)),"Not Mapped"))</f>
        <v>Not Mapped</v>
      </c>
      <c r="E352" s="41" t="n">
        <v>0</v>
      </c>
      <c r="F352" s="41" t="n">
        <v>0</v>
      </c>
      <c r="G352" s="41" t="n">
        <v>0</v>
      </c>
      <c r="H352" s="41" t="n">
        <v>0</v>
      </c>
      <c r="I352" s="41" t="n">
        <v>0</v>
      </c>
      <c r="J352" s="41" t="n">
        <v>0</v>
      </c>
      <c r="K352" s="41" t="n">
        <v>0</v>
      </c>
      <c r="L352" s="41" t="n">
        <v>0</v>
      </c>
    </row>
    <row r="353" customFormat="false" ht="15.75" hidden="false" customHeight="false" outlineLevel="0" collapsed="false">
      <c r="B353" s="39" t="s">
        <v>516</v>
      </c>
      <c r="C353" s="40" t="str">
        <f aca="false">IF(B353="","",IFERROR(INDEX('CLM &amp; IM Mapping'!$B$2:$B$270,MATCH(TRIM(B353),'CLM &amp; IM Mapping'!$A$2:$A$270,0)),"Not Mapped"))</f>
        <v>Not Mapped</v>
      </c>
      <c r="D353" s="40" t="str">
        <f aca="false">IF(B353="","",IFERROR(INDEX('CLM &amp; IM Mapping'!$C$2:$C$270,MATCH(TRIM(B353),'CLM &amp; IM Mapping'!$A$2:$A$270,0)),"Not Mapped"))</f>
        <v>Not Mapped</v>
      </c>
      <c r="E353" s="41" t="n">
        <v>2002</v>
      </c>
      <c r="F353" s="41" t="n">
        <v>109</v>
      </c>
      <c r="G353" s="41" t="n">
        <v>1893</v>
      </c>
      <c r="H353" s="41" t="n">
        <v>0</v>
      </c>
      <c r="I353" s="41" t="n">
        <v>0</v>
      </c>
      <c r="J353" s="41" t="n">
        <v>0</v>
      </c>
      <c r="K353" s="41" t="n">
        <v>0</v>
      </c>
      <c r="L353" s="41" t="n">
        <v>0</v>
      </c>
    </row>
    <row r="354" customFormat="false" ht="15.75" hidden="false" customHeight="false" outlineLevel="0" collapsed="false">
      <c r="B354" s="39" t="s">
        <v>517</v>
      </c>
      <c r="C354" s="40" t="str">
        <f aca="false">IF(B354="","",IFERROR(INDEX('CLM &amp; IM Mapping'!$B$2:$B$270,MATCH(TRIM(B354),'CLM &amp; IM Mapping'!$A$2:$A$270,0)),"Not Mapped"))</f>
        <v>Not Mapped</v>
      </c>
      <c r="D354" s="40" t="str">
        <f aca="false">IF(B354="","",IFERROR(INDEX('CLM &amp; IM Mapping'!$C$2:$C$270,MATCH(TRIM(B354),'CLM &amp; IM Mapping'!$A$2:$A$270,0)),"Not Mapped"))</f>
        <v>Not Mapped</v>
      </c>
      <c r="E354" s="41" t="n">
        <v>2216</v>
      </c>
      <c r="F354" s="41" t="n">
        <v>197</v>
      </c>
      <c r="G354" s="41" t="n">
        <v>0</v>
      </c>
      <c r="H354" s="41" t="n">
        <v>2019</v>
      </c>
      <c r="I354" s="41" t="n">
        <v>0</v>
      </c>
      <c r="J354" s="41" t="n">
        <v>0</v>
      </c>
      <c r="K354" s="41" t="n">
        <v>0</v>
      </c>
      <c r="L354" s="41" t="n">
        <v>2019</v>
      </c>
    </row>
    <row r="355" customFormat="false" ht="15.75" hidden="false" customHeight="false" outlineLevel="0" collapsed="false">
      <c r="B355" s="39" t="s">
        <v>518</v>
      </c>
      <c r="C355" s="40" t="str">
        <f aca="false">IF(B355="","",IFERROR(INDEX('CLM &amp; IM Mapping'!$B$2:$B$270,MATCH(TRIM(B355),'CLM &amp; IM Mapping'!$A$2:$A$270,0)),"Not Mapped"))</f>
        <v>Not Mapped</v>
      </c>
      <c r="D355" s="40" t="str">
        <f aca="false">IF(B355="","",IFERROR(INDEX('CLM &amp; IM Mapping'!$C$2:$C$270,MATCH(TRIM(B355),'CLM &amp; IM Mapping'!$A$2:$A$270,0)),"Not Mapped"))</f>
        <v>Not Mapped</v>
      </c>
      <c r="E355" s="41" t="n">
        <v>558</v>
      </c>
      <c r="F355" s="41" t="n">
        <v>0</v>
      </c>
      <c r="G355" s="41" t="n">
        <v>0</v>
      </c>
      <c r="H355" s="41" t="n">
        <v>0</v>
      </c>
      <c r="I355" s="41" t="n">
        <v>0</v>
      </c>
      <c r="J355" s="41" t="n">
        <v>0</v>
      </c>
      <c r="K355" s="41" t="n">
        <v>558</v>
      </c>
      <c r="L355" s="41" t="n">
        <v>558</v>
      </c>
    </row>
    <row r="356" customFormat="false" ht="15.75" hidden="false" customHeight="false" outlineLevel="0" collapsed="false">
      <c r="B356" s="39" t="s">
        <v>519</v>
      </c>
      <c r="C356" s="40" t="str">
        <f aca="false">IF(B356="","",IFERROR(INDEX('CLM &amp; IM Mapping'!$B$2:$B$270,MATCH(TRIM(B356),'CLM &amp; IM Mapping'!$A$2:$A$270,0)),"Not Mapped"))</f>
        <v>Not Mapped</v>
      </c>
      <c r="D356" s="40" t="str">
        <f aca="false">IF(B356="","",IFERROR(INDEX('CLM &amp; IM Mapping'!$C$2:$C$270,MATCH(TRIM(B356),'CLM &amp; IM Mapping'!$A$2:$A$270,0)),"Not Mapped"))</f>
        <v>Not Mapped</v>
      </c>
      <c r="E356" s="41" t="n">
        <v>99</v>
      </c>
      <c r="F356" s="41" t="n">
        <v>99</v>
      </c>
      <c r="G356" s="41" t="n">
        <v>0</v>
      </c>
      <c r="H356" s="41" t="n">
        <v>0</v>
      </c>
      <c r="I356" s="41" t="n">
        <v>0</v>
      </c>
      <c r="J356" s="41" t="n">
        <v>0</v>
      </c>
      <c r="K356" s="41" t="n">
        <v>0</v>
      </c>
      <c r="L356" s="41" t="n">
        <v>0</v>
      </c>
    </row>
    <row r="357" customFormat="false" ht="15.75" hidden="false" customHeight="false" outlineLevel="0" collapsed="false">
      <c r="B357" s="39" t="s">
        <v>520</v>
      </c>
      <c r="C357" s="40" t="str">
        <f aca="false">IF(B357="","",IFERROR(INDEX('CLM &amp; IM Mapping'!$B$2:$B$270,MATCH(TRIM(B357),'CLM &amp; IM Mapping'!$A$2:$A$270,0)),"Not Mapped"))</f>
        <v>Not Mapped</v>
      </c>
      <c r="D357" s="40" t="str">
        <f aca="false">IF(B357="","",IFERROR(INDEX('CLM &amp; IM Mapping'!$C$2:$C$270,MATCH(TRIM(B357),'CLM &amp; IM Mapping'!$A$2:$A$270,0)),"Not Mapped"))</f>
        <v>Not Mapped</v>
      </c>
      <c r="E357" s="41" t="n">
        <v>5429</v>
      </c>
      <c r="F357" s="41" t="n">
        <v>2219</v>
      </c>
      <c r="G357" s="41" t="n">
        <v>576</v>
      </c>
      <c r="H357" s="41" t="n">
        <v>2519</v>
      </c>
      <c r="I357" s="41" t="n">
        <v>0</v>
      </c>
      <c r="J357" s="41" t="n">
        <v>115</v>
      </c>
      <c r="K357" s="41" t="n">
        <v>0</v>
      </c>
      <c r="L357" s="41" t="n">
        <v>2634</v>
      </c>
    </row>
    <row r="358" customFormat="false" ht="15.75" hidden="false" customHeight="false" outlineLevel="0" collapsed="false">
      <c r="B358" s="39" t="s">
        <v>521</v>
      </c>
      <c r="C358" s="40" t="str">
        <f aca="false">IF(B358="","",IFERROR(INDEX('CLM &amp; IM Mapping'!$B$2:$B$270,MATCH(TRIM(B358),'CLM &amp; IM Mapping'!$A$2:$A$270,0)),"Not Mapped"))</f>
        <v>Not Mapped</v>
      </c>
      <c r="D358" s="40" t="str">
        <f aca="false">IF(B358="","",IFERROR(INDEX('CLM &amp; IM Mapping'!$C$2:$C$270,MATCH(TRIM(B358),'CLM &amp; IM Mapping'!$A$2:$A$270,0)),"Not Mapped"))</f>
        <v>Not Mapped</v>
      </c>
      <c r="E358" s="41" t="n">
        <v>6922</v>
      </c>
      <c r="F358" s="41" t="n">
        <v>4973</v>
      </c>
      <c r="G358" s="41" t="n">
        <v>1859</v>
      </c>
      <c r="H358" s="41" t="n">
        <v>0</v>
      </c>
      <c r="I358" s="41" t="n">
        <v>20</v>
      </c>
      <c r="J358" s="41" t="n">
        <v>0</v>
      </c>
      <c r="K358" s="41" t="n">
        <v>70</v>
      </c>
      <c r="L358" s="41" t="n">
        <v>90</v>
      </c>
    </row>
    <row r="359" customFormat="false" ht="15.75" hidden="false" customHeight="false" outlineLevel="0" collapsed="false">
      <c r="B359" s="39" t="s">
        <v>522</v>
      </c>
      <c r="C359" s="40" t="str">
        <f aca="false">IF(B359="","",IFERROR(INDEX('CLM &amp; IM Mapping'!$B$2:$B$270,MATCH(TRIM(B359),'CLM &amp; IM Mapping'!$A$2:$A$270,0)),"Not Mapped"))</f>
        <v>Not Mapped</v>
      </c>
      <c r="D359" s="40" t="str">
        <f aca="false">IF(B359="","",IFERROR(INDEX('CLM &amp; IM Mapping'!$C$2:$C$270,MATCH(TRIM(B359),'CLM &amp; IM Mapping'!$A$2:$A$270,0)),"Not Mapped"))</f>
        <v>Not Mapped</v>
      </c>
      <c r="E359" s="41" t="n">
        <v>1495</v>
      </c>
      <c r="F359" s="41" t="n">
        <v>307</v>
      </c>
      <c r="G359" s="41" t="n">
        <v>1188</v>
      </c>
      <c r="H359" s="41" t="n">
        <v>0</v>
      </c>
      <c r="I359" s="41" t="n">
        <v>0</v>
      </c>
      <c r="J359" s="41" t="n">
        <v>0</v>
      </c>
      <c r="K359" s="41" t="n">
        <v>0</v>
      </c>
      <c r="L359" s="41" t="n">
        <v>0</v>
      </c>
    </row>
    <row r="360" customFormat="false" ht="15.75" hidden="false" customHeight="false" outlineLevel="0" collapsed="false">
      <c r="B360" s="39" t="s">
        <v>523</v>
      </c>
      <c r="C360" s="40" t="str">
        <f aca="false">IF(B360="","",IFERROR(INDEX('CLM &amp; IM Mapping'!$B$2:$B$270,MATCH(TRIM(B360),'CLM &amp; IM Mapping'!$A$2:$A$270,0)),"Not Mapped"))</f>
        <v>Not Mapped</v>
      </c>
      <c r="D360" s="40" t="str">
        <f aca="false">IF(B360="","",IFERROR(INDEX('CLM &amp; IM Mapping'!$C$2:$C$270,MATCH(TRIM(B360),'CLM &amp; IM Mapping'!$A$2:$A$270,0)),"Not Mapped"))</f>
        <v>Not Mapped</v>
      </c>
      <c r="E360" s="41" t="n">
        <v>5022</v>
      </c>
      <c r="F360" s="41" t="n">
        <v>18</v>
      </c>
      <c r="G360" s="41" t="n">
        <v>4937</v>
      </c>
      <c r="H360" s="41" t="n">
        <v>0</v>
      </c>
      <c r="I360" s="41" t="n">
        <v>39</v>
      </c>
      <c r="J360" s="41" t="n">
        <v>0</v>
      </c>
      <c r="K360" s="41" t="n">
        <v>28</v>
      </c>
      <c r="L360" s="41" t="n">
        <v>67</v>
      </c>
    </row>
    <row r="361" customFormat="false" ht="15.75" hidden="false" customHeight="false" outlineLevel="0" collapsed="false">
      <c r="B361" s="39" t="s">
        <v>524</v>
      </c>
      <c r="C361" s="40" t="str">
        <f aca="false">IF(B361="","",IFERROR(INDEX('CLM &amp; IM Mapping'!$B$2:$B$270,MATCH(TRIM(B361),'CLM &amp; IM Mapping'!$A$2:$A$270,0)),"Not Mapped"))</f>
        <v>Not Mapped</v>
      </c>
      <c r="D361" s="40" t="str">
        <f aca="false">IF(B361="","",IFERROR(INDEX('CLM &amp; IM Mapping'!$C$2:$C$270,MATCH(TRIM(B361),'CLM &amp; IM Mapping'!$A$2:$A$270,0)),"Not Mapped"))</f>
        <v>Not Mapped</v>
      </c>
      <c r="E361" s="41" t="n">
        <v>5654</v>
      </c>
      <c r="F361" s="41" t="n">
        <v>0</v>
      </c>
      <c r="G361" s="41" t="n">
        <v>0</v>
      </c>
      <c r="H361" s="41" t="n">
        <v>0</v>
      </c>
      <c r="I361" s="41" t="n">
        <v>0</v>
      </c>
      <c r="J361" s="41" t="n">
        <v>3381</v>
      </c>
      <c r="K361" s="41" t="n">
        <v>2273</v>
      </c>
      <c r="L361" s="41" t="n">
        <v>5654</v>
      </c>
    </row>
    <row r="362" customFormat="false" ht="15.75" hidden="false" customHeight="false" outlineLevel="0" collapsed="false">
      <c r="B362" s="39" t="s">
        <v>525</v>
      </c>
      <c r="C362" s="40" t="str">
        <f aca="false">IF(B362="","",IFERROR(INDEX('CLM &amp; IM Mapping'!$B$2:$B$270,MATCH(TRIM(B362),'CLM &amp; IM Mapping'!$A$2:$A$270,0)),"Not Mapped"))</f>
        <v>Not Mapped</v>
      </c>
      <c r="D362" s="40" t="str">
        <f aca="false">IF(B362="","",IFERROR(INDEX('CLM &amp; IM Mapping'!$C$2:$C$270,MATCH(TRIM(B362),'CLM &amp; IM Mapping'!$A$2:$A$270,0)),"Not Mapped"))</f>
        <v>Not Mapped</v>
      </c>
      <c r="E362" s="41" t="n">
        <v>67</v>
      </c>
      <c r="F362" s="41" t="n">
        <v>0</v>
      </c>
      <c r="G362" s="41" t="n">
        <v>0</v>
      </c>
      <c r="H362" s="41" t="n">
        <v>0</v>
      </c>
      <c r="I362" s="41" t="n">
        <v>0</v>
      </c>
      <c r="J362" s="41" t="n">
        <v>34</v>
      </c>
      <c r="K362" s="41" t="n">
        <v>33</v>
      </c>
      <c r="L362" s="41" t="n">
        <v>67</v>
      </c>
    </row>
    <row r="363" customFormat="false" ht="15.75" hidden="false" customHeight="false" outlineLevel="0" collapsed="false">
      <c r="B363" s="39" t="s">
        <v>526</v>
      </c>
      <c r="C363" s="40" t="str">
        <f aca="false">IF(B363="","",IFERROR(INDEX('CLM &amp; IM Mapping'!$B$2:$B$270,MATCH(TRIM(B363),'CLM &amp; IM Mapping'!$A$2:$A$270,0)),"Not Mapped"))</f>
        <v>Not Mapped</v>
      </c>
      <c r="D363" s="40" t="str">
        <f aca="false">IF(B363="","",IFERROR(INDEX('CLM &amp; IM Mapping'!$C$2:$C$270,MATCH(TRIM(B363),'CLM &amp; IM Mapping'!$A$2:$A$270,0)),"Not Mapped"))</f>
        <v>Not Mapped</v>
      </c>
      <c r="E363" s="41" t="n">
        <v>0</v>
      </c>
      <c r="F363" s="41" t="n">
        <v>0</v>
      </c>
      <c r="G363" s="41" t="n">
        <v>0</v>
      </c>
      <c r="H363" s="41" t="n">
        <v>0</v>
      </c>
      <c r="I363" s="41" t="n">
        <v>0</v>
      </c>
      <c r="J363" s="41" t="n">
        <v>0</v>
      </c>
      <c r="K363" s="41" t="n">
        <v>0</v>
      </c>
      <c r="L363" s="41" t="n">
        <v>0</v>
      </c>
    </row>
    <row r="364" customFormat="false" ht="15.75" hidden="false" customHeight="false" outlineLevel="0" collapsed="false">
      <c r="B364" s="39" t="s">
        <v>527</v>
      </c>
      <c r="C364" s="40" t="str">
        <f aca="false">IF(B364="","",IFERROR(INDEX('CLM &amp; IM Mapping'!$B$2:$B$270,MATCH(TRIM(B364),'CLM &amp; IM Mapping'!$A$2:$A$270,0)),"Not Mapped"))</f>
        <v>Not Mapped</v>
      </c>
      <c r="D364" s="40" t="str">
        <f aca="false">IF(B364="","",IFERROR(INDEX('CLM &amp; IM Mapping'!$C$2:$C$270,MATCH(TRIM(B364),'CLM &amp; IM Mapping'!$A$2:$A$270,0)),"Not Mapped"))</f>
        <v>Not Mapped</v>
      </c>
      <c r="E364" s="41" t="n">
        <v>0</v>
      </c>
      <c r="F364" s="41" t="n">
        <v>0</v>
      </c>
      <c r="G364" s="41" t="n">
        <v>0</v>
      </c>
      <c r="H364" s="41" t="n">
        <v>0</v>
      </c>
      <c r="I364" s="41" t="n">
        <v>0</v>
      </c>
      <c r="J364" s="41" t="n">
        <v>0</v>
      </c>
      <c r="K364" s="41" t="n">
        <v>0</v>
      </c>
      <c r="L364" s="41" t="n">
        <v>0</v>
      </c>
    </row>
    <row r="365" customFormat="false" ht="15.75" hidden="false" customHeight="false" outlineLevel="0" collapsed="false">
      <c r="B365" s="39" t="s">
        <v>528</v>
      </c>
      <c r="C365" s="40" t="str">
        <f aca="false">IF(B365="","",IFERROR(INDEX('CLM &amp; IM Mapping'!$B$2:$B$270,MATCH(TRIM(B365),'CLM &amp; IM Mapping'!$A$2:$A$270,0)),"Not Mapped"))</f>
        <v>Not Mapped</v>
      </c>
      <c r="D365" s="40" t="str">
        <f aca="false">IF(B365="","",IFERROR(INDEX('CLM &amp; IM Mapping'!$C$2:$C$270,MATCH(TRIM(B365),'CLM &amp; IM Mapping'!$A$2:$A$270,0)),"Not Mapped"))</f>
        <v>Not Mapped</v>
      </c>
      <c r="E365" s="41" t="n">
        <v>30</v>
      </c>
      <c r="F365" s="41" t="n">
        <v>0</v>
      </c>
      <c r="G365" s="41" t="n">
        <v>0</v>
      </c>
      <c r="H365" s="41" t="n">
        <v>4</v>
      </c>
      <c r="I365" s="41" t="n">
        <v>1</v>
      </c>
      <c r="J365" s="41" t="n">
        <v>2</v>
      </c>
      <c r="K365" s="41" t="n">
        <v>23</v>
      </c>
      <c r="L365" s="41" t="n">
        <v>30</v>
      </c>
    </row>
    <row r="366" customFormat="false" ht="15.75" hidden="false" customHeight="false" outlineLevel="0" collapsed="false">
      <c r="B366" s="39" t="s">
        <v>529</v>
      </c>
      <c r="C366" s="40" t="str">
        <f aca="false">IF(B366="","",IFERROR(INDEX('CLM &amp; IM Mapping'!$B$2:$B$270,MATCH(TRIM(B366),'CLM &amp; IM Mapping'!$A$2:$A$270,0)),"Not Mapped"))</f>
        <v>Not Mapped</v>
      </c>
      <c r="D366" s="40" t="str">
        <f aca="false">IF(B366="","",IFERROR(INDEX('CLM &amp; IM Mapping'!$C$2:$C$270,MATCH(TRIM(B366),'CLM &amp; IM Mapping'!$A$2:$A$270,0)),"Not Mapped"))</f>
        <v>Not Mapped</v>
      </c>
      <c r="E366" s="41" t="n">
        <v>6689</v>
      </c>
      <c r="F366" s="41" t="n">
        <v>243</v>
      </c>
      <c r="G366" s="41" t="n">
        <v>2192</v>
      </c>
      <c r="H366" s="41" t="n">
        <v>0</v>
      </c>
      <c r="I366" s="41" t="n">
        <v>3284</v>
      </c>
      <c r="J366" s="41" t="n">
        <v>0</v>
      </c>
      <c r="K366" s="41" t="n">
        <v>970</v>
      </c>
      <c r="L366" s="41" t="n">
        <v>4254</v>
      </c>
    </row>
    <row r="367" customFormat="false" ht="15.75" hidden="false" customHeight="false" outlineLevel="0" collapsed="false">
      <c r="B367" s="23" t="s">
        <v>530</v>
      </c>
      <c r="C367" s="44" t="str">
        <f aca="false">IF(B367="","",IFERROR(INDEX('CLM &amp; IM Mapping'!$B$2:$B$270,MATCH(TRIM(B367),'CLM &amp; IM Mapping'!$A$2:$A$270,0)),"Not Mapped"))</f>
        <v>Not Mapped</v>
      </c>
      <c r="D367" s="44" t="str">
        <f aca="false">IF(B367="","",IFERROR(INDEX('CLM &amp; IM Mapping'!$C$2:$C$270,MATCH(TRIM(B367),'CLM &amp; IM Mapping'!$A$2:$A$270,0)),"Not Mapped"))</f>
        <v>Not Mapped</v>
      </c>
      <c r="E367" s="41" t="n">
        <v>3976</v>
      </c>
      <c r="F367" s="41" t="n">
        <v>70</v>
      </c>
      <c r="G367" s="41" t="n">
        <v>3872</v>
      </c>
      <c r="H367" s="41" t="n">
        <v>0</v>
      </c>
      <c r="I367" s="41" t="n">
        <v>34</v>
      </c>
      <c r="J367" s="41" t="n">
        <v>0</v>
      </c>
      <c r="K367" s="41" t="n">
        <v>0</v>
      </c>
      <c r="L367" s="41" t="n">
        <v>34</v>
      </c>
    </row>
    <row r="368" customFormat="false" ht="15.75" hidden="false" customHeight="false" outlineLevel="0" collapsed="false">
      <c r="B368" s="39" t="s">
        <v>531</v>
      </c>
      <c r="C368" s="40" t="str">
        <f aca="false">IF(B368="","",IFERROR(INDEX('CLM &amp; IM Mapping'!$B$2:$B$270,MATCH(TRIM(B368),'CLM &amp; IM Mapping'!$A$2:$A$270,0)),"Not Mapped"))</f>
        <v>Not Mapped</v>
      </c>
      <c r="D368" s="40" t="str">
        <f aca="false">IF(B368="","",IFERROR(INDEX('CLM &amp; IM Mapping'!$C$2:$C$270,MATCH(TRIM(B368),'CLM &amp; IM Mapping'!$A$2:$A$270,0)),"Not Mapped"))</f>
        <v>Not Mapped</v>
      </c>
      <c r="E368" s="41" t="n">
        <v>0</v>
      </c>
      <c r="F368" s="41" t="n">
        <v>0</v>
      </c>
      <c r="G368" s="41" t="n">
        <v>0</v>
      </c>
      <c r="H368" s="41" t="n">
        <v>0</v>
      </c>
      <c r="I368" s="41" t="n">
        <v>0</v>
      </c>
      <c r="J368" s="41" t="n">
        <v>0</v>
      </c>
      <c r="K368" s="41" t="n">
        <v>0</v>
      </c>
      <c r="L368" s="41" t="n">
        <v>0</v>
      </c>
    </row>
    <row r="369" customFormat="false" ht="15.75" hidden="false" customHeight="false" outlineLevel="0" collapsed="false">
      <c r="B369" s="39" t="s">
        <v>532</v>
      </c>
      <c r="C369" s="40" t="str">
        <f aca="false">IF(B369="","",IFERROR(INDEX('CLM &amp; IM Mapping'!$B$2:$B$270,MATCH(TRIM(B369),'CLM &amp; IM Mapping'!$A$2:$A$270,0)),"Not Mapped"))</f>
        <v>Not Mapped</v>
      </c>
      <c r="D369" s="40" t="str">
        <f aca="false">IF(B369="","",IFERROR(INDEX('CLM &amp; IM Mapping'!$C$2:$C$270,MATCH(TRIM(B369),'CLM &amp; IM Mapping'!$A$2:$A$270,0)),"Not Mapped"))</f>
        <v>Not Mapped</v>
      </c>
      <c r="E369" s="41" t="n">
        <v>1231</v>
      </c>
      <c r="F369" s="41" t="n">
        <v>881</v>
      </c>
      <c r="G369" s="41" t="n">
        <v>290</v>
      </c>
      <c r="H369" s="41" t="n">
        <v>0</v>
      </c>
      <c r="I369" s="41" t="n">
        <v>60</v>
      </c>
      <c r="J369" s="41" t="n">
        <v>0</v>
      </c>
      <c r="K369" s="41" t="n">
        <v>0</v>
      </c>
      <c r="L369" s="41" t="n">
        <v>60</v>
      </c>
    </row>
    <row r="370" customFormat="false" ht="15.75" hidden="false" customHeight="false" outlineLevel="0" collapsed="false">
      <c r="B370" s="39" t="s">
        <v>533</v>
      </c>
      <c r="C370" s="40" t="str">
        <f aca="false">IF(B370="","",IFERROR(INDEX('CLM &amp; IM Mapping'!$B$2:$B$270,MATCH(TRIM(B370),'CLM &amp; IM Mapping'!$A$2:$A$270,0)),"Not Mapped"))</f>
        <v>Not Mapped</v>
      </c>
      <c r="D370" s="40" t="str">
        <f aca="false">IF(B370="","",IFERROR(INDEX('CLM &amp; IM Mapping'!$C$2:$C$270,MATCH(TRIM(B370),'CLM &amp; IM Mapping'!$A$2:$A$270,0)),"Not Mapped"))</f>
        <v>Not Mapped</v>
      </c>
      <c r="E370" s="41" t="n">
        <v>2722</v>
      </c>
      <c r="F370" s="41" t="n">
        <v>0</v>
      </c>
      <c r="G370" s="41" t="n">
        <v>0</v>
      </c>
      <c r="H370" s="41" t="n">
        <v>2722</v>
      </c>
      <c r="I370" s="41" t="n">
        <v>0</v>
      </c>
      <c r="J370" s="41" t="n">
        <v>0</v>
      </c>
      <c r="K370" s="41" t="n">
        <v>0</v>
      </c>
      <c r="L370" s="41" t="n">
        <v>2722</v>
      </c>
    </row>
    <row r="371" customFormat="false" ht="15.75" hidden="false" customHeight="false" outlineLevel="0" collapsed="false">
      <c r="B371" s="39" t="s">
        <v>534</v>
      </c>
      <c r="C371" s="40" t="str">
        <f aca="false">IF(B371="","",IFERROR(INDEX('CLM &amp; IM Mapping'!$B$2:$B$270,MATCH(TRIM(B371),'CLM &amp; IM Mapping'!$A$2:$A$270,0)),"Not Mapped"))</f>
        <v>Not Mapped</v>
      </c>
      <c r="D371" s="40" t="str">
        <f aca="false">IF(B371="","",IFERROR(INDEX('CLM &amp; IM Mapping'!$C$2:$C$270,MATCH(TRIM(B371),'CLM &amp; IM Mapping'!$A$2:$A$270,0)),"Not Mapped"))</f>
        <v>Not Mapped</v>
      </c>
      <c r="E371" s="41" t="n">
        <v>333</v>
      </c>
      <c r="F371" s="41" t="n">
        <v>0</v>
      </c>
      <c r="G371" s="41" t="n">
        <v>0</v>
      </c>
      <c r="H371" s="41" t="n">
        <v>333</v>
      </c>
      <c r="I371" s="41" t="n">
        <v>0</v>
      </c>
      <c r="J371" s="41" t="n">
        <v>0</v>
      </c>
      <c r="K371" s="41" t="n">
        <v>0</v>
      </c>
      <c r="L371" s="41" t="n">
        <v>333</v>
      </c>
    </row>
    <row r="372" customFormat="false" ht="15.75" hidden="false" customHeight="false" outlineLevel="0" collapsed="false">
      <c r="B372" s="39" t="s">
        <v>535</v>
      </c>
      <c r="C372" s="40" t="str">
        <f aca="false">IF(B372="","",IFERROR(INDEX('CLM &amp; IM Mapping'!$B$2:$B$270,MATCH(TRIM(B372),'CLM &amp; IM Mapping'!$A$2:$A$270,0)),"Not Mapped"))</f>
        <v>Not Mapped</v>
      </c>
      <c r="D372" s="40" t="str">
        <f aca="false">IF(B372="","",IFERROR(INDEX('CLM &amp; IM Mapping'!$C$2:$C$270,MATCH(TRIM(B372),'CLM &amp; IM Mapping'!$A$2:$A$270,0)),"Not Mapped"))</f>
        <v>Not Mapped</v>
      </c>
      <c r="E372" s="41" t="n">
        <v>269</v>
      </c>
      <c r="F372" s="41" t="n">
        <v>269</v>
      </c>
      <c r="G372" s="41" t="n">
        <v>0</v>
      </c>
      <c r="H372" s="41" t="n">
        <v>0</v>
      </c>
      <c r="I372" s="41" t="n">
        <v>0</v>
      </c>
      <c r="J372" s="41" t="n">
        <v>0</v>
      </c>
      <c r="K372" s="41" t="n">
        <v>0</v>
      </c>
      <c r="L372" s="41" t="n">
        <v>0</v>
      </c>
    </row>
    <row r="373" customFormat="false" ht="15.75" hidden="false" customHeight="false" outlineLevel="0" collapsed="false">
      <c r="B373" s="39" t="s">
        <v>536</v>
      </c>
      <c r="C373" s="40" t="str">
        <f aca="false">IF(B373="","",IFERROR(INDEX('CLM &amp; IM Mapping'!$B$2:$B$270,MATCH(TRIM(B373),'CLM &amp; IM Mapping'!$A$2:$A$270,0)),"Not Mapped"))</f>
        <v>Not Mapped</v>
      </c>
      <c r="D373" s="40" t="str">
        <f aca="false">IF(B373="","",IFERROR(INDEX('CLM &amp; IM Mapping'!$C$2:$C$270,MATCH(TRIM(B373),'CLM &amp; IM Mapping'!$A$2:$A$270,0)),"Not Mapped"))</f>
        <v>Not Mapped</v>
      </c>
      <c r="E373" s="41" t="n">
        <v>0</v>
      </c>
      <c r="F373" s="41" t="n">
        <v>0</v>
      </c>
      <c r="G373" s="41" t="n">
        <v>0</v>
      </c>
      <c r="H373" s="41" t="n">
        <v>0</v>
      </c>
      <c r="I373" s="41" t="n">
        <v>0</v>
      </c>
      <c r="J373" s="41" t="n">
        <v>0</v>
      </c>
      <c r="K373" s="41" t="n">
        <v>0</v>
      </c>
      <c r="L373" s="41" t="n">
        <v>0</v>
      </c>
    </row>
    <row r="374" customFormat="false" ht="15.75" hidden="false" customHeight="false" outlineLevel="0" collapsed="false">
      <c r="B374" s="39" t="s">
        <v>537</v>
      </c>
      <c r="C374" s="40" t="str">
        <f aca="false">IF(B374="","",IFERROR(INDEX('CLM &amp; IM Mapping'!$B$2:$B$270,MATCH(TRIM(B374),'CLM &amp; IM Mapping'!$A$2:$A$270,0)),"Not Mapped"))</f>
        <v>Not Mapped</v>
      </c>
      <c r="D374" s="40" t="str">
        <f aca="false">IF(B374="","",IFERROR(INDEX('CLM &amp; IM Mapping'!$C$2:$C$270,MATCH(TRIM(B374),'CLM &amp; IM Mapping'!$A$2:$A$270,0)),"Not Mapped"))</f>
        <v>Not Mapped</v>
      </c>
      <c r="E374" s="41" t="n">
        <v>0</v>
      </c>
      <c r="F374" s="41" t="n">
        <v>0</v>
      </c>
      <c r="G374" s="41" t="n">
        <v>0</v>
      </c>
      <c r="H374" s="41" t="n">
        <v>0</v>
      </c>
      <c r="I374" s="41" t="n">
        <v>0</v>
      </c>
      <c r="J374" s="41" t="n">
        <v>0</v>
      </c>
      <c r="K374" s="41" t="n">
        <v>0</v>
      </c>
      <c r="L374" s="41" t="n">
        <v>0</v>
      </c>
    </row>
    <row r="375" customFormat="false" ht="15.75" hidden="false" customHeight="false" outlineLevel="0" collapsed="false">
      <c r="B375" s="39" t="s">
        <v>538</v>
      </c>
      <c r="C375" s="40" t="str">
        <f aca="false">IF(B375="","",IFERROR(INDEX('CLM &amp; IM Mapping'!$B$2:$B$270,MATCH(TRIM(B375),'CLM &amp; IM Mapping'!$A$2:$A$270,0)),"Not Mapped"))</f>
        <v>Not Mapped</v>
      </c>
      <c r="D375" s="40" t="str">
        <f aca="false">IF(B375="","",IFERROR(INDEX('CLM &amp; IM Mapping'!$C$2:$C$270,MATCH(TRIM(B375),'CLM &amp; IM Mapping'!$A$2:$A$270,0)),"Not Mapped"))</f>
        <v>Not Mapped</v>
      </c>
      <c r="E375" s="41" t="n">
        <v>378</v>
      </c>
      <c r="F375" s="41" t="n">
        <v>0</v>
      </c>
      <c r="G375" s="41" t="n">
        <v>378</v>
      </c>
      <c r="H375" s="41" t="n">
        <v>0</v>
      </c>
      <c r="I375" s="41" t="n">
        <v>0</v>
      </c>
      <c r="J375" s="41" t="n">
        <v>0</v>
      </c>
      <c r="K375" s="41" t="n">
        <v>0</v>
      </c>
      <c r="L375" s="41" t="n">
        <v>0</v>
      </c>
    </row>
    <row r="376" customFormat="false" ht="15.75" hidden="false" customHeight="false" outlineLevel="0" collapsed="false">
      <c r="B376" s="39" t="s">
        <v>539</v>
      </c>
      <c r="C376" s="40" t="str">
        <f aca="false">IF(B376="","",IFERROR(INDEX('CLM &amp; IM Mapping'!$B$2:$B$270,MATCH(TRIM(B376),'CLM &amp; IM Mapping'!$A$2:$A$270,0)),"Not Mapped"))</f>
        <v>Not Mapped</v>
      </c>
      <c r="D376" s="40" t="str">
        <f aca="false">IF(B376="","",IFERROR(INDEX('CLM &amp; IM Mapping'!$C$2:$C$270,MATCH(TRIM(B376),'CLM &amp; IM Mapping'!$A$2:$A$270,0)),"Not Mapped"))</f>
        <v>Not Mapped</v>
      </c>
      <c r="E376" s="41" t="n">
        <v>0</v>
      </c>
      <c r="F376" s="41" t="n">
        <v>0</v>
      </c>
      <c r="G376" s="41" t="n">
        <v>0</v>
      </c>
      <c r="H376" s="41" t="n">
        <v>0</v>
      </c>
      <c r="I376" s="41" t="n">
        <v>0</v>
      </c>
      <c r="J376" s="41" t="n">
        <v>0</v>
      </c>
      <c r="K376" s="41" t="n">
        <v>0</v>
      </c>
      <c r="L376" s="41" t="n">
        <v>0</v>
      </c>
    </row>
    <row r="377" customFormat="false" ht="15.75" hidden="false" customHeight="false" outlineLevel="0" collapsed="false">
      <c r="B377" s="39" t="s">
        <v>540</v>
      </c>
      <c r="C377" s="40" t="str">
        <f aca="false">IF(B377="","",IFERROR(INDEX('CLM &amp; IM Mapping'!$B$2:$B$270,MATCH(TRIM(B377),'CLM &amp; IM Mapping'!$A$2:$A$270,0)),"Not Mapped"))</f>
        <v>Not Mapped</v>
      </c>
      <c r="D377" s="40" t="str">
        <f aca="false">IF(B377="","",IFERROR(INDEX('CLM &amp; IM Mapping'!$C$2:$C$270,MATCH(TRIM(B377),'CLM &amp; IM Mapping'!$A$2:$A$270,0)),"Not Mapped"))</f>
        <v>Not Mapped</v>
      </c>
      <c r="E377" s="41" t="n">
        <v>333</v>
      </c>
      <c r="F377" s="41" t="n">
        <v>1</v>
      </c>
      <c r="G377" s="41" t="n">
        <v>0</v>
      </c>
      <c r="H377" s="41" t="n">
        <v>299</v>
      </c>
      <c r="I377" s="41" t="n">
        <v>0</v>
      </c>
      <c r="J377" s="41" t="n">
        <v>33</v>
      </c>
      <c r="K377" s="41" t="n">
        <v>0</v>
      </c>
      <c r="L377" s="41" t="n">
        <v>332</v>
      </c>
    </row>
    <row r="378" customFormat="false" ht="15.75" hidden="false" customHeight="false" outlineLevel="0" collapsed="false">
      <c r="B378" s="39" t="s">
        <v>541</v>
      </c>
      <c r="C378" s="40" t="str">
        <f aca="false">IF(B378="","",IFERROR(INDEX('CLM &amp; IM Mapping'!$B$2:$B$270,MATCH(TRIM(B378),'CLM &amp; IM Mapping'!$A$2:$A$270,0)),"Not Mapped"))</f>
        <v>Not Mapped</v>
      </c>
      <c r="D378" s="40" t="str">
        <f aca="false">IF(B378="","",IFERROR(INDEX('CLM &amp; IM Mapping'!$C$2:$C$270,MATCH(TRIM(B378),'CLM &amp; IM Mapping'!$A$2:$A$270,0)),"Not Mapped"))</f>
        <v>Not Mapped</v>
      </c>
      <c r="E378" s="41" t="n">
        <v>2467</v>
      </c>
      <c r="F378" s="41" t="n">
        <v>287</v>
      </c>
      <c r="G378" s="41" t="n">
        <v>1951</v>
      </c>
      <c r="H378" s="41" t="n">
        <v>0</v>
      </c>
      <c r="I378" s="41" t="n">
        <v>229</v>
      </c>
      <c r="J378" s="41" t="n">
        <v>0</v>
      </c>
      <c r="K378" s="41" t="n">
        <v>0</v>
      </c>
      <c r="L378" s="41" t="n">
        <v>229</v>
      </c>
    </row>
    <row r="379" customFormat="false" ht="15.75" hidden="false" customHeight="false" outlineLevel="0" collapsed="false">
      <c r="B379" s="39" t="s">
        <v>542</v>
      </c>
      <c r="C379" s="40" t="str">
        <f aca="false">IF(B379="","",IFERROR(INDEX('CLM &amp; IM Mapping'!$B$2:$B$270,MATCH(TRIM(B379),'CLM &amp; IM Mapping'!$A$2:$A$270,0)),"Not Mapped"))</f>
        <v>Not Mapped</v>
      </c>
      <c r="D379" s="40" t="str">
        <f aca="false">IF(B379="","",IFERROR(INDEX('CLM &amp; IM Mapping'!$C$2:$C$270,MATCH(TRIM(B379),'CLM &amp; IM Mapping'!$A$2:$A$270,0)),"Not Mapped"))</f>
        <v>Not Mapped</v>
      </c>
      <c r="E379" s="41" t="n">
        <v>839</v>
      </c>
      <c r="F379" s="41" t="n">
        <v>400</v>
      </c>
      <c r="G379" s="41" t="n">
        <v>121</v>
      </c>
      <c r="H379" s="41" t="n">
        <v>302</v>
      </c>
      <c r="I379" s="41" t="n">
        <v>0</v>
      </c>
      <c r="J379" s="41" t="n">
        <v>16</v>
      </c>
      <c r="K379" s="41" t="n">
        <v>0</v>
      </c>
      <c r="L379" s="41" t="n">
        <v>318</v>
      </c>
    </row>
    <row r="380" customFormat="false" ht="15.75" hidden="false" customHeight="false" outlineLevel="0" collapsed="false">
      <c r="B380" s="23" t="s">
        <v>543</v>
      </c>
      <c r="C380" s="44" t="str">
        <f aca="false">IF(B380="","",IFERROR(INDEX('CLM &amp; IM Mapping'!$B$2:$B$270,MATCH(TRIM(B380),'CLM &amp; IM Mapping'!$A$2:$A$270,0)),"Not Mapped"))</f>
        <v>Not Mapped</v>
      </c>
      <c r="D380" s="44" t="str">
        <f aca="false">IF(B380="","",IFERROR(INDEX('CLM &amp; IM Mapping'!$C$2:$C$270,MATCH(TRIM(B380),'CLM &amp; IM Mapping'!$A$2:$A$270,0)),"Not Mapped"))</f>
        <v>Not Mapped</v>
      </c>
      <c r="E380" s="41" t="n">
        <v>0</v>
      </c>
      <c r="F380" s="41" t="n">
        <v>0</v>
      </c>
      <c r="G380" s="41" t="n">
        <v>0</v>
      </c>
      <c r="H380" s="41" t="n">
        <v>0</v>
      </c>
      <c r="I380" s="41" t="n">
        <v>0</v>
      </c>
      <c r="J380" s="41" t="n">
        <v>0</v>
      </c>
      <c r="K380" s="41" t="n">
        <v>0</v>
      </c>
      <c r="L380" s="41" t="n">
        <v>0</v>
      </c>
    </row>
    <row r="381" customFormat="false" ht="15.75" hidden="false" customHeight="false" outlineLevel="0" collapsed="false">
      <c r="B381" s="39" t="s">
        <v>544</v>
      </c>
      <c r="C381" s="40" t="str">
        <f aca="false">IF(B381="","",IFERROR(INDEX('CLM &amp; IM Mapping'!$B$2:$B$270,MATCH(TRIM(B381),'CLM &amp; IM Mapping'!$A$2:$A$270,0)),"Not Mapped"))</f>
        <v>Not Mapped</v>
      </c>
      <c r="D381" s="40" t="str">
        <f aca="false">IF(B381="","",IFERROR(INDEX('CLM &amp; IM Mapping'!$C$2:$C$270,MATCH(TRIM(B381),'CLM &amp; IM Mapping'!$A$2:$A$270,0)),"Not Mapped"))</f>
        <v>Not Mapped</v>
      </c>
      <c r="E381" s="41" t="n">
        <v>0</v>
      </c>
      <c r="F381" s="41" t="n">
        <v>0</v>
      </c>
      <c r="G381" s="41" t="n">
        <v>0</v>
      </c>
      <c r="H381" s="41" t="n">
        <v>0</v>
      </c>
      <c r="I381" s="41" t="n">
        <v>0</v>
      </c>
      <c r="J381" s="41" t="n">
        <v>0</v>
      </c>
      <c r="K381" s="41" t="n">
        <v>0</v>
      </c>
      <c r="L381" s="41" t="n">
        <v>0</v>
      </c>
    </row>
    <row r="382" customFormat="false" ht="15.75" hidden="false" customHeight="false" outlineLevel="0" collapsed="false">
      <c r="B382" s="39" t="s">
        <v>545</v>
      </c>
      <c r="C382" s="40" t="str">
        <f aca="false">IF(B382="","",IFERROR(INDEX('CLM &amp; IM Mapping'!$B$2:$B$270,MATCH(TRIM(B382),'CLM &amp; IM Mapping'!$A$2:$A$270,0)),"Not Mapped"))</f>
        <v>Not Mapped</v>
      </c>
      <c r="D382" s="40" t="str">
        <f aca="false">IF(B382="","",IFERROR(INDEX('CLM &amp; IM Mapping'!$C$2:$C$270,MATCH(TRIM(B382),'CLM &amp; IM Mapping'!$A$2:$A$270,0)),"Not Mapped"))</f>
        <v>Not Mapped</v>
      </c>
      <c r="E382" s="41" t="n">
        <v>0</v>
      </c>
      <c r="F382" s="41" t="n">
        <v>0</v>
      </c>
      <c r="G382" s="41" t="n">
        <v>0</v>
      </c>
      <c r="H382" s="41" t="n">
        <v>0</v>
      </c>
      <c r="I382" s="41" t="n">
        <v>0</v>
      </c>
      <c r="J382" s="41" t="n">
        <v>0</v>
      </c>
      <c r="K382" s="41" t="n">
        <v>0</v>
      </c>
      <c r="L382" s="41" t="n">
        <v>0</v>
      </c>
    </row>
    <row r="383" customFormat="false" ht="15.75" hidden="false" customHeight="false" outlineLevel="0" collapsed="false">
      <c r="B383" s="39" t="s">
        <v>546</v>
      </c>
      <c r="C383" s="40" t="str">
        <f aca="false">IF(B383="","",IFERROR(INDEX('CLM &amp; IM Mapping'!$B$2:$B$270,MATCH(TRIM(B383),'CLM &amp; IM Mapping'!$A$2:$A$270,0)),"Not Mapped"))</f>
        <v>Not Mapped</v>
      </c>
      <c r="D383" s="40" t="str">
        <f aca="false">IF(B383="","",IFERROR(INDEX('CLM &amp; IM Mapping'!$C$2:$C$270,MATCH(TRIM(B383),'CLM &amp; IM Mapping'!$A$2:$A$270,0)),"Not Mapped"))</f>
        <v>Not Mapped</v>
      </c>
      <c r="E383" s="41" t="n">
        <v>0</v>
      </c>
      <c r="F383" s="41" t="n">
        <v>0</v>
      </c>
      <c r="G383" s="41" t="n">
        <v>0</v>
      </c>
      <c r="H383" s="41" t="n">
        <v>0</v>
      </c>
      <c r="I383" s="41" t="n">
        <v>0</v>
      </c>
      <c r="J383" s="41" t="n">
        <v>0</v>
      </c>
      <c r="K383" s="41" t="n">
        <v>0</v>
      </c>
      <c r="L383" s="41" t="n">
        <v>0</v>
      </c>
    </row>
    <row r="384" customFormat="false" ht="15.75" hidden="false" customHeight="false" outlineLevel="0" collapsed="false">
      <c r="B384" s="39" t="s">
        <v>547</v>
      </c>
      <c r="C384" s="40" t="str">
        <f aca="false">IF(B384="","",IFERROR(INDEX('CLM &amp; IM Mapping'!$B$2:$B$270,MATCH(TRIM(B384),'CLM &amp; IM Mapping'!$A$2:$A$270,0)),"Not Mapped"))</f>
        <v>Not Mapped</v>
      </c>
      <c r="D384" s="40" t="str">
        <f aca="false">IF(B384="","",IFERROR(INDEX('CLM &amp; IM Mapping'!$C$2:$C$270,MATCH(TRIM(B384),'CLM &amp; IM Mapping'!$A$2:$A$270,0)),"Not Mapped"))</f>
        <v>Not Mapped</v>
      </c>
      <c r="E384" s="41" t="n">
        <v>3</v>
      </c>
      <c r="F384" s="41" t="n">
        <v>3</v>
      </c>
      <c r="G384" s="41" t="n">
        <v>0</v>
      </c>
      <c r="H384" s="41" t="n">
        <v>0</v>
      </c>
      <c r="I384" s="41" t="n">
        <v>0</v>
      </c>
      <c r="J384" s="41" t="n">
        <v>0</v>
      </c>
      <c r="K384" s="41" t="n">
        <v>0</v>
      </c>
      <c r="L384" s="41" t="n">
        <v>0</v>
      </c>
    </row>
    <row r="385" customFormat="false" ht="15.75" hidden="false" customHeight="false" outlineLevel="0" collapsed="false">
      <c r="B385" s="39" t="s">
        <v>548</v>
      </c>
      <c r="C385" s="40" t="str">
        <f aca="false">IF(B385="","",IFERROR(INDEX('CLM &amp; IM Mapping'!$B$2:$B$270,MATCH(TRIM(B385),'CLM &amp; IM Mapping'!$A$2:$A$270,0)),"Not Mapped"))</f>
        <v>Not Mapped</v>
      </c>
      <c r="D385" s="40" t="str">
        <f aca="false">IF(B385="","",IFERROR(INDEX('CLM &amp; IM Mapping'!$C$2:$C$270,MATCH(TRIM(B385),'CLM &amp; IM Mapping'!$A$2:$A$270,0)),"Not Mapped"))</f>
        <v>Not Mapped</v>
      </c>
      <c r="E385" s="41" t="n">
        <v>3469</v>
      </c>
      <c r="F385" s="41" t="n">
        <v>1562</v>
      </c>
      <c r="G385" s="41" t="n">
        <v>1907</v>
      </c>
      <c r="H385" s="41" t="n">
        <v>0</v>
      </c>
      <c r="I385" s="41" t="n">
        <v>0</v>
      </c>
      <c r="J385" s="41" t="n">
        <v>0</v>
      </c>
      <c r="K385" s="41" t="n">
        <v>0</v>
      </c>
      <c r="L385" s="41" t="n">
        <v>0</v>
      </c>
    </row>
    <row r="386" customFormat="false" ht="15.75" hidden="false" customHeight="false" outlineLevel="0" collapsed="false">
      <c r="B386" s="39" t="s">
        <v>549</v>
      </c>
      <c r="C386" s="40" t="str">
        <f aca="false">IF(B386="","",IFERROR(INDEX('CLM &amp; IM Mapping'!$B$2:$B$270,MATCH(TRIM(B386),'CLM &amp; IM Mapping'!$A$2:$A$270,0)),"Not Mapped"))</f>
        <v>Not Mapped</v>
      </c>
      <c r="D386" s="40" t="str">
        <f aca="false">IF(B386="","",IFERROR(INDEX('CLM &amp; IM Mapping'!$C$2:$C$270,MATCH(TRIM(B386),'CLM &amp; IM Mapping'!$A$2:$A$270,0)),"Not Mapped"))</f>
        <v>Not Mapped</v>
      </c>
      <c r="E386" s="41" t="n">
        <v>1785</v>
      </c>
      <c r="F386" s="41" t="n">
        <v>0</v>
      </c>
      <c r="G386" s="41" t="n">
        <v>0</v>
      </c>
      <c r="H386" s="41" t="n">
        <v>1785</v>
      </c>
      <c r="I386" s="41" t="n">
        <v>0</v>
      </c>
      <c r="J386" s="41" t="n">
        <v>0</v>
      </c>
      <c r="K386" s="41" t="n">
        <v>0</v>
      </c>
      <c r="L386" s="41" t="n">
        <v>1785</v>
      </c>
    </row>
    <row r="387" customFormat="false" ht="15.75" hidden="false" customHeight="false" outlineLevel="0" collapsed="false">
      <c r="B387" s="39" t="s">
        <v>550</v>
      </c>
      <c r="C387" s="40" t="str">
        <f aca="false">IF(B387="","",IFERROR(INDEX('CLM &amp; IM Mapping'!$B$2:$B$270,MATCH(TRIM(B387),'CLM &amp; IM Mapping'!$A$2:$A$270,0)),"Not Mapped"))</f>
        <v>Not Mapped</v>
      </c>
      <c r="D387" s="40" t="str">
        <f aca="false">IF(B387="","",IFERROR(INDEX('CLM &amp; IM Mapping'!$C$2:$C$270,MATCH(TRIM(B387),'CLM &amp; IM Mapping'!$A$2:$A$270,0)),"Not Mapped"))</f>
        <v>Not Mapped</v>
      </c>
      <c r="E387" s="41" t="n">
        <v>2421</v>
      </c>
      <c r="F387" s="41" t="n">
        <v>1404</v>
      </c>
      <c r="G387" s="41" t="n">
        <v>275</v>
      </c>
      <c r="H387" s="41" t="n">
        <v>393</v>
      </c>
      <c r="I387" s="41" t="n">
        <v>0</v>
      </c>
      <c r="J387" s="41" t="n">
        <v>349</v>
      </c>
      <c r="K387" s="41" t="n">
        <v>0</v>
      </c>
      <c r="L387" s="41" t="n">
        <v>742</v>
      </c>
    </row>
    <row r="388" customFormat="false" ht="15.75" hidden="false" customHeight="false" outlineLevel="0" collapsed="false">
      <c r="B388" s="39" t="s">
        <v>551</v>
      </c>
      <c r="C388" s="40" t="str">
        <f aca="false">IF(B388="","",IFERROR(INDEX('CLM &amp; IM Mapping'!$B$2:$B$270,MATCH(TRIM(B388),'CLM &amp; IM Mapping'!$A$2:$A$270,0)),"Not Mapped"))</f>
        <v>Not Mapped</v>
      </c>
      <c r="D388" s="40" t="str">
        <f aca="false">IF(B388="","",IFERROR(INDEX('CLM &amp; IM Mapping'!$C$2:$C$270,MATCH(TRIM(B388),'CLM &amp; IM Mapping'!$A$2:$A$270,0)),"Not Mapped"))</f>
        <v>Not Mapped</v>
      </c>
      <c r="E388" s="41" t="n">
        <v>3163</v>
      </c>
      <c r="F388" s="41" t="n">
        <v>778</v>
      </c>
      <c r="G388" s="41" t="n">
        <v>1254</v>
      </c>
      <c r="H388" s="41" t="n">
        <v>1131</v>
      </c>
      <c r="I388" s="41" t="n">
        <v>0</v>
      </c>
      <c r="J388" s="41" t="n">
        <v>0</v>
      </c>
      <c r="K388" s="41" t="n">
        <v>0</v>
      </c>
      <c r="L388" s="41" t="n">
        <v>1131</v>
      </c>
    </row>
    <row r="389" customFormat="false" ht="15.75" hidden="false" customHeight="false" outlineLevel="0" collapsed="false">
      <c r="B389" s="39" t="s">
        <v>552</v>
      </c>
      <c r="C389" s="40" t="str">
        <f aca="false">IF(B389="","",IFERROR(INDEX('CLM &amp; IM Mapping'!$B$2:$B$270,MATCH(TRIM(B389),'CLM &amp; IM Mapping'!$A$2:$A$270,0)),"Not Mapped"))</f>
        <v>Not Mapped</v>
      </c>
      <c r="D389" s="40" t="str">
        <f aca="false">IF(B389="","",IFERROR(INDEX('CLM &amp; IM Mapping'!$C$2:$C$270,MATCH(TRIM(B389),'CLM &amp; IM Mapping'!$A$2:$A$270,0)),"Not Mapped"))</f>
        <v>Not Mapped</v>
      </c>
      <c r="E389" s="41" t="n">
        <v>234</v>
      </c>
      <c r="F389" s="41" t="n">
        <v>26</v>
      </c>
      <c r="G389" s="41" t="n">
        <v>208</v>
      </c>
      <c r="H389" s="41" t="n">
        <v>0</v>
      </c>
      <c r="I389" s="41" t="n">
        <v>0</v>
      </c>
      <c r="J389" s="41" t="n">
        <v>0</v>
      </c>
      <c r="K389" s="41" t="n">
        <v>0</v>
      </c>
      <c r="L389" s="41" t="n">
        <v>0</v>
      </c>
    </row>
    <row r="390" customFormat="false" ht="15.75" hidden="false" customHeight="false" outlineLevel="0" collapsed="false">
      <c r="B390" s="39" t="s">
        <v>553</v>
      </c>
      <c r="C390" s="40" t="str">
        <f aca="false">IF(B390="","",IFERROR(INDEX('CLM &amp; IM Mapping'!$B$2:$B$270,MATCH(TRIM(B390),'CLM &amp; IM Mapping'!$A$2:$A$270,0)),"Not Mapped"))</f>
        <v>Not Mapped</v>
      </c>
      <c r="D390" s="40" t="str">
        <f aca="false">IF(B390="","",IFERROR(INDEX('CLM &amp; IM Mapping'!$C$2:$C$270,MATCH(TRIM(B390),'CLM &amp; IM Mapping'!$A$2:$A$270,0)),"Not Mapped"))</f>
        <v>Not Mapped</v>
      </c>
      <c r="E390" s="41" t="n">
        <v>0</v>
      </c>
      <c r="F390" s="41" t="n">
        <v>0</v>
      </c>
      <c r="G390" s="41" t="n">
        <v>0</v>
      </c>
      <c r="H390" s="41" t="n">
        <v>0</v>
      </c>
      <c r="I390" s="41" t="n">
        <v>0</v>
      </c>
      <c r="J390" s="41" t="n">
        <v>0</v>
      </c>
      <c r="K390" s="41" t="n">
        <v>0</v>
      </c>
      <c r="L390" s="41" t="n">
        <v>0</v>
      </c>
    </row>
    <row r="391" customFormat="false" ht="15.75" hidden="false" customHeight="false" outlineLevel="0" collapsed="false">
      <c r="B391" s="39" t="s">
        <v>554</v>
      </c>
      <c r="C391" s="40" t="str">
        <f aca="false">IF(B391="","",IFERROR(INDEX('CLM &amp; IM Mapping'!$B$2:$B$270,MATCH(TRIM(B391),'CLM &amp; IM Mapping'!$A$2:$A$270,0)),"Not Mapped"))</f>
        <v>Not Mapped</v>
      </c>
      <c r="D391" s="40" t="str">
        <f aca="false">IF(B391="","",IFERROR(INDEX('CLM &amp; IM Mapping'!$C$2:$C$270,MATCH(TRIM(B391),'CLM &amp; IM Mapping'!$A$2:$A$270,0)),"Not Mapped"))</f>
        <v>Not Mapped</v>
      </c>
      <c r="E391" s="41" t="n">
        <v>4980</v>
      </c>
      <c r="F391" s="41" t="n">
        <v>0</v>
      </c>
      <c r="G391" s="41" t="n">
        <v>2888</v>
      </c>
      <c r="H391" s="41" t="n">
        <v>2064</v>
      </c>
      <c r="I391" s="41" t="n">
        <v>0</v>
      </c>
      <c r="J391" s="41" t="n">
        <v>28</v>
      </c>
      <c r="K391" s="41" t="n">
        <v>0</v>
      </c>
      <c r="L391" s="41" t="n">
        <v>2092</v>
      </c>
    </row>
    <row r="392" customFormat="false" ht="15.75" hidden="false" customHeight="false" outlineLevel="0" collapsed="false">
      <c r="B392" s="39" t="s">
        <v>555</v>
      </c>
      <c r="C392" s="40" t="str">
        <f aca="false">IF(B392="","",IFERROR(INDEX('CLM &amp; IM Mapping'!$B$2:$B$270,MATCH(TRIM(B392),'CLM &amp; IM Mapping'!$A$2:$A$270,0)),"Not Mapped"))</f>
        <v>Not Mapped</v>
      </c>
      <c r="D392" s="40" t="str">
        <f aca="false">IF(B392="","",IFERROR(INDEX('CLM &amp; IM Mapping'!$C$2:$C$270,MATCH(TRIM(B392),'CLM &amp; IM Mapping'!$A$2:$A$270,0)),"Not Mapped"))</f>
        <v>Not Mapped</v>
      </c>
      <c r="E392" s="41" t="n">
        <v>761</v>
      </c>
      <c r="F392" s="41" t="n">
        <v>761</v>
      </c>
      <c r="G392" s="41" t="n">
        <v>0</v>
      </c>
      <c r="H392" s="41" t="n">
        <v>0</v>
      </c>
      <c r="I392" s="41" t="n">
        <v>0</v>
      </c>
      <c r="J392" s="41" t="n">
        <v>0</v>
      </c>
      <c r="K392" s="41" t="n">
        <v>0</v>
      </c>
      <c r="L392" s="41" t="n">
        <v>0</v>
      </c>
    </row>
    <row r="393" customFormat="false" ht="15.75" hidden="false" customHeight="false" outlineLevel="0" collapsed="false">
      <c r="B393" s="39" t="s">
        <v>556</v>
      </c>
      <c r="C393" s="40" t="str">
        <f aca="false">IF(B393="","",IFERROR(INDEX('CLM &amp; IM Mapping'!$B$2:$B$270,MATCH(TRIM(B393),'CLM &amp; IM Mapping'!$A$2:$A$270,0)),"Not Mapped"))</f>
        <v>Not Mapped</v>
      </c>
      <c r="D393" s="40" t="str">
        <f aca="false">IF(B393="","",IFERROR(INDEX('CLM &amp; IM Mapping'!$C$2:$C$270,MATCH(TRIM(B393),'CLM &amp; IM Mapping'!$A$2:$A$270,0)),"Not Mapped"))</f>
        <v>Not Mapped</v>
      </c>
      <c r="E393" s="41" t="n">
        <v>11167</v>
      </c>
      <c r="F393" s="41" t="n">
        <v>3617</v>
      </c>
      <c r="G393" s="41" t="n">
        <v>2582</v>
      </c>
      <c r="H393" s="41" t="n">
        <v>4528</v>
      </c>
      <c r="I393" s="41" t="n">
        <v>0</v>
      </c>
      <c r="J393" s="41" t="n">
        <v>288</v>
      </c>
      <c r="K393" s="41" t="n">
        <v>152</v>
      </c>
      <c r="L393" s="41" t="n">
        <v>4968</v>
      </c>
    </row>
    <row r="394" customFormat="false" ht="15.75" hidden="false" customHeight="false" outlineLevel="0" collapsed="false">
      <c r="B394" s="39" t="s">
        <v>557</v>
      </c>
      <c r="C394" s="40" t="str">
        <f aca="false">IF(B394="","",IFERROR(INDEX('CLM &amp; IM Mapping'!$B$2:$B$270,MATCH(TRIM(B394),'CLM &amp; IM Mapping'!$A$2:$A$270,0)),"Not Mapped"))</f>
        <v>Not Mapped</v>
      </c>
      <c r="D394" s="40" t="str">
        <f aca="false">IF(B394="","",IFERROR(INDEX('CLM &amp; IM Mapping'!$C$2:$C$270,MATCH(TRIM(B394),'CLM &amp; IM Mapping'!$A$2:$A$270,0)),"Not Mapped"))</f>
        <v>Not Mapped</v>
      </c>
      <c r="E394" s="41" t="n">
        <v>6796</v>
      </c>
      <c r="F394" s="41" t="n">
        <v>516</v>
      </c>
      <c r="G394" s="41" t="n">
        <v>4301</v>
      </c>
      <c r="H394" s="41" t="n">
        <v>0</v>
      </c>
      <c r="I394" s="41" t="n">
        <v>1150</v>
      </c>
      <c r="J394" s="41" t="n">
        <v>0</v>
      </c>
      <c r="K394" s="41" t="n">
        <v>829</v>
      </c>
      <c r="L394" s="41" t="n">
        <v>1979</v>
      </c>
    </row>
    <row r="395" customFormat="false" ht="15.75" hidden="false" customHeight="false" outlineLevel="0" collapsed="false">
      <c r="B395" s="39" t="s">
        <v>558</v>
      </c>
      <c r="C395" s="40" t="str">
        <f aca="false">IF(B395="","",IFERROR(INDEX('CLM &amp; IM Mapping'!$B$2:$B$270,MATCH(TRIM(B395),'CLM &amp; IM Mapping'!$A$2:$A$270,0)),"Not Mapped"))</f>
        <v>Not Mapped</v>
      </c>
      <c r="D395" s="40" t="str">
        <f aca="false">IF(B395="","",IFERROR(INDEX('CLM &amp; IM Mapping'!$C$2:$C$270,MATCH(TRIM(B395),'CLM &amp; IM Mapping'!$A$2:$A$270,0)),"Not Mapped"))</f>
        <v>Not Mapped</v>
      </c>
      <c r="E395" s="41" t="n">
        <v>225</v>
      </c>
      <c r="F395" s="41" t="n">
        <v>0</v>
      </c>
      <c r="G395" s="41" t="n">
        <v>0</v>
      </c>
      <c r="H395" s="41" t="n">
        <v>225</v>
      </c>
      <c r="I395" s="41" t="n">
        <v>0</v>
      </c>
      <c r="J395" s="41" t="n">
        <v>0</v>
      </c>
      <c r="K395" s="41" t="n">
        <v>0</v>
      </c>
      <c r="L395" s="41" t="n">
        <v>225</v>
      </c>
    </row>
    <row r="396" customFormat="false" ht="15.75" hidden="false" customHeight="false" outlineLevel="0" collapsed="false">
      <c r="B396" s="39" t="s">
        <v>559</v>
      </c>
      <c r="C396" s="40" t="str">
        <f aca="false">IF(B396="","",IFERROR(INDEX('CLM &amp; IM Mapping'!$B$2:$B$270,MATCH(TRIM(B396),'CLM &amp; IM Mapping'!$A$2:$A$270,0)),"Not Mapped"))</f>
        <v>Not Mapped</v>
      </c>
      <c r="D396" s="40" t="str">
        <f aca="false">IF(B396="","",IFERROR(INDEX('CLM &amp; IM Mapping'!$C$2:$C$270,MATCH(TRIM(B396),'CLM &amp; IM Mapping'!$A$2:$A$270,0)),"Not Mapped"))</f>
        <v>Not Mapped</v>
      </c>
      <c r="E396" s="41" t="n">
        <v>2275</v>
      </c>
      <c r="F396" s="41" t="n">
        <v>2255</v>
      </c>
      <c r="G396" s="41" t="n">
        <v>0</v>
      </c>
      <c r="H396" s="41" t="n">
        <v>0</v>
      </c>
      <c r="I396" s="41" t="n">
        <v>20</v>
      </c>
      <c r="J396" s="41" t="n">
        <v>0</v>
      </c>
      <c r="K396" s="41" t="n">
        <v>0</v>
      </c>
      <c r="L396" s="41" t="n">
        <v>20</v>
      </c>
    </row>
    <row r="397" customFormat="false" ht="15.75" hidden="false" customHeight="false" outlineLevel="0" collapsed="false">
      <c r="B397" s="39" t="s">
        <v>560</v>
      </c>
      <c r="C397" s="40" t="str">
        <f aca="false">IF(B397="","",IFERROR(INDEX('CLM &amp; IM Mapping'!$B$2:$B$270,MATCH(TRIM(B397),'CLM &amp; IM Mapping'!$A$2:$A$270,0)),"Not Mapped"))</f>
        <v>Not Mapped</v>
      </c>
      <c r="D397" s="40" t="str">
        <f aca="false">IF(B397="","",IFERROR(INDEX('CLM &amp; IM Mapping'!$C$2:$C$270,MATCH(TRIM(B397),'CLM &amp; IM Mapping'!$A$2:$A$270,0)),"Not Mapped"))</f>
        <v>Not Mapped</v>
      </c>
      <c r="E397" s="41" t="n">
        <v>3786</v>
      </c>
      <c r="F397" s="41" t="n">
        <v>3651</v>
      </c>
      <c r="G397" s="41" t="n">
        <v>133</v>
      </c>
      <c r="H397" s="41" t="n">
        <v>0</v>
      </c>
      <c r="I397" s="41" t="n">
        <v>2</v>
      </c>
      <c r="J397" s="41" t="n">
        <v>0</v>
      </c>
      <c r="K397" s="41" t="n">
        <v>0</v>
      </c>
      <c r="L397" s="41" t="n">
        <v>2</v>
      </c>
    </row>
    <row r="398" customFormat="false" ht="15.75" hidden="false" customHeight="false" outlineLevel="0" collapsed="false">
      <c r="B398" s="39" t="s">
        <v>561</v>
      </c>
      <c r="C398" s="40" t="str">
        <f aca="false">IF(B398="","",IFERROR(INDEX('CLM &amp; IM Mapping'!$B$2:$B$270,MATCH(TRIM(B398),'CLM &amp; IM Mapping'!$A$2:$A$270,0)),"Not Mapped"))</f>
        <v>Not Mapped</v>
      </c>
      <c r="D398" s="40" t="str">
        <f aca="false">IF(B398="","",IFERROR(INDEX('CLM &amp; IM Mapping'!$C$2:$C$270,MATCH(TRIM(B398),'CLM &amp; IM Mapping'!$A$2:$A$270,0)),"Not Mapped"))</f>
        <v>Not Mapped</v>
      </c>
      <c r="E398" s="41" t="n">
        <v>44</v>
      </c>
      <c r="F398" s="41" t="n">
        <v>44</v>
      </c>
      <c r="G398" s="41" t="n">
        <v>0</v>
      </c>
      <c r="H398" s="41" t="n">
        <v>0</v>
      </c>
      <c r="I398" s="41" t="n">
        <v>0</v>
      </c>
      <c r="J398" s="41" t="n">
        <v>0</v>
      </c>
      <c r="K398" s="41" t="n">
        <v>0</v>
      </c>
      <c r="L398" s="41" t="n">
        <v>0</v>
      </c>
    </row>
    <row r="399" customFormat="false" ht="15.75" hidden="false" customHeight="false" outlineLevel="0" collapsed="false">
      <c r="B399" s="39" t="s">
        <v>562</v>
      </c>
      <c r="C399" s="40" t="str">
        <f aca="false">IF(B399="","",IFERROR(INDEX('CLM &amp; IM Mapping'!$B$2:$B$270,MATCH(TRIM(B399),'CLM &amp; IM Mapping'!$A$2:$A$270,0)),"Not Mapped"))</f>
        <v>Not Mapped</v>
      </c>
      <c r="D399" s="40" t="str">
        <f aca="false">IF(B399="","",IFERROR(INDEX('CLM &amp; IM Mapping'!$C$2:$C$270,MATCH(TRIM(B399),'CLM &amp; IM Mapping'!$A$2:$A$270,0)),"Not Mapped"))</f>
        <v>Not Mapped</v>
      </c>
      <c r="E399" s="41" t="n">
        <v>0</v>
      </c>
      <c r="F399" s="41" t="n">
        <v>0</v>
      </c>
      <c r="G399" s="41" t="n">
        <v>0</v>
      </c>
      <c r="H399" s="41" t="n">
        <v>0</v>
      </c>
      <c r="I399" s="41" t="n">
        <v>0</v>
      </c>
      <c r="J399" s="41" t="n">
        <v>0</v>
      </c>
      <c r="K399" s="41" t="n">
        <v>0</v>
      </c>
      <c r="L399" s="41" t="n">
        <v>0</v>
      </c>
    </row>
    <row r="400" customFormat="false" ht="15.75" hidden="false" customHeight="false" outlineLevel="0" collapsed="false">
      <c r="B400" s="39" t="s">
        <v>563</v>
      </c>
      <c r="C400" s="40" t="str">
        <f aca="false">IF(B400="","",IFERROR(INDEX('CLM &amp; IM Mapping'!$B$2:$B$270,MATCH(TRIM(B400),'CLM &amp; IM Mapping'!$A$2:$A$270,0)),"Not Mapped"))</f>
        <v>Not Mapped</v>
      </c>
      <c r="D400" s="40" t="str">
        <f aca="false">IF(B400="","",IFERROR(INDEX('CLM &amp; IM Mapping'!$C$2:$C$270,MATCH(TRIM(B400),'CLM &amp; IM Mapping'!$A$2:$A$270,0)),"Not Mapped"))</f>
        <v>Not Mapped</v>
      </c>
      <c r="E400" s="41" t="n">
        <v>54</v>
      </c>
      <c r="F400" s="41" t="n">
        <v>54</v>
      </c>
      <c r="G400" s="41" t="n">
        <v>0</v>
      </c>
      <c r="H400" s="41" t="n">
        <v>0</v>
      </c>
      <c r="I400" s="41" t="n">
        <v>0</v>
      </c>
      <c r="J400" s="41" t="n">
        <v>0</v>
      </c>
      <c r="K400" s="41" t="n">
        <v>0</v>
      </c>
      <c r="L400" s="41" t="n">
        <v>0</v>
      </c>
    </row>
    <row r="401" customFormat="false" ht="15.75" hidden="false" customHeight="false" outlineLevel="0" collapsed="false">
      <c r="B401" s="39" t="s">
        <v>564</v>
      </c>
      <c r="C401" s="40" t="str">
        <f aca="false">IF(B401="","",IFERROR(INDEX('CLM &amp; IM Mapping'!$B$2:$B$270,MATCH(TRIM(B401),'CLM &amp; IM Mapping'!$A$2:$A$270,0)),"Not Mapped"))</f>
        <v>Not Mapped</v>
      </c>
      <c r="D401" s="40" t="str">
        <f aca="false">IF(B401="","",IFERROR(INDEX('CLM &amp; IM Mapping'!$C$2:$C$270,MATCH(TRIM(B401),'CLM &amp; IM Mapping'!$A$2:$A$270,0)),"Not Mapped"))</f>
        <v>Not Mapped</v>
      </c>
      <c r="E401" s="41" t="n">
        <v>994</v>
      </c>
      <c r="F401" s="41" t="n">
        <v>0</v>
      </c>
      <c r="G401" s="41" t="n">
        <v>0</v>
      </c>
      <c r="H401" s="41" t="n">
        <v>712</v>
      </c>
      <c r="I401" s="41" t="n">
        <v>0</v>
      </c>
      <c r="J401" s="41" t="n">
        <v>66</v>
      </c>
      <c r="K401" s="41" t="n">
        <v>216</v>
      </c>
      <c r="L401" s="41" t="n">
        <v>994</v>
      </c>
    </row>
    <row r="402" customFormat="false" ht="15.75" hidden="false" customHeight="false" outlineLevel="0" collapsed="false">
      <c r="B402" s="39" t="s">
        <v>565</v>
      </c>
      <c r="C402" s="40" t="str">
        <f aca="false">IF(B402="","",IFERROR(INDEX('CLM &amp; IM Mapping'!$B$2:$B$270,MATCH(TRIM(B402),'CLM &amp; IM Mapping'!$A$2:$A$270,0)),"Not Mapped"))</f>
        <v>Not Mapped</v>
      </c>
      <c r="D402" s="40" t="str">
        <f aca="false">IF(B402="","",IFERROR(INDEX('CLM &amp; IM Mapping'!$C$2:$C$270,MATCH(TRIM(B402),'CLM &amp; IM Mapping'!$A$2:$A$270,0)),"Not Mapped"))</f>
        <v>Not Mapped</v>
      </c>
      <c r="E402" s="41" t="n">
        <v>1850</v>
      </c>
      <c r="F402" s="41" t="n">
        <v>1647</v>
      </c>
      <c r="G402" s="41" t="n">
        <v>0</v>
      </c>
      <c r="H402" s="41" t="n">
        <v>0</v>
      </c>
      <c r="I402" s="41" t="n">
        <v>81</v>
      </c>
      <c r="J402" s="41" t="n">
        <v>0</v>
      </c>
      <c r="K402" s="41" t="n">
        <v>122</v>
      </c>
      <c r="L402" s="41" t="n">
        <v>203</v>
      </c>
    </row>
    <row r="403" customFormat="false" ht="15.75" hidden="false" customHeight="false" outlineLevel="0" collapsed="false">
      <c r="B403" s="39" t="s">
        <v>566</v>
      </c>
      <c r="C403" s="40" t="str">
        <f aca="false">IF(B403="","",IFERROR(INDEX('CLM &amp; IM Mapping'!$B$2:$B$270,MATCH(TRIM(B403),'CLM &amp; IM Mapping'!$A$2:$A$270,0)),"Not Mapped"))</f>
        <v>Not Mapped</v>
      </c>
      <c r="D403" s="40" t="str">
        <f aca="false">IF(B403="","",IFERROR(INDEX('CLM &amp; IM Mapping'!$C$2:$C$270,MATCH(TRIM(B403),'CLM &amp; IM Mapping'!$A$2:$A$270,0)),"Not Mapped"))</f>
        <v>Not Mapped</v>
      </c>
      <c r="E403" s="41" t="n">
        <v>0</v>
      </c>
      <c r="F403" s="41" t="n">
        <v>0</v>
      </c>
      <c r="G403" s="41" t="n">
        <v>0</v>
      </c>
      <c r="H403" s="41" t="n">
        <v>0</v>
      </c>
      <c r="I403" s="41" t="n">
        <v>0</v>
      </c>
      <c r="J403" s="41" t="n">
        <v>0</v>
      </c>
      <c r="K403" s="41" t="n">
        <v>0</v>
      </c>
      <c r="L403" s="41" t="n">
        <v>0</v>
      </c>
    </row>
    <row r="404" customFormat="false" ht="15.75" hidden="false" customHeight="false" outlineLevel="0" collapsed="false">
      <c r="B404" s="39" t="s">
        <v>152</v>
      </c>
      <c r="C404" s="40" t="str">
        <f aca="false">IF(B404="","",IFERROR(INDEX('CLM &amp; IM Mapping'!$B$2:$B$270,MATCH(TRIM(B404),'CLM &amp; IM Mapping'!$A$2:$A$270,0)),"Not Mapped"))</f>
        <v>John Britto</v>
      </c>
      <c r="D404" s="40" t="str">
        <f aca="false">IF(B404="","",IFERROR(INDEX('CLM &amp; IM Mapping'!$C$2:$C$270,MATCH(TRIM(B404),'CLM &amp; IM Mapping'!$A$2:$A$270,0)),"Not Mapped"))</f>
        <v>Aravind S</v>
      </c>
      <c r="E404" s="41" t="n">
        <v>0</v>
      </c>
      <c r="F404" s="41" t="n">
        <v>0</v>
      </c>
      <c r="G404" s="41" t="n">
        <v>0</v>
      </c>
      <c r="H404" s="41" t="n">
        <v>0</v>
      </c>
      <c r="I404" s="41" t="n">
        <v>0</v>
      </c>
      <c r="J404" s="41" t="n">
        <v>0</v>
      </c>
      <c r="K404" s="41" t="n">
        <v>0</v>
      </c>
      <c r="L404" s="41" t="n">
        <v>0</v>
      </c>
    </row>
    <row r="405" customFormat="false" ht="15.75" hidden="false" customHeight="false" outlineLevel="0" collapsed="false">
      <c r="B405" s="39" t="s">
        <v>135</v>
      </c>
      <c r="C405" s="40" t="str">
        <f aca="false">IF(B405="","",IFERROR(INDEX('CLM &amp; IM Mapping'!$B$2:$B$270,MATCH(TRIM(B405),'CLM &amp; IM Mapping'!$A$2:$A$270,0)),"Not Mapped"))</f>
        <v>John Britto</v>
      </c>
      <c r="D405" s="40" t="str">
        <f aca="false">IF(B405="","",IFERROR(INDEX('CLM &amp; IM Mapping'!$C$2:$C$270,MATCH(TRIM(B405),'CLM &amp; IM Mapping'!$A$2:$A$270,0)),"Not Mapped"))</f>
        <v>Aravind S</v>
      </c>
      <c r="E405" s="41" t="n">
        <v>0</v>
      </c>
      <c r="F405" s="41" t="n">
        <v>0</v>
      </c>
      <c r="G405" s="41" t="n">
        <v>0</v>
      </c>
      <c r="H405" s="41" t="n">
        <v>0</v>
      </c>
      <c r="I405" s="41" t="n">
        <v>0</v>
      </c>
      <c r="J405" s="41" t="n">
        <v>0</v>
      </c>
      <c r="K405" s="41" t="n">
        <v>0</v>
      </c>
      <c r="L405" s="41" t="n">
        <v>0</v>
      </c>
    </row>
    <row r="406" customFormat="false" ht="15.75" hidden="false" customHeight="false" outlineLevel="0" collapsed="false">
      <c r="B406" s="39" t="s">
        <v>217</v>
      </c>
      <c r="C406" s="40" t="str">
        <f aca="false">IF(B406="","",IFERROR(INDEX('CLM &amp; IM Mapping'!$B$2:$B$270,MATCH(TRIM(B406),'CLM &amp; IM Mapping'!$A$2:$A$270,0)),"Not Mapped"))</f>
        <v>John Britto</v>
      </c>
      <c r="D406" s="40" t="str">
        <f aca="false">IF(B406="","",IFERROR(INDEX('CLM &amp; IM Mapping'!$C$2:$C$270,MATCH(TRIM(B406),'CLM &amp; IM Mapping'!$A$2:$A$270,0)),"Not Mapped"))</f>
        <v>Aravind S</v>
      </c>
      <c r="E406" s="41" t="n">
        <v>0</v>
      </c>
      <c r="F406" s="41" t="n">
        <v>0</v>
      </c>
      <c r="G406" s="41" t="n">
        <v>0</v>
      </c>
      <c r="H406" s="41" t="n">
        <v>0</v>
      </c>
      <c r="I406" s="41" t="n">
        <v>0</v>
      </c>
      <c r="J406" s="41" t="n">
        <v>0</v>
      </c>
      <c r="K406" s="41" t="n">
        <v>0</v>
      </c>
      <c r="L406" s="41" t="n">
        <v>0</v>
      </c>
    </row>
    <row r="407" customFormat="false" ht="15.75" hidden="false" customHeight="false" outlineLevel="0" collapsed="false">
      <c r="B407" s="39" t="s">
        <v>250</v>
      </c>
      <c r="C407" s="40" t="str">
        <f aca="false">IF(B407="","",IFERROR(INDEX('CLM &amp; IM Mapping'!$B$2:$B$270,MATCH(TRIM(B407),'CLM &amp; IM Mapping'!$A$2:$A$270,0)),"Not Mapped"))</f>
        <v>John Britto</v>
      </c>
      <c r="D407" s="40" t="str">
        <f aca="false">IF(B407="","",IFERROR(INDEX('CLM &amp; IM Mapping'!$C$2:$C$270,MATCH(TRIM(B407),'CLM &amp; IM Mapping'!$A$2:$A$270,0)),"Not Mapped"))</f>
        <v>Aravind S</v>
      </c>
      <c r="E407" s="41" t="n">
        <v>0</v>
      </c>
      <c r="F407" s="41" t="n">
        <v>0</v>
      </c>
      <c r="G407" s="41" t="n">
        <v>0</v>
      </c>
      <c r="H407" s="41" t="n">
        <v>0</v>
      </c>
      <c r="I407" s="41" t="n">
        <v>0</v>
      </c>
      <c r="J407" s="41" t="n">
        <v>0</v>
      </c>
      <c r="K407" s="41" t="n">
        <v>0</v>
      </c>
      <c r="L407" s="41" t="n">
        <v>0</v>
      </c>
    </row>
    <row r="408" customFormat="false" ht="15.75" hidden="false" customHeight="false" outlineLevel="0" collapsed="false">
      <c r="B408" s="39" t="s">
        <v>259</v>
      </c>
      <c r="C408" s="40" t="str">
        <f aca="false">IF(B408="","",IFERROR(INDEX('CLM &amp; IM Mapping'!$B$2:$B$270,MATCH(TRIM(B408),'CLM &amp; IM Mapping'!$A$2:$A$270,0)),"Not Mapped"))</f>
        <v>John Britto</v>
      </c>
      <c r="D408" s="40" t="str">
        <f aca="false">IF(B408="","",IFERROR(INDEX('CLM &amp; IM Mapping'!$C$2:$C$270,MATCH(TRIM(B408),'CLM &amp; IM Mapping'!$A$2:$A$270,0)),"Not Mapped"))</f>
        <v>Aravind S</v>
      </c>
      <c r="E408" s="41" t="n">
        <v>2299</v>
      </c>
      <c r="F408" s="41" t="n">
        <v>0</v>
      </c>
      <c r="G408" s="41" t="n">
        <v>1271</v>
      </c>
      <c r="H408" s="41" t="n">
        <v>1028</v>
      </c>
      <c r="I408" s="41" t="n">
        <v>0</v>
      </c>
      <c r="J408" s="41" t="n">
        <v>0</v>
      </c>
      <c r="K408" s="41" t="n">
        <v>0</v>
      </c>
      <c r="L408" s="41" t="n">
        <v>1028</v>
      </c>
    </row>
    <row r="409" customFormat="false" ht="15.75" hidden="false" customHeight="false" outlineLevel="0" collapsed="false">
      <c r="B409" s="39" t="s">
        <v>48</v>
      </c>
      <c r="C409" s="40" t="str">
        <f aca="false">IF(B409="","",IFERROR(INDEX('CLM &amp; IM Mapping'!$B$2:$B$270,MATCH(TRIM(B409),'CLM &amp; IM Mapping'!$A$2:$A$270,0)),"Not Mapped"))</f>
        <v>John Britto</v>
      </c>
      <c r="D409" s="40" t="str">
        <f aca="false">IF(B409="","",IFERROR(INDEX('CLM &amp; IM Mapping'!$C$2:$C$270,MATCH(TRIM(B409),'CLM &amp; IM Mapping'!$A$2:$A$270,0)),"Not Mapped"))</f>
        <v>Aravind S</v>
      </c>
      <c r="E409" s="41" t="n">
        <v>0</v>
      </c>
      <c r="F409" s="41" t="n">
        <v>0</v>
      </c>
      <c r="G409" s="41" t="n">
        <v>0</v>
      </c>
      <c r="H409" s="41" t="n">
        <v>0</v>
      </c>
      <c r="I409" s="41" t="n">
        <v>0</v>
      </c>
      <c r="J409" s="41" t="n">
        <v>0</v>
      </c>
      <c r="K409" s="41" t="n">
        <v>0</v>
      </c>
      <c r="L409" s="41" t="n">
        <v>0</v>
      </c>
    </row>
    <row r="410" customFormat="false" ht="15.75" hidden="false" customHeight="false" outlineLevel="0" collapsed="false">
      <c r="B410" s="39" t="s">
        <v>170</v>
      </c>
      <c r="C410" s="40" t="str">
        <f aca="false">IF(B410="","",IFERROR(INDEX('CLM &amp; IM Mapping'!$B$2:$B$270,MATCH(TRIM(B410),'CLM &amp; IM Mapping'!$A$2:$A$270,0)),"Not Mapped"))</f>
        <v>John Britto</v>
      </c>
      <c r="D410" s="40" t="str">
        <f aca="false">IF(B410="","",IFERROR(INDEX('CLM &amp; IM Mapping'!$C$2:$C$270,MATCH(TRIM(B410),'CLM &amp; IM Mapping'!$A$2:$A$270,0)),"Not Mapped"))</f>
        <v>Aravind S</v>
      </c>
      <c r="E410" s="41" t="n">
        <v>206</v>
      </c>
      <c r="F410" s="41" t="n">
        <v>0</v>
      </c>
      <c r="G410" s="41" t="n">
        <v>0</v>
      </c>
      <c r="H410" s="41" t="n">
        <v>206</v>
      </c>
      <c r="I410" s="41" t="n">
        <v>0</v>
      </c>
      <c r="J410" s="41" t="n">
        <v>0</v>
      </c>
      <c r="K410" s="41" t="n">
        <v>0</v>
      </c>
      <c r="L410" s="41" t="n">
        <v>206</v>
      </c>
    </row>
    <row r="411" customFormat="false" ht="15.75" hidden="false" customHeight="false" outlineLevel="0" collapsed="false">
      <c r="B411" s="39" t="s">
        <v>88</v>
      </c>
      <c r="C411" s="40" t="str">
        <f aca="false">IF(B411="","",IFERROR(INDEX('CLM &amp; IM Mapping'!$B$2:$B$270,MATCH(TRIM(B411),'CLM &amp; IM Mapping'!$A$2:$A$270,0)),"Not Mapped"))</f>
        <v>John Britto</v>
      </c>
      <c r="D411" s="40" t="str">
        <f aca="false">IF(B411="","",IFERROR(INDEX('CLM &amp; IM Mapping'!$C$2:$C$270,MATCH(TRIM(B411),'CLM &amp; IM Mapping'!$A$2:$A$270,0)),"Not Mapped"))</f>
        <v>Aravind S</v>
      </c>
      <c r="E411" s="41" t="n">
        <v>0</v>
      </c>
      <c r="F411" s="41" t="n">
        <v>0</v>
      </c>
      <c r="G411" s="41" t="n">
        <v>0</v>
      </c>
      <c r="H411" s="41" t="n">
        <v>0</v>
      </c>
      <c r="I411" s="41" t="n">
        <v>0</v>
      </c>
      <c r="J411" s="41" t="n">
        <v>0</v>
      </c>
      <c r="K411" s="41" t="n">
        <v>0</v>
      </c>
      <c r="L411" s="41" t="n">
        <v>0</v>
      </c>
    </row>
    <row r="412" customFormat="false" ht="15.75" hidden="false" customHeight="false" outlineLevel="0" collapsed="false">
      <c r="B412" s="39" t="s">
        <v>219</v>
      </c>
      <c r="C412" s="40" t="str">
        <f aca="false">IF(B412="","",IFERROR(INDEX('CLM &amp; IM Mapping'!$B$2:$B$270,MATCH(TRIM(B412),'CLM &amp; IM Mapping'!$A$2:$A$270,0)),"Not Mapped"))</f>
        <v>John Britto</v>
      </c>
      <c r="D412" s="40" t="str">
        <f aca="false">IF(B412="","",IFERROR(INDEX('CLM &amp; IM Mapping'!$C$2:$C$270,MATCH(TRIM(B412),'CLM &amp; IM Mapping'!$A$2:$A$270,0)),"Not Mapped"))</f>
        <v>Aravind S</v>
      </c>
      <c r="E412" s="41" t="n">
        <v>285</v>
      </c>
      <c r="F412" s="41" t="n">
        <v>0</v>
      </c>
      <c r="G412" s="41" t="n">
        <v>0</v>
      </c>
      <c r="H412" s="41" t="n">
        <v>285</v>
      </c>
      <c r="I412" s="41" t="n">
        <v>0</v>
      </c>
      <c r="J412" s="41" t="n">
        <v>0</v>
      </c>
      <c r="K412" s="41" t="n">
        <v>0</v>
      </c>
      <c r="L412" s="41" t="n">
        <v>285</v>
      </c>
    </row>
    <row r="413" customFormat="false" ht="15.75" hidden="false" customHeight="false" outlineLevel="0" collapsed="false">
      <c r="B413" s="39" t="s">
        <v>179</v>
      </c>
      <c r="C413" s="40" t="str">
        <f aca="false">IF(B413="","",IFERROR(INDEX('CLM &amp; IM Mapping'!$B$2:$B$270,MATCH(TRIM(B413),'CLM &amp; IM Mapping'!$A$2:$A$270,0)),"Not Mapped"))</f>
        <v>John Britto</v>
      </c>
      <c r="D413" s="40" t="str">
        <f aca="false">IF(B413="","",IFERROR(INDEX('CLM &amp; IM Mapping'!$C$2:$C$270,MATCH(TRIM(B413),'CLM &amp; IM Mapping'!$A$2:$A$270,0)),"Not Mapped"))</f>
        <v>Aravind S</v>
      </c>
      <c r="E413" s="41" t="n">
        <v>0</v>
      </c>
      <c r="F413" s="41" t="n">
        <v>0</v>
      </c>
      <c r="G413" s="41" t="n">
        <v>0</v>
      </c>
      <c r="H413" s="41" t="n">
        <v>0</v>
      </c>
      <c r="I413" s="41" t="n">
        <v>0</v>
      </c>
      <c r="J413" s="41" t="n">
        <v>0</v>
      </c>
      <c r="K413" s="41" t="n">
        <v>0</v>
      </c>
      <c r="L413" s="41" t="n">
        <v>0</v>
      </c>
    </row>
    <row r="414" customFormat="false" ht="15.75" hidden="false" customHeight="false" outlineLevel="0" collapsed="false">
      <c r="B414" s="39" t="s">
        <v>567</v>
      </c>
      <c r="C414" s="40" t="str">
        <f aca="false">IF(B414="","",IFERROR(INDEX('CLM &amp; IM Mapping'!$B$2:$B$270,MATCH(TRIM(B414),'CLM &amp; IM Mapping'!$A$2:$A$270,0)),"Not Mapped"))</f>
        <v>Not Mapped</v>
      </c>
      <c r="D414" s="40" t="str">
        <f aca="false">IF(B414="","",IFERROR(INDEX('CLM &amp; IM Mapping'!$C$2:$C$270,MATCH(TRIM(B414),'CLM &amp; IM Mapping'!$A$2:$A$270,0)),"Not Mapped"))</f>
        <v>Not Mapped</v>
      </c>
      <c r="E414" s="41" t="n">
        <v>854</v>
      </c>
      <c r="F414" s="41" t="n">
        <v>0</v>
      </c>
      <c r="G414" s="41" t="n">
        <v>0</v>
      </c>
      <c r="H414" s="41" t="n">
        <v>854</v>
      </c>
      <c r="I414" s="41" t="n">
        <v>0</v>
      </c>
      <c r="J414" s="41" t="n">
        <v>0</v>
      </c>
      <c r="K414" s="41" t="n">
        <v>0</v>
      </c>
      <c r="L414" s="41" t="n">
        <v>854</v>
      </c>
    </row>
    <row r="415" customFormat="false" ht="15.75" hidden="false" customHeight="false" outlineLevel="0" collapsed="false">
      <c r="B415" s="39" t="s">
        <v>238</v>
      </c>
      <c r="C415" s="40" t="str">
        <f aca="false">IF(B415="","",IFERROR(INDEX('CLM &amp; IM Mapping'!$B$2:$B$270,MATCH(TRIM(B415),'CLM &amp; IM Mapping'!$A$2:$A$270,0)),"Not Mapped"))</f>
        <v>Bangareppa CS</v>
      </c>
      <c r="D415" s="40" t="str">
        <f aca="false">IF(B415="","",IFERROR(INDEX('CLM &amp; IM Mapping'!$C$2:$C$270,MATCH(TRIM(B415),'CLM &amp; IM Mapping'!$A$2:$A$270,0)),"Not Mapped"))</f>
        <v>Kishor K</v>
      </c>
      <c r="E415" s="41" t="n">
        <v>209</v>
      </c>
      <c r="F415" s="41" t="n">
        <v>82</v>
      </c>
      <c r="G415" s="41" t="n">
        <v>127</v>
      </c>
      <c r="H415" s="41" t="n">
        <v>0</v>
      </c>
      <c r="I415" s="41" t="n">
        <v>0</v>
      </c>
      <c r="J415" s="41" t="n">
        <v>0</v>
      </c>
      <c r="K415" s="41" t="n">
        <v>0</v>
      </c>
      <c r="L415" s="41" t="n">
        <v>0</v>
      </c>
    </row>
    <row r="416" customFormat="false" ht="15.75" hidden="false" customHeight="false" outlineLevel="0" collapsed="false">
      <c r="B416" s="39" t="s">
        <v>229</v>
      </c>
      <c r="C416" s="40" t="str">
        <f aca="false">IF(B416="","",IFERROR(INDEX('CLM &amp; IM Mapping'!$B$2:$B$270,MATCH(TRIM(B416),'CLM &amp; IM Mapping'!$A$2:$A$270,0)),"Not Mapped"))</f>
        <v>Bangareppa CS</v>
      </c>
      <c r="D416" s="40" t="str">
        <f aca="false">IF(B416="","",IFERROR(INDEX('CLM &amp; IM Mapping'!$C$2:$C$270,MATCH(TRIM(B416),'CLM &amp; IM Mapping'!$A$2:$A$270,0)),"Not Mapped"))</f>
        <v>Kishor K</v>
      </c>
      <c r="E416" s="41" t="n">
        <v>39</v>
      </c>
      <c r="F416" s="41" t="n">
        <v>39</v>
      </c>
      <c r="G416" s="41" t="n">
        <v>0</v>
      </c>
      <c r="H416" s="41" t="n">
        <v>0</v>
      </c>
      <c r="I416" s="41" t="n">
        <v>0</v>
      </c>
      <c r="J416" s="41" t="n">
        <v>0</v>
      </c>
      <c r="K416" s="41" t="n">
        <v>0</v>
      </c>
      <c r="L416" s="41" t="n">
        <v>0</v>
      </c>
    </row>
    <row r="417" customFormat="false" ht="15.75" hidden="false" customHeight="false" outlineLevel="0" collapsed="false">
      <c r="B417" s="39" t="s">
        <v>568</v>
      </c>
      <c r="C417" s="40" t="str">
        <f aca="false">IF(B417="","",IFERROR(INDEX('CLM &amp; IM Mapping'!$B$2:$B$270,MATCH(TRIM(B417),'CLM &amp; IM Mapping'!$A$2:$A$270,0)),"Not Mapped"))</f>
        <v>Not Mapped</v>
      </c>
      <c r="D417" s="40" t="str">
        <f aca="false">IF(B417="","",IFERROR(INDEX('CLM &amp; IM Mapping'!$C$2:$C$270,MATCH(TRIM(B417),'CLM &amp; IM Mapping'!$A$2:$A$270,0)),"Not Mapped"))</f>
        <v>Not Mapped</v>
      </c>
      <c r="E417" s="41" t="n">
        <v>226</v>
      </c>
      <c r="F417" s="41" t="n">
        <v>0</v>
      </c>
      <c r="G417" s="41" t="n">
        <v>226</v>
      </c>
      <c r="H417" s="41" t="n">
        <v>0</v>
      </c>
      <c r="I417" s="41" t="n">
        <v>0</v>
      </c>
      <c r="J417" s="41" t="n">
        <v>0</v>
      </c>
      <c r="K417" s="41" t="n">
        <v>0</v>
      </c>
      <c r="L417" s="41" t="n">
        <v>0</v>
      </c>
    </row>
    <row r="418" customFormat="false" ht="15.75" hidden="false" customHeight="false" outlineLevel="0" collapsed="false">
      <c r="B418" s="39" t="s">
        <v>569</v>
      </c>
      <c r="C418" s="40" t="str">
        <f aca="false">IF(B418="","",IFERROR(INDEX('CLM &amp; IM Mapping'!$B$2:$B$270,MATCH(TRIM(B418),'CLM &amp; IM Mapping'!$A$2:$A$270,0)),"Not Mapped"))</f>
        <v>Not Mapped</v>
      </c>
      <c r="D418" s="40" t="str">
        <f aca="false">IF(B418="","",IFERROR(INDEX('CLM &amp; IM Mapping'!$C$2:$C$270,MATCH(TRIM(B418),'CLM &amp; IM Mapping'!$A$2:$A$270,0)),"Not Mapped"))</f>
        <v>Not Mapped</v>
      </c>
      <c r="E418" s="41" t="n">
        <v>3433</v>
      </c>
      <c r="F418" s="41" t="n">
        <v>0</v>
      </c>
      <c r="G418" s="41" t="n">
        <v>3433</v>
      </c>
      <c r="H418" s="41" t="n">
        <v>0</v>
      </c>
      <c r="I418" s="41" t="n">
        <v>0</v>
      </c>
      <c r="J418" s="41" t="n">
        <v>0</v>
      </c>
      <c r="K418" s="41" t="n">
        <v>0</v>
      </c>
      <c r="L418" s="41" t="n">
        <v>0</v>
      </c>
    </row>
    <row r="419" customFormat="false" ht="15.75" hidden="false" customHeight="false" outlineLevel="0" collapsed="false">
      <c r="B419" s="39" t="s">
        <v>570</v>
      </c>
      <c r="C419" s="40" t="str">
        <f aca="false">IF(B419="","",IFERROR(INDEX('CLM &amp; IM Mapping'!$B$2:$B$270,MATCH(TRIM(B419),'CLM &amp; IM Mapping'!$A$2:$A$270,0)),"Not Mapped"))</f>
        <v>Not Mapped</v>
      </c>
      <c r="D419" s="40" t="str">
        <f aca="false">IF(B419="","",IFERROR(INDEX('CLM &amp; IM Mapping'!$C$2:$C$270,MATCH(TRIM(B419),'CLM &amp; IM Mapping'!$A$2:$A$270,0)),"Not Mapped"))</f>
        <v>Not Mapped</v>
      </c>
      <c r="E419" s="41" t="n">
        <v>1933</v>
      </c>
      <c r="F419" s="41" t="n">
        <v>0</v>
      </c>
      <c r="G419" s="41" t="n">
        <v>1933</v>
      </c>
      <c r="H419" s="41" t="n">
        <v>0</v>
      </c>
      <c r="I419" s="41" t="n">
        <v>0</v>
      </c>
      <c r="J419" s="41" t="n">
        <v>0</v>
      </c>
      <c r="K419" s="41" t="n">
        <v>0</v>
      </c>
      <c r="L419" s="41" t="n">
        <v>0</v>
      </c>
    </row>
    <row r="420" customFormat="false" ht="15.75" hidden="false" customHeight="false" outlineLevel="0" collapsed="false">
      <c r="B420" s="39" t="s">
        <v>571</v>
      </c>
      <c r="C420" s="40" t="str">
        <f aca="false">IF(B420="","",IFERROR(INDEX('CLM &amp; IM Mapping'!$B$2:$B$270,MATCH(TRIM(B420),'CLM &amp; IM Mapping'!$A$2:$A$270,0)),"Not Mapped"))</f>
        <v>Not Mapped</v>
      </c>
      <c r="D420" s="40" t="str">
        <f aca="false">IF(B420="","",IFERROR(INDEX('CLM &amp; IM Mapping'!$C$2:$C$270,MATCH(TRIM(B420),'CLM &amp; IM Mapping'!$A$2:$A$270,0)),"Not Mapped"))</f>
        <v>Not Mapped</v>
      </c>
      <c r="E420" s="41" t="n">
        <v>742</v>
      </c>
      <c r="F420" s="41" t="n">
        <v>0</v>
      </c>
      <c r="G420" s="41" t="n">
        <v>693</v>
      </c>
      <c r="H420" s="41" t="n">
        <v>0</v>
      </c>
      <c r="I420" s="41" t="n">
        <v>49</v>
      </c>
      <c r="J420" s="41" t="n">
        <v>0</v>
      </c>
      <c r="K420" s="41" t="n">
        <v>0</v>
      </c>
      <c r="L420" s="41" t="n">
        <v>49</v>
      </c>
    </row>
    <row r="421" customFormat="false" ht="15.75" hidden="false" customHeight="false" outlineLevel="0" collapsed="false">
      <c r="B421" s="39" t="s">
        <v>572</v>
      </c>
      <c r="C421" s="40" t="str">
        <f aca="false">IF(B421="","",IFERROR(INDEX('CLM &amp; IM Mapping'!$B$2:$B$270,MATCH(TRIM(B421),'CLM &amp; IM Mapping'!$A$2:$A$270,0)),"Not Mapped"))</f>
        <v>Not Mapped</v>
      </c>
      <c r="D421" s="40" t="str">
        <f aca="false">IF(B421="","",IFERROR(INDEX('CLM &amp; IM Mapping'!$C$2:$C$270,MATCH(TRIM(B421),'CLM &amp; IM Mapping'!$A$2:$A$270,0)),"Not Mapped"))</f>
        <v>Not Mapped</v>
      </c>
      <c r="E421" s="41" t="n">
        <v>11</v>
      </c>
      <c r="F421" s="41" t="n">
        <v>0</v>
      </c>
      <c r="G421" s="41" t="n">
        <v>11</v>
      </c>
      <c r="H421" s="41" t="n">
        <v>0</v>
      </c>
      <c r="I421" s="41" t="n">
        <v>0</v>
      </c>
      <c r="J421" s="41" t="n">
        <v>0</v>
      </c>
      <c r="K421" s="41" t="n">
        <v>0</v>
      </c>
      <c r="L421" s="41" t="n">
        <v>0</v>
      </c>
    </row>
    <row r="422" customFormat="false" ht="15.75" hidden="false" customHeight="false" outlineLevel="0" collapsed="false">
      <c r="B422" s="39" t="s">
        <v>573</v>
      </c>
      <c r="C422" s="40" t="str">
        <f aca="false">IF(B422="","",IFERROR(INDEX('CLM &amp; IM Mapping'!$B$2:$B$270,MATCH(TRIM(B422),'CLM &amp; IM Mapping'!$A$2:$A$270,0)),"Not Mapped"))</f>
        <v>Not Mapped</v>
      </c>
      <c r="D422" s="40" t="str">
        <f aca="false">IF(B422="","",IFERROR(INDEX('CLM &amp; IM Mapping'!$C$2:$C$270,MATCH(TRIM(B422),'CLM &amp; IM Mapping'!$A$2:$A$270,0)),"Not Mapped"))</f>
        <v>Not Mapped</v>
      </c>
      <c r="E422" s="41" t="n">
        <v>2267</v>
      </c>
      <c r="F422" s="41" t="n">
        <v>892</v>
      </c>
      <c r="G422" s="41" t="n">
        <v>0</v>
      </c>
      <c r="H422" s="41" t="n">
        <v>0</v>
      </c>
      <c r="I422" s="41" t="n">
        <v>387</v>
      </c>
      <c r="J422" s="41" t="n">
        <v>0</v>
      </c>
      <c r="K422" s="41" t="n">
        <v>988</v>
      </c>
      <c r="L422" s="41" t="n">
        <v>1375</v>
      </c>
    </row>
    <row r="423" customFormat="false" ht="15.75" hidden="false" customHeight="false" outlineLevel="0" collapsed="false">
      <c r="B423" s="39" t="s">
        <v>574</v>
      </c>
      <c r="C423" s="40" t="str">
        <f aca="false">IF(B423="","",IFERROR(INDEX('CLM &amp; IM Mapping'!$B$2:$B$270,MATCH(TRIM(B423),'CLM &amp; IM Mapping'!$A$2:$A$270,0)),"Not Mapped"))</f>
        <v>Not Mapped</v>
      </c>
      <c r="D423" s="40" t="str">
        <f aca="false">IF(B423="","",IFERROR(INDEX('CLM &amp; IM Mapping'!$C$2:$C$270,MATCH(TRIM(B423),'CLM &amp; IM Mapping'!$A$2:$A$270,0)),"Not Mapped"))</f>
        <v>Not Mapped</v>
      </c>
      <c r="E423" s="41" t="n">
        <v>0</v>
      </c>
      <c r="F423" s="41" t="n">
        <v>0</v>
      </c>
      <c r="G423" s="41" t="n">
        <v>0</v>
      </c>
      <c r="H423" s="41" t="n">
        <v>0</v>
      </c>
      <c r="I423" s="41" t="n">
        <v>0</v>
      </c>
      <c r="J423" s="41" t="n">
        <v>0</v>
      </c>
      <c r="K423" s="41" t="n">
        <v>0</v>
      </c>
      <c r="L423" s="41" t="n">
        <v>0</v>
      </c>
    </row>
    <row r="424" customFormat="false" ht="15.75" hidden="false" customHeight="false" outlineLevel="0" collapsed="false">
      <c r="B424" s="39" t="s">
        <v>575</v>
      </c>
      <c r="C424" s="40" t="str">
        <f aca="false">IF(B424="","",IFERROR(INDEX('CLM &amp; IM Mapping'!$B$2:$B$270,MATCH(TRIM(B424),'CLM &amp; IM Mapping'!$A$2:$A$270,0)),"Not Mapped"))</f>
        <v>Not Mapped</v>
      </c>
      <c r="D424" s="40" t="str">
        <f aca="false">IF(B424="","",IFERROR(INDEX('CLM &amp; IM Mapping'!$C$2:$C$270,MATCH(TRIM(B424),'CLM &amp; IM Mapping'!$A$2:$A$270,0)),"Not Mapped"))</f>
        <v>Not Mapped</v>
      </c>
      <c r="E424" s="41" t="n">
        <v>928</v>
      </c>
      <c r="F424" s="41" t="n">
        <v>1</v>
      </c>
      <c r="G424" s="41" t="n">
        <v>927</v>
      </c>
      <c r="H424" s="41" t="n">
        <v>0</v>
      </c>
      <c r="I424" s="41" t="n">
        <v>0</v>
      </c>
      <c r="J424" s="41" t="n">
        <v>0</v>
      </c>
      <c r="K424" s="41" t="n">
        <v>0</v>
      </c>
      <c r="L424" s="41" t="n">
        <v>0</v>
      </c>
    </row>
    <row r="425" customFormat="false" ht="15.75" hidden="false" customHeight="false" outlineLevel="0" collapsed="false">
      <c r="B425" s="39" t="s">
        <v>576</v>
      </c>
      <c r="C425" s="40" t="str">
        <f aca="false">IF(B425="","",IFERROR(INDEX('CLM &amp; IM Mapping'!$B$2:$B$270,MATCH(TRIM(B425),'CLM &amp; IM Mapping'!$A$2:$A$270,0)),"Not Mapped"))</f>
        <v>Not Mapped</v>
      </c>
      <c r="D425" s="40" t="str">
        <f aca="false">IF(B425="","",IFERROR(INDEX('CLM &amp; IM Mapping'!$C$2:$C$270,MATCH(TRIM(B425),'CLM &amp; IM Mapping'!$A$2:$A$270,0)),"Not Mapped"))</f>
        <v>Not Mapped</v>
      </c>
      <c r="E425" s="41" t="n">
        <v>2112</v>
      </c>
      <c r="F425" s="41" t="n">
        <v>2112</v>
      </c>
      <c r="G425" s="41" t="n">
        <v>0</v>
      </c>
      <c r="H425" s="41" t="n">
        <v>0</v>
      </c>
      <c r="I425" s="41" t="n">
        <v>0</v>
      </c>
      <c r="J425" s="41" t="n">
        <v>0</v>
      </c>
      <c r="K425" s="41" t="n">
        <v>0</v>
      </c>
      <c r="L425" s="41" t="n">
        <v>0</v>
      </c>
    </row>
    <row r="426" customFormat="false" ht="15.75" hidden="false" customHeight="false" outlineLevel="0" collapsed="false">
      <c r="B426" s="39" t="s">
        <v>577</v>
      </c>
      <c r="C426" s="40" t="str">
        <f aca="false">IF(B426="","",IFERROR(INDEX('CLM &amp; IM Mapping'!$B$2:$B$270,MATCH(TRIM(B426),'CLM &amp; IM Mapping'!$A$2:$A$270,0)),"Not Mapped"))</f>
        <v>Not Mapped</v>
      </c>
      <c r="D426" s="40" t="str">
        <f aca="false">IF(B426="","",IFERROR(INDEX('CLM &amp; IM Mapping'!$C$2:$C$270,MATCH(TRIM(B426),'CLM &amp; IM Mapping'!$A$2:$A$270,0)),"Not Mapped"))</f>
        <v>Not Mapped</v>
      </c>
      <c r="E426" s="41" t="n">
        <v>0</v>
      </c>
      <c r="F426" s="41" t="n">
        <v>0</v>
      </c>
      <c r="G426" s="41" t="n">
        <v>0</v>
      </c>
      <c r="H426" s="41" t="n">
        <v>0</v>
      </c>
      <c r="I426" s="41" t="n">
        <v>0</v>
      </c>
      <c r="J426" s="41" t="n">
        <v>0</v>
      </c>
      <c r="K426" s="41" t="n">
        <v>0</v>
      </c>
      <c r="L426" s="41" t="n">
        <v>0</v>
      </c>
    </row>
    <row r="427" customFormat="false" ht="15.75" hidden="false" customHeight="false" outlineLevel="0" collapsed="false">
      <c r="B427" s="39" t="s">
        <v>578</v>
      </c>
      <c r="C427" s="40" t="str">
        <f aca="false">IF(B427="","",IFERROR(INDEX('CLM &amp; IM Mapping'!$B$2:$B$270,MATCH(TRIM(B427),'CLM &amp; IM Mapping'!$A$2:$A$270,0)),"Not Mapped"))</f>
        <v>Not Mapped</v>
      </c>
      <c r="D427" s="40" t="str">
        <f aca="false">IF(B427="","",IFERROR(INDEX('CLM &amp; IM Mapping'!$C$2:$C$270,MATCH(TRIM(B427),'CLM &amp; IM Mapping'!$A$2:$A$270,0)),"Not Mapped"))</f>
        <v>Not Mapped</v>
      </c>
      <c r="E427" s="41" t="n">
        <v>235</v>
      </c>
      <c r="F427" s="41" t="n">
        <v>0</v>
      </c>
      <c r="G427" s="41" t="n">
        <v>0</v>
      </c>
      <c r="H427" s="41" t="n">
        <v>235</v>
      </c>
      <c r="I427" s="41" t="n">
        <v>0</v>
      </c>
      <c r="J427" s="41" t="n">
        <v>0</v>
      </c>
      <c r="K427" s="41" t="n">
        <v>0</v>
      </c>
      <c r="L427" s="41" t="n">
        <v>0</v>
      </c>
    </row>
    <row r="428" customFormat="false" ht="15.75" hidden="false" customHeight="false" outlineLevel="0" collapsed="false">
      <c r="B428" s="47" t="s">
        <v>579</v>
      </c>
      <c r="C428" s="40" t="str">
        <f aca="false">IF(B428="","",IFERROR(INDEX('CLM &amp; IM Mapping'!$B$2:$B$270,MATCH(TRIM(B428),'CLM &amp; IM Mapping'!$A$2:$A$270,0)),"Not Mapped"))</f>
        <v>Not Mapped</v>
      </c>
      <c r="D428" s="40" t="str">
        <f aca="false">IF(B428="","",IFERROR(INDEX('CLM &amp; IM Mapping'!$C$2:$C$270,MATCH(TRIM(B428),'CLM &amp; IM Mapping'!$A$2:$A$270,0)),"Not Mapped"))</f>
        <v>Not Mapped</v>
      </c>
      <c r="E428" s="41" t="n">
        <v>3972</v>
      </c>
      <c r="F428" s="41" t="n">
        <v>0</v>
      </c>
      <c r="G428" s="41" t="n">
        <v>0</v>
      </c>
      <c r="H428" s="41" t="n">
        <v>3970</v>
      </c>
      <c r="I428" s="41" t="n">
        <v>0</v>
      </c>
      <c r="J428" s="41" t="n">
        <v>0</v>
      </c>
      <c r="K428" s="41" t="n">
        <v>2</v>
      </c>
      <c r="L428" s="41" t="n">
        <v>3972</v>
      </c>
    </row>
    <row r="429" customFormat="false" ht="15.75" hidden="false" customHeight="false" outlineLevel="0" collapsed="false">
      <c r="B429" s="39" t="s">
        <v>580</v>
      </c>
      <c r="C429" s="40" t="str">
        <f aca="false">IF(B429="","",IFERROR(INDEX('CLM &amp; IM Mapping'!$B$2:$B$270,MATCH(TRIM(B429),'CLM &amp; IM Mapping'!$A$2:$A$270,0)),"Not Mapped"))</f>
        <v>Not Mapped</v>
      </c>
      <c r="D429" s="40" t="str">
        <f aca="false">IF(B429="","",IFERROR(INDEX('CLM &amp; IM Mapping'!$C$2:$C$270,MATCH(TRIM(B429),'CLM &amp; IM Mapping'!$A$2:$A$270,0)),"Not Mapped"))</f>
        <v>Not Mapped</v>
      </c>
      <c r="E429" s="41" t="n">
        <v>5604</v>
      </c>
      <c r="F429" s="41" t="n">
        <v>4055</v>
      </c>
      <c r="G429" s="41" t="n">
        <v>412</v>
      </c>
      <c r="H429" s="41" t="n">
        <v>0</v>
      </c>
      <c r="I429" s="41" t="n">
        <v>120</v>
      </c>
      <c r="J429" s="41" t="n">
        <v>0</v>
      </c>
      <c r="K429" s="41" t="n">
        <v>1017</v>
      </c>
      <c r="L429" s="41" t="n">
        <v>1137</v>
      </c>
    </row>
    <row r="430" customFormat="false" ht="15.75" hidden="false" customHeight="false" outlineLevel="0" collapsed="false">
      <c r="B430" s="39" t="s">
        <v>581</v>
      </c>
      <c r="C430" s="40" t="str">
        <f aca="false">IF(B430="","",IFERROR(INDEX('CLM &amp; IM Mapping'!$B$2:$B$270,MATCH(TRIM(B430),'CLM &amp; IM Mapping'!$A$2:$A$270,0)),"Not Mapped"))</f>
        <v>Not Mapped</v>
      </c>
      <c r="D430" s="40" t="str">
        <f aca="false">IF(B430="","",IFERROR(INDEX('CLM &amp; IM Mapping'!$C$2:$C$270,MATCH(TRIM(B430),'CLM &amp; IM Mapping'!$A$2:$A$270,0)),"Not Mapped"))</f>
        <v>Not Mapped</v>
      </c>
      <c r="E430" s="41" t="n">
        <v>0</v>
      </c>
      <c r="F430" s="41" t="n">
        <v>0</v>
      </c>
      <c r="G430" s="41" t="n">
        <v>0</v>
      </c>
      <c r="H430" s="41" t="n">
        <v>0</v>
      </c>
      <c r="I430" s="41" t="n">
        <v>0</v>
      </c>
      <c r="J430" s="41" t="n">
        <v>0</v>
      </c>
      <c r="K430" s="41" t="n">
        <v>0</v>
      </c>
      <c r="L430" s="41" t="n">
        <v>0</v>
      </c>
    </row>
    <row r="431" customFormat="false" ht="15.75" hidden="false" customHeight="false" outlineLevel="0" collapsed="false">
      <c r="B431" s="39" t="s">
        <v>582</v>
      </c>
      <c r="C431" s="40" t="str">
        <f aca="false">IF(B431="","",IFERROR(INDEX('CLM &amp; IM Mapping'!$B$2:$B$270,MATCH(TRIM(B431),'CLM &amp; IM Mapping'!$A$2:$A$270,0)),"Not Mapped"))</f>
        <v>Not Mapped</v>
      </c>
      <c r="D431" s="40" t="str">
        <f aca="false">IF(B431="","",IFERROR(INDEX('CLM &amp; IM Mapping'!$C$2:$C$270,MATCH(TRIM(B431),'CLM &amp; IM Mapping'!$A$2:$A$270,0)),"Not Mapped"))</f>
        <v>Not Mapped</v>
      </c>
      <c r="E431" s="41" t="n">
        <v>211</v>
      </c>
      <c r="F431" s="41" t="n">
        <v>188</v>
      </c>
      <c r="G431" s="41" t="n">
        <v>0</v>
      </c>
      <c r="H431" s="41" t="n">
        <v>17</v>
      </c>
      <c r="I431" s="41" t="n">
        <v>0</v>
      </c>
      <c r="J431" s="41" t="n">
        <v>0</v>
      </c>
      <c r="K431" s="41" t="n">
        <v>6</v>
      </c>
      <c r="L431" s="41" t="n">
        <v>23</v>
      </c>
    </row>
    <row r="432" customFormat="false" ht="15.75" hidden="false" customHeight="false" outlineLevel="0" collapsed="false">
      <c r="B432" s="39" t="s">
        <v>583</v>
      </c>
      <c r="C432" s="40" t="str">
        <f aca="false">IF(B432="","",IFERROR(INDEX('CLM &amp; IM Mapping'!$B$2:$B$270,MATCH(TRIM(B432),'CLM &amp; IM Mapping'!$A$2:$A$270,0)),"Not Mapped"))</f>
        <v>Not Mapped</v>
      </c>
      <c r="D432" s="40" t="str">
        <f aca="false">IF(B432="","",IFERROR(INDEX('CLM &amp; IM Mapping'!$C$2:$C$270,MATCH(TRIM(B432),'CLM &amp; IM Mapping'!$A$2:$A$270,0)),"Not Mapped"))</f>
        <v>Not Mapped</v>
      </c>
      <c r="E432" s="41" t="n">
        <v>1306</v>
      </c>
      <c r="F432" s="41" t="n">
        <v>1305</v>
      </c>
      <c r="G432" s="41" t="n">
        <v>0</v>
      </c>
      <c r="H432" s="41" t="n">
        <v>0</v>
      </c>
      <c r="I432" s="41" t="n">
        <v>0</v>
      </c>
      <c r="J432" s="41" t="n">
        <v>0</v>
      </c>
      <c r="K432" s="41" t="n">
        <v>1</v>
      </c>
      <c r="L432" s="41" t="n">
        <v>1</v>
      </c>
    </row>
    <row r="433" customFormat="false" ht="15.75" hidden="false" customHeight="false" outlineLevel="0" collapsed="false">
      <c r="B433" s="39" t="s">
        <v>584</v>
      </c>
      <c r="C433" s="40" t="str">
        <f aca="false">IF(B433="","",IFERROR(INDEX('CLM &amp; IM Mapping'!$B$2:$B$270,MATCH(TRIM(B433),'CLM &amp; IM Mapping'!$A$2:$A$270,0)),"Not Mapped"))</f>
        <v>Not Mapped</v>
      </c>
      <c r="D433" s="40" t="str">
        <f aca="false">IF(B433="","",IFERROR(INDEX('CLM &amp; IM Mapping'!$C$2:$C$270,MATCH(TRIM(B433),'CLM &amp; IM Mapping'!$A$2:$A$270,0)),"Not Mapped"))</f>
        <v>Not Mapped</v>
      </c>
      <c r="E433" s="41" t="n">
        <v>5730</v>
      </c>
      <c r="F433" s="41" t="n">
        <v>5550</v>
      </c>
      <c r="G433" s="41" t="n">
        <v>0</v>
      </c>
      <c r="H433" s="41" t="n">
        <v>0</v>
      </c>
      <c r="I433" s="41" t="n">
        <v>180</v>
      </c>
      <c r="J433" s="41" t="n">
        <v>0</v>
      </c>
      <c r="K433" s="41" t="n">
        <v>0</v>
      </c>
      <c r="L433" s="41" t="n">
        <v>180</v>
      </c>
    </row>
    <row r="434" customFormat="false" ht="15.75" hidden="false" customHeight="false" outlineLevel="0" collapsed="false">
      <c r="B434" s="39" t="s">
        <v>585</v>
      </c>
      <c r="C434" s="40" t="str">
        <f aca="false">IF(B434="","",IFERROR(INDEX('CLM &amp; IM Mapping'!$B$2:$B$270,MATCH(TRIM(B434),'CLM &amp; IM Mapping'!$A$2:$A$270,0)),"Not Mapped"))</f>
        <v>Not Mapped</v>
      </c>
      <c r="D434" s="40" t="str">
        <f aca="false">IF(B434="","",IFERROR(INDEX('CLM &amp; IM Mapping'!$C$2:$C$270,MATCH(TRIM(B434),'CLM &amp; IM Mapping'!$A$2:$A$270,0)),"Not Mapped"))</f>
        <v>Not Mapped</v>
      </c>
      <c r="E434" s="41" t="n">
        <v>3</v>
      </c>
      <c r="F434" s="41" t="n">
        <v>0</v>
      </c>
      <c r="G434" s="41" t="n">
        <v>0</v>
      </c>
      <c r="H434" s="41" t="n">
        <v>0</v>
      </c>
      <c r="I434" s="41" t="n">
        <v>0</v>
      </c>
      <c r="J434" s="41" t="n">
        <v>0</v>
      </c>
      <c r="K434" s="41" t="n">
        <v>3</v>
      </c>
      <c r="L434" s="41" t="n">
        <v>3</v>
      </c>
    </row>
    <row r="435" customFormat="false" ht="15.75" hidden="false" customHeight="false" outlineLevel="0" collapsed="false">
      <c r="B435" s="39" t="s">
        <v>586</v>
      </c>
      <c r="C435" s="40" t="str">
        <f aca="false">IF(B435="","",IFERROR(INDEX('CLM &amp; IM Mapping'!$B$2:$B$270,MATCH(TRIM(B435),'CLM &amp; IM Mapping'!$A$2:$A$270,0)),"Not Mapped"))</f>
        <v>Not Mapped</v>
      </c>
      <c r="D435" s="40" t="str">
        <f aca="false">IF(B435="","",IFERROR(INDEX('CLM &amp; IM Mapping'!$C$2:$C$270,MATCH(TRIM(B435),'CLM &amp; IM Mapping'!$A$2:$A$270,0)),"Not Mapped"))</f>
        <v>Not Mapped</v>
      </c>
      <c r="E435" s="41" t="n">
        <v>4502</v>
      </c>
      <c r="F435" s="41" t="n">
        <v>3699</v>
      </c>
      <c r="G435" s="41" t="n">
        <v>803</v>
      </c>
      <c r="H435" s="41" t="n">
        <v>0</v>
      </c>
      <c r="I435" s="41" t="n">
        <v>0</v>
      </c>
      <c r="J435" s="41" t="n">
        <v>0</v>
      </c>
      <c r="K435" s="41" t="n">
        <v>0</v>
      </c>
      <c r="L435" s="41" t="n">
        <v>0</v>
      </c>
    </row>
    <row r="436" customFormat="false" ht="15.75" hidden="false" customHeight="false" outlineLevel="0" collapsed="false">
      <c r="B436" s="39" t="s">
        <v>587</v>
      </c>
      <c r="C436" s="40" t="str">
        <f aca="false">IF(B436="","",IFERROR(INDEX('CLM &amp; IM Mapping'!$B$2:$B$270,MATCH(TRIM(B436),'CLM &amp; IM Mapping'!$A$2:$A$270,0)),"Not Mapped"))</f>
        <v>Not Mapped</v>
      </c>
      <c r="D436" s="40" t="str">
        <f aca="false">IF(B436="","",IFERROR(INDEX('CLM &amp; IM Mapping'!$C$2:$C$270,MATCH(TRIM(B436),'CLM &amp; IM Mapping'!$A$2:$A$270,0)),"Not Mapped"))</f>
        <v>Not Mapped</v>
      </c>
      <c r="E436" s="41" t="n">
        <v>286</v>
      </c>
      <c r="F436" s="41" t="n">
        <v>229</v>
      </c>
      <c r="G436" s="41" t="n">
        <v>57</v>
      </c>
      <c r="H436" s="41" t="n">
        <v>0</v>
      </c>
      <c r="I436" s="41" t="n">
        <v>0</v>
      </c>
      <c r="J436" s="41" t="n">
        <v>0</v>
      </c>
      <c r="K436" s="41" t="n">
        <v>0</v>
      </c>
      <c r="L436" s="41" t="n">
        <v>0</v>
      </c>
    </row>
    <row r="437" customFormat="false" ht="15.75" hidden="false" customHeight="false" outlineLevel="0" collapsed="false">
      <c r="B437" s="39" t="s">
        <v>588</v>
      </c>
      <c r="C437" s="40" t="str">
        <f aca="false">IF(B437="","",IFERROR(INDEX('CLM &amp; IM Mapping'!$B$2:$B$270,MATCH(TRIM(B437),'CLM &amp; IM Mapping'!$A$2:$A$270,0)),"Not Mapped"))</f>
        <v>Not Mapped</v>
      </c>
      <c r="D437" s="40" t="str">
        <f aca="false">IF(B437="","",IFERROR(INDEX('CLM &amp; IM Mapping'!$C$2:$C$270,MATCH(TRIM(B437),'CLM &amp; IM Mapping'!$A$2:$A$270,0)),"Not Mapped"))</f>
        <v>Not Mapped</v>
      </c>
      <c r="E437" s="41" t="n">
        <v>8548</v>
      </c>
      <c r="F437" s="41" t="n">
        <v>5707</v>
      </c>
      <c r="G437" s="41" t="n">
        <v>10</v>
      </c>
      <c r="H437" s="41" t="n">
        <v>0</v>
      </c>
      <c r="I437" s="41" t="n">
        <v>357</v>
      </c>
      <c r="J437" s="41" t="n">
        <v>1089</v>
      </c>
      <c r="K437" s="41" t="n">
        <v>1385</v>
      </c>
      <c r="L437" s="41" t="n">
        <v>2831</v>
      </c>
    </row>
    <row r="438" customFormat="false" ht="15.75" hidden="false" customHeight="false" outlineLevel="0" collapsed="false">
      <c r="B438" s="39" t="s">
        <v>589</v>
      </c>
      <c r="C438" s="40" t="str">
        <f aca="false">IF(B438="","",IFERROR(INDEX('CLM &amp; IM Mapping'!$B$2:$B$270,MATCH(TRIM(B438),'CLM &amp; IM Mapping'!$A$2:$A$270,0)),"Not Mapped"))</f>
        <v>Not Mapped</v>
      </c>
      <c r="D438" s="40" t="str">
        <f aca="false">IF(B438="","",IFERROR(INDEX('CLM &amp; IM Mapping'!$C$2:$C$270,MATCH(TRIM(B438),'CLM &amp; IM Mapping'!$A$2:$A$270,0)),"Not Mapped"))</f>
        <v>Not Mapped</v>
      </c>
      <c r="E438" s="41" t="n">
        <v>10036</v>
      </c>
      <c r="F438" s="41" t="n">
        <v>5158</v>
      </c>
      <c r="G438" s="41" t="n">
        <v>1027</v>
      </c>
      <c r="H438" s="41" t="n">
        <v>0</v>
      </c>
      <c r="I438" s="41" t="n">
        <v>2534</v>
      </c>
      <c r="J438" s="41" t="n">
        <v>0</v>
      </c>
      <c r="K438" s="41" t="n">
        <v>1317</v>
      </c>
      <c r="L438" s="41" t="n">
        <v>3851</v>
      </c>
    </row>
    <row r="439" customFormat="false" ht="15.75" hidden="false" customHeight="false" outlineLevel="0" collapsed="false">
      <c r="B439" s="39" t="s">
        <v>590</v>
      </c>
      <c r="C439" s="40" t="str">
        <f aca="false">IF(B439="","",IFERROR(INDEX('CLM &amp; IM Mapping'!$B$2:$B$270,MATCH(TRIM(B439),'CLM &amp; IM Mapping'!$A$2:$A$270,0)),"Not Mapped"))</f>
        <v>Not Mapped</v>
      </c>
      <c r="D439" s="40" t="str">
        <f aca="false">IF(B439="","",IFERROR(INDEX('CLM &amp; IM Mapping'!$C$2:$C$270,MATCH(TRIM(B439),'CLM &amp; IM Mapping'!$A$2:$A$270,0)),"Not Mapped"))</f>
        <v>Not Mapped</v>
      </c>
      <c r="E439" s="41" t="n">
        <v>1255</v>
      </c>
      <c r="F439" s="41" t="n">
        <v>1255</v>
      </c>
      <c r="G439" s="41" t="n">
        <v>0</v>
      </c>
      <c r="H439" s="41" t="n">
        <v>0</v>
      </c>
      <c r="I439" s="41" t="n">
        <v>0</v>
      </c>
      <c r="J439" s="41" t="n">
        <v>0</v>
      </c>
      <c r="K439" s="41" t="n">
        <v>0</v>
      </c>
      <c r="L439" s="41" t="n">
        <v>0</v>
      </c>
    </row>
    <row r="440" customFormat="false" ht="15.75" hidden="false" customHeight="false" outlineLevel="0" collapsed="false">
      <c r="B440" s="39" t="s">
        <v>591</v>
      </c>
      <c r="C440" s="40" t="str">
        <f aca="false">IF(B440="","",IFERROR(INDEX('CLM &amp; IM Mapping'!$B$2:$B$270,MATCH(TRIM(B440),'CLM &amp; IM Mapping'!$A$2:$A$270,0)),"Not Mapped"))</f>
        <v>Not Mapped</v>
      </c>
      <c r="D440" s="40" t="str">
        <f aca="false">IF(B440="","",IFERROR(INDEX('CLM &amp; IM Mapping'!$C$2:$C$270,MATCH(TRIM(B440),'CLM &amp; IM Mapping'!$A$2:$A$270,0)),"Not Mapped"))</f>
        <v>Not Mapped</v>
      </c>
      <c r="E440" s="41" t="n">
        <v>4557</v>
      </c>
      <c r="F440" s="41" t="n">
        <v>4216</v>
      </c>
      <c r="G440" s="41" t="n">
        <v>0</v>
      </c>
      <c r="H440" s="41" t="n">
        <v>148</v>
      </c>
      <c r="I440" s="41" t="n">
        <v>193</v>
      </c>
      <c r="J440" s="41" t="n">
        <v>0</v>
      </c>
      <c r="K440" s="41" t="n">
        <v>0</v>
      </c>
      <c r="L440" s="41" t="n">
        <v>193</v>
      </c>
    </row>
    <row r="441" customFormat="false" ht="15.75" hidden="false" customHeight="false" outlineLevel="0" collapsed="false">
      <c r="B441" s="39" t="s">
        <v>592</v>
      </c>
      <c r="C441" s="40" t="str">
        <f aca="false">IF(B441="","",IFERROR(INDEX('CLM &amp; IM Mapping'!$B$2:$B$270,MATCH(TRIM(B441),'CLM &amp; IM Mapping'!$A$2:$A$270,0)),"Not Mapped"))</f>
        <v>Not Mapped</v>
      </c>
      <c r="D441" s="40" t="str">
        <f aca="false">IF(B441="","",IFERROR(INDEX('CLM &amp; IM Mapping'!$C$2:$C$270,MATCH(TRIM(B441),'CLM &amp; IM Mapping'!$A$2:$A$270,0)),"Not Mapped"))</f>
        <v>Not Mapped</v>
      </c>
      <c r="E441" s="41" t="n">
        <v>2</v>
      </c>
      <c r="F441" s="41" t="n">
        <v>2</v>
      </c>
      <c r="G441" s="41" t="n">
        <v>0</v>
      </c>
      <c r="H441" s="41" t="n">
        <v>0</v>
      </c>
      <c r="I441" s="41" t="n">
        <v>0</v>
      </c>
      <c r="J441" s="41" t="n">
        <v>0</v>
      </c>
      <c r="K441" s="41" t="n">
        <v>0</v>
      </c>
      <c r="L441" s="41" t="n">
        <v>0</v>
      </c>
    </row>
    <row r="442" customFormat="false" ht="15.75" hidden="false" customHeight="false" outlineLevel="0" collapsed="false">
      <c r="B442" s="39" t="s">
        <v>593</v>
      </c>
      <c r="C442" s="40" t="str">
        <f aca="false">IF(B442="","",IFERROR(INDEX('CLM &amp; IM Mapping'!$B$2:$B$270,MATCH(TRIM(B442),'CLM &amp; IM Mapping'!$A$2:$A$270,0)),"Not Mapped"))</f>
        <v>Not Mapped</v>
      </c>
      <c r="D442" s="40" t="str">
        <f aca="false">IF(B442="","",IFERROR(INDEX('CLM &amp; IM Mapping'!$C$2:$C$270,MATCH(TRIM(B442),'CLM &amp; IM Mapping'!$A$2:$A$270,0)),"Not Mapped"))</f>
        <v>Not Mapped</v>
      </c>
      <c r="E442" s="41" t="n">
        <v>4267</v>
      </c>
      <c r="F442" s="41" t="n">
        <v>0</v>
      </c>
      <c r="G442" s="41" t="n">
        <v>749</v>
      </c>
      <c r="H442" s="41" t="n">
        <v>3483</v>
      </c>
      <c r="I442" s="41" t="n">
        <v>0</v>
      </c>
      <c r="J442" s="41" t="n">
        <v>16</v>
      </c>
      <c r="K442" s="41" t="n">
        <v>19</v>
      </c>
      <c r="L442" s="41" t="n">
        <v>3518</v>
      </c>
    </row>
    <row r="443" customFormat="false" ht="15.75" hidden="false" customHeight="false" outlineLevel="0" collapsed="false">
      <c r="B443" s="39" t="s">
        <v>594</v>
      </c>
      <c r="C443" s="40" t="str">
        <f aca="false">IF(B443="","",IFERROR(INDEX('CLM &amp; IM Mapping'!$B$2:$B$270,MATCH(TRIM(B443),'CLM &amp; IM Mapping'!$A$2:$A$270,0)),"Not Mapped"))</f>
        <v>Not Mapped</v>
      </c>
      <c r="D443" s="40" t="str">
        <f aca="false">IF(B443="","",IFERROR(INDEX('CLM &amp; IM Mapping'!$C$2:$C$270,MATCH(TRIM(B443),'CLM &amp; IM Mapping'!$A$2:$A$270,0)),"Not Mapped"))</f>
        <v>Not Mapped</v>
      </c>
      <c r="E443" s="41" t="n">
        <v>3165</v>
      </c>
      <c r="F443" s="41" t="n">
        <v>2</v>
      </c>
      <c r="G443" s="41" t="n">
        <v>3163</v>
      </c>
      <c r="H443" s="41" t="n">
        <v>0</v>
      </c>
      <c r="I443" s="41" t="n">
        <v>0</v>
      </c>
      <c r="J443" s="41" t="n">
        <v>0</v>
      </c>
      <c r="K443" s="41" t="n">
        <v>0</v>
      </c>
      <c r="L443" s="41" t="n">
        <v>0</v>
      </c>
    </row>
    <row r="444" customFormat="false" ht="15.75" hidden="false" customHeight="false" outlineLevel="0" collapsed="false">
      <c r="B444" s="39" t="s">
        <v>595</v>
      </c>
      <c r="C444" s="40" t="str">
        <f aca="false">IF(B444="","",IFERROR(INDEX('CLM &amp; IM Mapping'!$B$2:$B$270,MATCH(TRIM(B444),'CLM &amp; IM Mapping'!$A$2:$A$270,0)),"Not Mapped"))</f>
        <v>Not Mapped</v>
      </c>
      <c r="D444" s="40" t="str">
        <f aca="false">IF(B444="","",IFERROR(INDEX('CLM &amp; IM Mapping'!$C$2:$C$270,MATCH(TRIM(B444),'CLM &amp; IM Mapping'!$A$2:$A$270,0)),"Not Mapped"))</f>
        <v>Not Mapped</v>
      </c>
      <c r="E444" s="41" t="n">
        <v>487</v>
      </c>
      <c r="F444" s="41" t="n">
        <v>0</v>
      </c>
      <c r="G444" s="41" t="n">
        <v>0</v>
      </c>
      <c r="H444" s="41" t="n">
        <v>487</v>
      </c>
      <c r="I444" s="41" t="n">
        <v>0</v>
      </c>
      <c r="J444" s="41" t="n">
        <v>0</v>
      </c>
      <c r="K444" s="41" t="n">
        <v>0</v>
      </c>
      <c r="L444" s="41" t="n">
        <v>487</v>
      </c>
    </row>
    <row r="445" customFormat="false" ht="15.75" hidden="false" customHeight="false" outlineLevel="0" collapsed="false">
      <c r="B445" s="39" t="s">
        <v>596</v>
      </c>
      <c r="C445" s="40" t="str">
        <f aca="false">IF(B445="","",IFERROR(INDEX('CLM &amp; IM Mapping'!$B$2:$B$270,MATCH(TRIM(B445),'CLM &amp; IM Mapping'!$A$2:$A$270,0)),"Not Mapped"))</f>
        <v>Not Mapped</v>
      </c>
      <c r="D445" s="40" t="str">
        <f aca="false">IF(B445="","",IFERROR(INDEX('CLM &amp; IM Mapping'!$C$2:$C$270,MATCH(TRIM(B445),'CLM &amp; IM Mapping'!$A$2:$A$270,0)),"Not Mapped"))</f>
        <v>Not Mapped</v>
      </c>
      <c r="E445" s="41" t="n">
        <v>4896</v>
      </c>
      <c r="F445" s="41" t="n">
        <v>3465</v>
      </c>
      <c r="G445" s="41" t="n">
        <v>1431</v>
      </c>
      <c r="H445" s="41" t="n">
        <v>0</v>
      </c>
      <c r="I445" s="41" t="n">
        <v>0</v>
      </c>
      <c r="J445" s="41" t="n">
        <v>0</v>
      </c>
      <c r="K445" s="41" t="n">
        <v>0</v>
      </c>
      <c r="L445" s="41" t="n">
        <v>0</v>
      </c>
    </row>
    <row r="446" customFormat="false" ht="15.75" hidden="false" customHeight="false" outlineLevel="0" collapsed="false">
      <c r="B446" s="39" t="s">
        <v>597</v>
      </c>
      <c r="C446" s="40" t="str">
        <f aca="false">IF(B446="","",IFERROR(INDEX('CLM &amp; IM Mapping'!$B$2:$B$270,MATCH(TRIM(B446),'CLM &amp; IM Mapping'!$A$2:$A$270,0)),"Not Mapped"))</f>
        <v>Not Mapped</v>
      </c>
      <c r="D446" s="40" t="str">
        <f aca="false">IF(B446="","",IFERROR(INDEX('CLM &amp; IM Mapping'!$C$2:$C$270,MATCH(TRIM(B446),'CLM &amp; IM Mapping'!$A$2:$A$270,0)),"Not Mapped"))</f>
        <v>Not Mapped</v>
      </c>
      <c r="E446" s="41" t="n">
        <v>1258</v>
      </c>
      <c r="F446" s="41" t="n">
        <v>0</v>
      </c>
      <c r="G446" s="41" t="n">
        <v>1258</v>
      </c>
      <c r="H446" s="41" t="n">
        <v>0</v>
      </c>
      <c r="I446" s="41" t="n">
        <v>0</v>
      </c>
      <c r="J446" s="41" t="n">
        <v>0</v>
      </c>
      <c r="K446" s="41" t="n">
        <v>0</v>
      </c>
      <c r="L446" s="41" t="n">
        <v>0</v>
      </c>
    </row>
    <row r="447" customFormat="false" ht="15.75" hidden="false" customHeight="false" outlineLevel="0" collapsed="false">
      <c r="B447" s="39" t="s">
        <v>598</v>
      </c>
      <c r="C447" s="40" t="str">
        <f aca="false">IF(B447="","",IFERROR(INDEX('CLM &amp; IM Mapping'!$B$2:$B$270,MATCH(TRIM(B447),'CLM &amp; IM Mapping'!$A$2:$A$270,0)),"Not Mapped"))</f>
        <v>Not Mapped</v>
      </c>
      <c r="D447" s="40" t="str">
        <f aca="false">IF(B447="","",IFERROR(INDEX('CLM &amp; IM Mapping'!$C$2:$C$270,MATCH(TRIM(B447),'CLM &amp; IM Mapping'!$A$2:$A$270,0)),"Not Mapped"))</f>
        <v>Not Mapped</v>
      </c>
      <c r="E447" s="41" t="n">
        <v>3951</v>
      </c>
      <c r="F447" s="41" t="n">
        <v>657</v>
      </c>
      <c r="G447" s="41" t="n">
        <v>2841</v>
      </c>
      <c r="H447" s="41" t="n">
        <v>0</v>
      </c>
      <c r="I447" s="41" t="n">
        <v>360</v>
      </c>
      <c r="J447" s="41" t="n">
        <v>0</v>
      </c>
      <c r="K447" s="41" t="n">
        <v>93</v>
      </c>
      <c r="L447" s="41" t="n">
        <v>453</v>
      </c>
    </row>
    <row r="448" customFormat="false" ht="15.75" hidden="false" customHeight="false" outlineLevel="0" collapsed="false">
      <c r="B448" s="39" t="s">
        <v>599</v>
      </c>
      <c r="C448" s="40" t="str">
        <f aca="false">IF(B448="","",IFERROR(INDEX('CLM &amp; IM Mapping'!$B$2:$B$270,MATCH(TRIM(B448),'CLM &amp; IM Mapping'!$A$2:$A$270,0)),"Not Mapped"))</f>
        <v>Not Mapped</v>
      </c>
      <c r="D448" s="40" t="str">
        <f aca="false">IF(B448="","",IFERROR(INDEX('CLM &amp; IM Mapping'!$C$2:$C$270,MATCH(TRIM(B448),'CLM &amp; IM Mapping'!$A$2:$A$270,0)),"Not Mapped"))</f>
        <v>Not Mapped</v>
      </c>
      <c r="E448" s="41" t="n">
        <v>0</v>
      </c>
      <c r="F448" s="41" t="n">
        <v>0</v>
      </c>
      <c r="G448" s="41" t="n">
        <v>0</v>
      </c>
      <c r="H448" s="41" t="n">
        <v>0</v>
      </c>
      <c r="I448" s="41" t="n">
        <v>0</v>
      </c>
      <c r="J448" s="41" t="n">
        <v>0</v>
      </c>
      <c r="K448" s="41" t="n">
        <v>0</v>
      </c>
      <c r="L448" s="41" t="n">
        <v>0</v>
      </c>
    </row>
    <row r="449" customFormat="false" ht="15.75" hidden="false" customHeight="false" outlineLevel="0" collapsed="false">
      <c r="B449" s="39" t="s">
        <v>600</v>
      </c>
      <c r="C449" s="40" t="str">
        <f aca="false">IF(B449="","",IFERROR(INDEX('CLM &amp; IM Mapping'!$B$2:$B$270,MATCH(TRIM(B449),'CLM &amp; IM Mapping'!$A$2:$A$270,0)),"Not Mapped"))</f>
        <v>Not Mapped</v>
      </c>
      <c r="D449" s="40" t="str">
        <f aca="false">IF(B449="","",IFERROR(INDEX('CLM &amp; IM Mapping'!$C$2:$C$270,MATCH(TRIM(B449),'CLM &amp; IM Mapping'!$A$2:$A$270,0)),"Not Mapped"))</f>
        <v>Not Mapped</v>
      </c>
      <c r="E449" s="41" t="n">
        <v>0</v>
      </c>
      <c r="F449" s="41" t="n">
        <v>0</v>
      </c>
      <c r="G449" s="41" t="n">
        <v>0</v>
      </c>
      <c r="H449" s="41" t="n">
        <v>0</v>
      </c>
      <c r="I449" s="41" t="n">
        <v>0</v>
      </c>
      <c r="J449" s="41" t="n">
        <v>0</v>
      </c>
      <c r="K449" s="41" t="n">
        <v>0</v>
      </c>
      <c r="L449" s="41" t="n">
        <v>0</v>
      </c>
    </row>
    <row r="450" customFormat="false" ht="15.75" hidden="false" customHeight="false" outlineLevel="0" collapsed="false">
      <c r="B450" s="39" t="s">
        <v>601</v>
      </c>
      <c r="C450" s="40" t="str">
        <f aca="false">IF(B450="","",IFERROR(INDEX('CLM &amp; IM Mapping'!$B$2:$B$270,MATCH(TRIM(B450),'CLM &amp; IM Mapping'!$A$2:$A$270,0)),"Not Mapped"))</f>
        <v>Not Mapped</v>
      </c>
      <c r="D450" s="40" t="str">
        <f aca="false">IF(B450="","",IFERROR(INDEX('CLM &amp; IM Mapping'!$C$2:$C$270,MATCH(TRIM(B450),'CLM &amp; IM Mapping'!$A$2:$A$270,0)),"Not Mapped"))</f>
        <v>Not Mapped</v>
      </c>
      <c r="E450" s="41" t="n">
        <v>1146</v>
      </c>
      <c r="F450" s="41" t="n">
        <v>0</v>
      </c>
      <c r="G450" s="41" t="n">
        <v>1146</v>
      </c>
      <c r="H450" s="41" t="n">
        <v>0</v>
      </c>
      <c r="I450" s="41" t="n">
        <v>0</v>
      </c>
      <c r="J450" s="41" t="n">
        <v>0</v>
      </c>
      <c r="K450" s="41" t="n">
        <v>0</v>
      </c>
      <c r="L450" s="41" t="n">
        <v>0</v>
      </c>
    </row>
    <row r="451" customFormat="false" ht="15.75" hidden="false" customHeight="false" outlineLevel="0" collapsed="false">
      <c r="B451" s="39" t="s">
        <v>602</v>
      </c>
      <c r="C451" s="40" t="str">
        <f aca="false">IF(B451="","",IFERROR(INDEX('CLM &amp; IM Mapping'!$B$2:$B$270,MATCH(TRIM(B451),'CLM &amp; IM Mapping'!$A$2:$A$270,0)),"Not Mapped"))</f>
        <v>Not Mapped</v>
      </c>
      <c r="D451" s="40" t="str">
        <f aca="false">IF(B451="","",IFERROR(INDEX('CLM &amp; IM Mapping'!$C$2:$C$270,MATCH(TRIM(B451),'CLM &amp; IM Mapping'!$A$2:$A$270,0)),"Not Mapped"))</f>
        <v>Not Mapped</v>
      </c>
      <c r="E451" s="41" t="n">
        <v>3709</v>
      </c>
      <c r="F451" s="41" t="n">
        <v>1844</v>
      </c>
      <c r="G451" s="41" t="n">
        <v>1865</v>
      </c>
      <c r="H451" s="41" t="n">
        <v>0</v>
      </c>
      <c r="I451" s="41" t="n">
        <v>0</v>
      </c>
      <c r="J451" s="41" t="n">
        <v>0</v>
      </c>
      <c r="K451" s="41" t="n">
        <v>0</v>
      </c>
      <c r="L451" s="41" t="n">
        <v>0</v>
      </c>
    </row>
    <row r="452" customFormat="false" ht="15.75" hidden="false" customHeight="false" outlineLevel="0" collapsed="false">
      <c r="B452" s="39" t="s">
        <v>603</v>
      </c>
      <c r="C452" s="40" t="str">
        <f aca="false">IF(B452="","",IFERROR(INDEX('CLM &amp; IM Mapping'!$B$2:$B$270,MATCH(TRIM(B452),'CLM &amp; IM Mapping'!$A$2:$A$270,0)),"Not Mapped"))</f>
        <v>Not Mapped</v>
      </c>
      <c r="D452" s="40" t="str">
        <f aca="false">IF(B452="","",IFERROR(INDEX('CLM &amp; IM Mapping'!$C$2:$C$270,MATCH(TRIM(B452),'CLM &amp; IM Mapping'!$A$2:$A$270,0)),"Not Mapped"))</f>
        <v>Not Mapped</v>
      </c>
      <c r="E452" s="41" t="n">
        <v>0</v>
      </c>
      <c r="F452" s="41" t="n">
        <v>0</v>
      </c>
      <c r="G452" s="41" t="n">
        <v>0</v>
      </c>
      <c r="H452" s="41" t="n">
        <v>0</v>
      </c>
      <c r="I452" s="41" t="n">
        <v>0</v>
      </c>
      <c r="J452" s="41" t="n">
        <v>0</v>
      </c>
      <c r="K452" s="41" t="n">
        <v>0</v>
      </c>
      <c r="L452" s="41" t="n">
        <v>0</v>
      </c>
    </row>
    <row r="453" customFormat="false" ht="15.75" hidden="false" customHeight="false" outlineLevel="0" collapsed="false">
      <c r="B453" s="39" t="s">
        <v>604</v>
      </c>
      <c r="C453" s="40" t="str">
        <f aca="false">IF(B453="","",IFERROR(INDEX('CLM &amp; IM Mapping'!$B$2:$B$270,MATCH(TRIM(B453),'CLM &amp; IM Mapping'!$A$2:$A$270,0)),"Not Mapped"))</f>
        <v>Not Mapped</v>
      </c>
      <c r="D453" s="40" t="str">
        <f aca="false">IF(B453="","",IFERROR(INDEX('CLM &amp; IM Mapping'!$C$2:$C$270,MATCH(TRIM(B453),'CLM &amp; IM Mapping'!$A$2:$A$270,0)),"Not Mapped"))</f>
        <v>Not Mapped</v>
      </c>
      <c r="E453" s="41" t="n">
        <v>2173</v>
      </c>
      <c r="F453" s="41" t="n">
        <v>964</v>
      </c>
      <c r="G453" s="41" t="n">
        <v>1209</v>
      </c>
      <c r="H453" s="41" t="n">
        <v>0</v>
      </c>
      <c r="I453" s="41" t="n">
        <v>0</v>
      </c>
      <c r="J453" s="41" t="n">
        <v>0</v>
      </c>
      <c r="K453" s="41" t="n">
        <v>0</v>
      </c>
      <c r="L453" s="41" t="n">
        <v>0</v>
      </c>
    </row>
    <row r="454" customFormat="false" ht="15.75" hidden="false" customHeight="false" outlineLevel="0" collapsed="false">
      <c r="B454" s="39" t="s">
        <v>605</v>
      </c>
      <c r="C454" s="40" t="str">
        <f aca="false">IF(B454="","",IFERROR(INDEX('CLM &amp; IM Mapping'!$B$2:$B$270,MATCH(TRIM(B454),'CLM &amp; IM Mapping'!$A$2:$A$270,0)),"Not Mapped"))</f>
        <v>Not Mapped</v>
      </c>
      <c r="D454" s="40" t="str">
        <f aca="false">IF(B454="","",IFERROR(INDEX('CLM &amp; IM Mapping'!$C$2:$C$270,MATCH(TRIM(B454),'CLM &amp; IM Mapping'!$A$2:$A$270,0)),"Not Mapped"))</f>
        <v>Not Mapped</v>
      </c>
      <c r="E454" s="41" t="n">
        <v>3032</v>
      </c>
      <c r="F454" s="41" t="n">
        <v>3032</v>
      </c>
      <c r="G454" s="41" t="n">
        <v>0</v>
      </c>
      <c r="H454" s="41" t="n">
        <v>0</v>
      </c>
      <c r="I454" s="41" t="n">
        <v>0</v>
      </c>
      <c r="J454" s="41" t="n">
        <v>0</v>
      </c>
      <c r="K454" s="41" t="n">
        <v>0</v>
      </c>
      <c r="L454" s="41" t="n">
        <v>0</v>
      </c>
    </row>
    <row r="455" customFormat="false" ht="15.75" hidden="false" customHeight="false" outlineLevel="0" collapsed="false">
      <c r="B455" s="39" t="s">
        <v>606</v>
      </c>
      <c r="C455" s="40" t="str">
        <f aca="false">IF(B455="","",IFERROR(INDEX('CLM &amp; IM Mapping'!$B$2:$B$270,MATCH(TRIM(B455),'CLM &amp; IM Mapping'!$A$2:$A$270,0)),"Not Mapped"))</f>
        <v>Not Mapped</v>
      </c>
      <c r="D455" s="40" t="str">
        <f aca="false">IF(B455="","",IFERROR(INDEX('CLM &amp; IM Mapping'!$C$2:$C$270,MATCH(TRIM(B455),'CLM &amp; IM Mapping'!$A$2:$A$270,0)),"Not Mapped"))</f>
        <v>Not Mapped</v>
      </c>
      <c r="E455" s="41" t="n">
        <v>5336</v>
      </c>
      <c r="F455" s="41" t="n">
        <v>5336</v>
      </c>
      <c r="G455" s="41" t="n">
        <v>0</v>
      </c>
      <c r="H455" s="41" t="n">
        <v>0</v>
      </c>
      <c r="I455" s="41" t="n">
        <v>0</v>
      </c>
      <c r="J455" s="41" t="n">
        <v>0</v>
      </c>
      <c r="K455" s="41" t="n">
        <v>0</v>
      </c>
      <c r="L455" s="41" t="n">
        <v>0</v>
      </c>
    </row>
    <row r="456" customFormat="false" ht="15.75" hidden="false" customHeight="false" outlineLevel="0" collapsed="false">
      <c r="B456" s="39" t="s">
        <v>607</v>
      </c>
      <c r="C456" s="40" t="str">
        <f aca="false">IF(B456="","",IFERROR(INDEX('CLM &amp; IM Mapping'!$B$2:$B$270,MATCH(TRIM(B456),'CLM &amp; IM Mapping'!$A$2:$A$270,0)),"Not Mapped"))</f>
        <v>Not Mapped</v>
      </c>
      <c r="D456" s="40" t="str">
        <f aca="false">IF(B456="","",IFERROR(INDEX('CLM &amp; IM Mapping'!$C$2:$C$270,MATCH(TRIM(B456),'CLM &amp; IM Mapping'!$A$2:$A$270,0)),"Not Mapped"))</f>
        <v>Not Mapped</v>
      </c>
      <c r="E456" s="41" t="n">
        <v>2671</v>
      </c>
      <c r="F456" s="41" t="n">
        <v>844</v>
      </c>
      <c r="G456" s="41" t="n">
        <v>1827</v>
      </c>
      <c r="H456" s="41" t="n">
        <v>0</v>
      </c>
      <c r="I456" s="41" t="n">
        <v>0</v>
      </c>
      <c r="J456" s="41" t="n">
        <v>0</v>
      </c>
      <c r="K456" s="41" t="n">
        <v>0</v>
      </c>
      <c r="L456" s="41" t="n">
        <v>0</v>
      </c>
    </row>
    <row r="457" customFormat="false" ht="15.75" hidden="false" customHeight="false" outlineLevel="0" collapsed="false">
      <c r="B457" s="39" t="s">
        <v>608</v>
      </c>
      <c r="C457" s="40" t="str">
        <f aca="false">IF(B457="","",IFERROR(INDEX('CLM &amp; IM Mapping'!$B$2:$B$270,MATCH(TRIM(B457),'CLM &amp; IM Mapping'!$A$2:$A$270,0)),"Not Mapped"))</f>
        <v>Not Mapped</v>
      </c>
      <c r="D457" s="40" t="str">
        <f aca="false">IF(B457="","",IFERROR(INDEX('CLM &amp; IM Mapping'!$C$2:$C$270,MATCH(TRIM(B457),'CLM &amp; IM Mapping'!$A$2:$A$270,0)),"Not Mapped"))</f>
        <v>Not Mapped</v>
      </c>
      <c r="E457" s="41" t="n">
        <v>3000</v>
      </c>
      <c r="F457" s="41" t="n">
        <v>0</v>
      </c>
      <c r="G457" s="41" t="n">
        <v>0</v>
      </c>
      <c r="H457" s="41" t="n">
        <v>3000</v>
      </c>
      <c r="I457" s="41" t="n">
        <v>0</v>
      </c>
      <c r="J457" s="41" t="n">
        <v>0</v>
      </c>
      <c r="K457" s="41" t="n">
        <v>0</v>
      </c>
      <c r="L457" s="41" t="n">
        <v>3000</v>
      </c>
    </row>
    <row r="458" customFormat="false" ht="15.75" hidden="false" customHeight="false" outlineLevel="0" collapsed="false">
      <c r="B458" s="39" t="s">
        <v>609</v>
      </c>
      <c r="C458" s="40" t="str">
        <f aca="false">IF(B458="","",IFERROR(INDEX('CLM &amp; IM Mapping'!$B$2:$B$270,MATCH(TRIM(B458),'CLM &amp; IM Mapping'!$A$2:$A$270,0)),"Not Mapped"))</f>
        <v>Not Mapped</v>
      </c>
      <c r="D458" s="40" t="str">
        <f aca="false">IF(B458="","",IFERROR(INDEX('CLM &amp; IM Mapping'!$C$2:$C$270,MATCH(TRIM(B458),'CLM &amp; IM Mapping'!$A$2:$A$270,0)),"Not Mapped"))</f>
        <v>Not Mapped</v>
      </c>
      <c r="E458" s="41" t="n">
        <v>4417</v>
      </c>
      <c r="F458" s="41" t="n">
        <v>517</v>
      </c>
      <c r="G458" s="41" t="n">
        <v>1750</v>
      </c>
      <c r="H458" s="41" t="n">
        <v>0</v>
      </c>
      <c r="I458" s="41" t="n">
        <v>1406</v>
      </c>
      <c r="J458" s="41" t="n">
        <v>0</v>
      </c>
      <c r="K458" s="41" t="n">
        <v>744</v>
      </c>
      <c r="L458" s="41" t="n">
        <v>2150</v>
      </c>
    </row>
    <row r="459" customFormat="false" ht="15.75" hidden="false" customHeight="false" outlineLevel="0" collapsed="false">
      <c r="B459" s="39" t="s">
        <v>610</v>
      </c>
      <c r="C459" s="40" t="str">
        <f aca="false">IF(B459="","",IFERROR(INDEX('CLM &amp; IM Mapping'!$B$2:$B$270,MATCH(TRIM(B459),'CLM &amp; IM Mapping'!$A$2:$A$270,0)),"Not Mapped"))</f>
        <v>Not Mapped</v>
      </c>
      <c r="D459" s="40" t="str">
        <f aca="false">IF(B459="","",IFERROR(INDEX('CLM &amp; IM Mapping'!$C$2:$C$270,MATCH(TRIM(B459),'CLM &amp; IM Mapping'!$A$2:$A$270,0)),"Not Mapped"))</f>
        <v>Not Mapped</v>
      </c>
      <c r="E459" s="41" t="n">
        <v>0</v>
      </c>
      <c r="F459" s="41" t="n">
        <v>0</v>
      </c>
      <c r="G459" s="41" t="n">
        <v>0</v>
      </c>
      <c r="H459" s="41" t="n">
        <v>0</v>
      </c>
      <c r="I459" s="41" t="n">
        <v>0</v>
      </c>
      <c r="J459" s="41" t="n">
        <v>0</v>
      </c>
      <c r="K459" s="41" t="n">
        <v>0</v>
      </c>
      <c r="L459" s="41" t="n">
        <v>0</v>
      </c>
    </row>
    <row r="460" customFormat="false" ht="15.75" hidden="false" customHeight="false" outlineLevel="0" collapsed="false">
      <c r="B460" s="45" t="s">
        <v>611</v>
      </c>
      <c r="C460" s="40" t="str">
        <f aca="false">IF(B460="","",IFERROR(INDEX('CLM &amp; IM Mapping'!$B$2:$B$270,MATCH(TRIM(B460),'CLM &amp; IM Mapping'!$A$2:$A$270,0)),"Not Mapped"))</f>
        <v>Not Mapped</v>
      </c>
      <c r="D460" s="40" t="str">
        <f aca="false">IF(B460="","",IFERROR(INDEX('CLM &amp; IM Mapping'!$C$2:$C$270,MATCH(TRIM(B460),'CLM &amp; IM Mapping'!$A$2:$A$270,0)),"Not Mapped"))</f>
        <v>Not Mapped</v>
      </c>
      <c r="E460" s="41" t="n">
        <v>3126</v>
      </c>
      <c r="F460" s="41" t="n">
        <v>0</v>
      </c>
      <c r="G460" s="41" t="n">
        <v>3126</v>
      </c>
      <c r="H460" s="41" t="n">
        <v>0</v>
      </c>
      <c r="I460" s="41" t="n">
        <v>0</v>
      </c>
      <c r="J460" s="41" t="n">
        <v>0</v>
      </c>
      <c r="K460" s="41" t="n">
        <v>0</v>
      </c>
      <c r="L460" s="41" t="n">
        <v>0</v>
      </c>
    </row>
    <row r="461" customFormat="false" ht="15.75" hidden="false" customHeight="false" outlineLevel="0" collapsed="false">
      <c r="B461" s="39" t="s">
        <v>612</v>
      </c>
      <c r="C461" s="40" t="str">
        <f aca="false">IF(B461="","",IFERROR(INDEX('CLM &amp; IM Mapping'!$B$2:$B$270,MATCH(TRIM(B461),'CLM &amp; IM Mapping'!$A$2:$A$270,0)),"Not Mapped"))</f>
        <v>Not Mapped</v>
      </c>
      <c r="D461" s="40" t="str">
        <f aca="false">IF(B461="","",IFERROR(INDEX('CLM &amp; IM Mapping'!$C$2:$C$270,MATCH(TRIM(B461),'CLM &amp; IM Mapping'!$A$2:$A$270,0)),"Not Mapped"))</f>
        <v>Not Mapped</v>
      </c>
      <c r="E461" s="41" t="n">
        <v>3407</v>
      </c>
      <c r="F461" s="41" t="n">
        <v>3407</v>
      </c>
      <c r="G461" s="41" t="n">
        <v>0</v>
      </c>
      <c r="H461" s="41" t="n">
        <v>0</v>
      </c>
      <c r="I461" s="41" t="n">
        <v>0</v>
      </c>
      <c r="J461" s="41" t="n">
        <v>0</v>
      </c>
      <c r="K461" s="41" t="n">
        <v>0</v>
      </c>
      <c r="L461" s="41" t="n">
        <v>0</v>
      </c>
    </row>
    <row r="462" customFormat="false" ht="15.75" hidden="false" customHeight="false" outlineLevel="0" collapsed="false">
      <c r="B462" s="39" t="s">
        <v>613</v>
      </c>
      <c r="C462" s="40" t="str">
        <f aca="false">IF(B462="","",IFERROR(INDEX('CLM &amp; IM Mapping'!$B$2:$B$270,MATCH(TRIM(B462),'CLM &amp; IM Mapping'!$A$2:$A$270,0)),"Not Mapped"))</f>
        <v>Not Mapped</v>
      </c>
      <c r="D462" s="40" t="str">
        <f aca="false">IF(B462="","",IFERROR(INDEX('CLM &amp; IM Mapping'!$C$2:$C$270,MATCH(TRIM(B462),'CLM &amp; IM Mapping'!$A$2:$A$270,0)),"Not Mapped"))</f>
        <v>Not Mapped</v>
      </c>
      <c r="E462" s="41" t="n">
        <v>3601</v>
      </c>
      <c r="F462" s="41" t="n">
        <v>2161</v>
      </c>
      <c r="G462" s="41" t="n">
        <v>0</v>
      </c>
      <c r="H462" s="41" t="n">
        <v>10</v>
      </c>
      <c r="I462" s="41" t="n">
        <v>0</v>
      </c>
      <c r="J462" s="41" t="n">
        <v>953</v>
      </c>
      <c r="K462" s="41" t="n">
        <v>477</v>
      </c>
      <c r="L462" s="41" t="n">
        <v>1440</v>
      </c>
    </row>
    <row r="463" customFormat="false" ht="15.75" hidden="false" customHeight="false" outlineLevel="0" collapsed="false">
      <c r="B463" s="39" t="s">
        <v>614</v>
      </c>
      <c r="C463" s="40" t="str">
        <f aca="false">IF(B463="","",IFERROR(INDEX('CLM &amp; IM Mapping'!$B$2:$B$270,MATCH(TRIM(B463),'CLM &amp; IM Mapping'!$A$2:$A$270,0)),"Not Mapped"))</f>
        <v>Not Mapped</v>
      </c>
      <c r="D463" s="40" t="str">
        <f aca="false">IF(B463="","",IFERROR(INDEX('CLM &amp; IM Mapping'!$C$2:$C$270,MATCH(TRIM(B463),'CLM &amp; IM Mapping'!$A$2:$A$270,0)),"Not Mapped"))</f>
        <v>Not Mapped</v>
      </c>
      <c r="E463" s="41" t="n">
        <v>0</v>
      </c>
      <c r="F463" s="41" t="n">
        <v>0</v>
      </c>
      <c r="G463" s="41" t="n">
        <v>0</v>
      </c>
      <c r="H463" s="41" t="n">
        <v>0</v>
      </c>
      <c r="I463" s="41" t="n">
        <v>0</v>
      </c>
      <c r="J463" s="41" t="n">
        <v>0</v>
      </c>
      <c r="K463" s="41" t="n">
        <v>0</v>
      </c>
      <c r="L463" s="41" t="n">
        <v>0</v>
      </c>
    </row>
    <row r="464" customFormat="false" ht="15.75" hidden="false" customHeight="false" outlineLevel="0" collapsed="false">
      <c r="B464" s="39" t="s">
        <v>615</v>
      </c>
      <c r="C464" s="40" t="str">
        <f aca="false">IF(B464="","",IFERROR(INDEX('CLM &amp; IM Mapping'!$B$2:$B$270,MATCH(TRIM(B464),'CLM &amp; IM Mapping'!$A$2:$A$270,0)),"Not Mapped"))</f>
        <v>Not Mapped</v>
      </c>
      <c r="D464" s="40" t="str">
        <f aca="false">IF(B464="","",IFERROR(INDEX('CLM &amp; IM Mapping'!$C$2:$C$270,MATCH(TRIM(B464),'CLM &amp; IM Mapping'!$A$2:$A$270,0)),"Not Mapped"))</f>
        <v>Not Mapped</v>
      </c>
      <c r="E464" s="41" t="n">
        <v>2426</v>
      </c>
      <c r="F464" s="41" t="n">
        <v>0</v>
      </c>
      <c r="G464" s="41" t="n">
        <v>2426</v>
      </c>
      <c r="H464" s="41" t="n">
        <v>0</v>
      </c>
      <c r="I464" s="41" t="n">
        <v>0</v>
      </c>
      <c r="J464" s="41" t="n">
        <v>0</v>
      </c>
      <c r="K464" s="41" t="n">
        <v>0</v>
      </c>
      <c r="L464" s="41" t="n">
        <v>0</v>
      </c>
    </row>
    <row r="465" customFormat="false" ht="15.75" hidden="false" customHeight="false" outlineLevel="0" collapsed="false">
      <c r="B465" s="39" t="s">
        <v>616</v>
      </c>
      <c r="C465" s="40" t="str">
        <f aca="false">IF(B465="","",IFERROR(INDEX('CLM &amp; IM Mapping'!$B$2:$B$270,MATCH(TRIM(B465),'CLM &amp; IM Mapping'!$A$2:$A$270,0)),"Not Mapped"))</f>
        <v>Not Mapped</v>
      </c>
      <c r="D465" s="40" t="str">
        <f aca="false">IF(B465="","",IFERROR(INDEX('CLM &amp; IM Mapping'!$C$2:$C$270,MATCH(TRIM(B465),'CLM &amp; IM Mapping'!$A$2:$A$270,0)),"Not Mapped"))</f>
        <v>Not Mapped</v>
      </c>
      <c r="E465" s="41" t="n">
        <v>5034</v>
      </c>
      <c r="F465" s="41" t="n">
        <v>4275</v>
      </c>
      <c r="G465" s="41" t="n">
        <v>0</v>
      </c>
      <c r="H465" s="41" t="n">
        <v>0</v>
      </c>
      <c r="I465" s="41" t="n">
        <v>231</v>
      </c>
      <c r="J465" s="41" t="n">
        <v>0</v>
      </c>
      <c r="K465" s="41" t="n">
        <v>528</v>
      </c>
      <c r="L465" s="41" t="n">
        <v>759</v>
      </c>
    </row>
    <row r="466" customFormat="false" ht="15.75" hidden="false" customHeight="false" outlineLevel="0" collapsed="false">
      <c r="B466" s="39" t="s">
        <v>617</v>
      </c>
      <c r="C466" s="40" t="str">
        <f aca="false">IF(B466="","",IFERROR(INDEX('CLM &amp; IM Mapping'!$B$2:$B$270,MATCH(TRIM(B466),'CLM &amp; IM Mapping'!$A$2:$A$270,0)),"Not Mapped"))</f>
        <v>Not Mapped</v>
      </c>
      <c r="D466" s="40" t="str">
        <f aca="false">IF(B466="","",IFERROR(INDEX('CLM &amp; IM Mapping'!$C$2:$C$270,MATCH(TRIM(B466),'CLM &amp; IM Mapping'!$A$2:$A$270,0)),"Not Mapped"))</f>
        <v>Not Mapped</v>
      </c>
      <c r="E466" s="41" t="n">
        <v>2681</v>
      </c>
      <c r="F466" s="41" t="n">
        <v>41</v>
      </c>
      <c r="G466" s="41" t="n">
        <v>2640</v>
      </c>
      <c r="H466" s="41" t="n">
        <v>0</v>
      </c>
      <c r="I466" s="41" t="n">
        <v>0</v>
      </c>
      <c r="J466" s="41" t="n">
        <v>0</v>
      </c>
      <c r="K466" s="41" t="n">
        <v>0</v>
      </c>
      <c r="L466" s="41" t="n">
        <v>0</v>
      </c>
    </row>
    <row r="467" customFormat="false" ht="15.75" hidden="false" customHeight="false" outlineLevel="0" collapsed="false">
      <c r="B467" s="39" t="s">
        <v>618</v>
      </c>
      <c r="C467" s="40" t="str">
        <f aca="false">IF(B467="","",IFERROR(INDEX('CLM &amp; IM Mapping'!$B$2:$B$270,MATCH(TRIM(B467),'CLM &amp; IM Mapping'!$A$2:$A$270,0)),"Not Mapped"))</f>
        <v>Not Mapped</v>
      </c>
      <c r="D467" s="40" t="str">
        <f aca="false">IF(B467="","",IFERROR(INDEX('CLM &amp; IM Mapping'!$C$2:$C$270,MATCH(TRIM(B467),'CLM &amp; IM Mapping'!$A$2:$A$270,0)),"Not Mapped"))</f>
        <v>Not Mapped</v>
      </c>
      <c r="E467" s="41" t="n">
        <v>2861</v>
      </c>
      <c r="F467" s="41" t="n">
        <v>1338</v>
      </c>
      <c r="G467" s="41" t="n">
        <v>187</v>
      </c>
      <c r="H467" s="41" t="n">
        <v>489</v>
      </c>
      <c r="I467" s="41" t="n">
        <v>587</v>
      </c>
      <c r="J467" s="41" t="n">
        <v>150</v>
      </c>
      <c r="K467" s="41" t="n">
        <v>110</v>
      </c>
      <c r="L467" s="41" t="n">
        <v>1336</v>
      </c>
    </row>
    <row r="468" customFormat="false" ht="15.75" hidden="false" customHeight="false" outlineLevel="0" collapsed="false">
      <c r="B468" s="39" t="s">
        <v>619</v>
      </c>
      <c r="C468" s="40" t="str">
        <f aca="false">IF(B468="","",IFERROR(INDEX('CLM &amp; IM Mapping'!$B$2:$B$270,MATCH(TRIM(B468),'CLM &amp; IM Mapping'!$A$2:$A$270,0)),"Not Mapped"))</f>
        <v>Not Mapped</v>
      </c>
      <c r="D468" s="40" t="str">
        <f aca="false">IF(B468="","",IFERROR(INDEX('CLM &amp; IM Mapping'!$C$2:$C$270,MATCH(TRIM(B468),'CLM &amp; IM Mapping'!$A$2:$A$270,0)),"Not Mapped"))</f>
        <v>Not Mapped</v>
      </c>
      <c r="E468" s="41" t="n">
        <v>0</v>
      </c>
      <c r="F468" s="41" t="n">
        <v>0</v>
      </c>
      <c r="G468" s="41" t="n">
        <v>0</v>
      </c>
      <c r="H468" s="41" t="n">
        <v>0</v>
      </c>
      <c r="I468" s="41" t="n">
        <v>0</v>
      </c>
      <c r="J468" s="41" t="n">
        <v>0</v>
      </c>
      <c r="K468" s="41" t="n">
        <v>0</v>
      </c>
      <c r="L468" s="41" t="n">
        <v>0</v>
      </c>
    </row>
    <row r="469" customFormat="false" ht="15.75" hidden="false" customHeight="false" outlineLevel="0" collapsed="false">
      <c r="B469" s="39" t="s">
        <v>620</v>
      </c>
      <c r="C469" s="40" t="str">
        <f aca="false">IF(B469="","",IFERROR(INDEX('CLM &amp; IM Mapping'!$B$2:$B$270,MATCH(TRIM(B469),'CLM &amp; IM Mapping'!$A$2:$A$270,0)),"Not Mapped"))</f>
        <v>Not Mapped</v>
      </c>
      <c r="D469" s="40" t="str">
        <f aca="false">IF(B469="","",IFERROR(INDEX('CLM &amp; IM Mapping'!$C$2:$C$270,MATCH(TRIM(B469),'CLM &amp; IM Mapping'!$A$2:$A$270,0)),"Not Mapped"))</f>
        <v>Not Mapped</v>
      </c>
      <c r="E469" s="41" t="n">
        <v>7470</v>
      </c>
      <c r="F469" s="41" t="n">
        <v>7421</v>
      </c>
      <c r="G469" s="41" t="n">
        <v>49</v>
      </c>
      <c r="H469" s="41" t="n">
        <v>0</v>
      </c>
      <c r="I469" s="41" t="n">
        <v>0</v>
      </c>
      <c r="J469" s="41" t="n">
        <v>0</v>
      </c>
      <c r="K469" s="41" t="n">
        <v>0</v>
      </c>
      <c r="L469" s="41" t="n">
        <v>0</v>
      </c>
    </row>
    <row r="470" customFormat="false" ht="15.75" hidden="false" customHeight="false" outlineLevel="0" collapsed="false">
      <c r="B470" s="39" t="s">
        <v>621</v>
      </c>
      <c r="C470" s="40" t="str">
        <f aca="false">IF(B470="","",IFERROR(INDEX('CLM &amp; IM Mapping'!$B$2:$B$270,MATCH(TRIM(B470),'CLM &amp; IM Mapping'!$A$2:$A$270,0)),"Not Mapped"))</f>
        <v>Not Mapped</v>
      </c>
      <c r="D470" s="40" t="str">
        <f aca="false">IF(B470="","",IFERROR(INDEX('CLM &amp; IM Mapping'!$C$2:$C$270,MATCH(TRIM(B470),'CLM &amp; IM Mapping'!$A$2:$A$270,0)),"Not Mapped"))</f>
        <v>Not Mapped</v>
      </c>
      <c r="E470" s="41" t="n">
        <v>0</v>
      </c>
      <c r="F470" s="41" t="n">
        <v>0</v>
      </c>
      <c r="G470" s="41" t="n">
        <v>0</v>
      </c>
      <c r="H470" s="41" t="n">
        <v>0</v>
      </c>
      <c r="I470" s="41" t="n">
        <v>0</v>
      </c>
      <c r="J470" s="41" t="n">
        <v>0</v>
      </c>
      <c r="K470" s="41" t="n">
        <v>0</v>
      </c>
      <c r="L470" s="41" t="n">
        <v>0</v>
      </c>
    </row>
    <row r="471" customFormat="false" ht="15.75" hidden="false" customHeight="false" outlineLevel="0" collapsed="false">
      <c r="B471" s="39" t="s">
        <v>622</v>
      </c>
      <c r="C471" s="40" t="str">
        <f aca="false">IF(B471="","",IFERROR(INDEX('CLM &amp; IM Mapping'!$B$2:$B$270,MATCH(TRIM(B471),'CLM &amp; IM Mapping'!$A$2:$A$270,0)),"Not Mapped"))</f>
        <v>Not Mapped</v>
      </c>
      <c r="D471" s="40" t="str">
        <f aca="false">IF(B471="","",IFERROR(INDEX('CLM &amp; IM Mapping'!$C$2:$C$270,MATCH(TRIM(B471),'CLM &amp; IM Mapping'!$A$2:$A$270,0)),"Not Mapped"))</f>
        <v>Not Mapped</v>
      </c>
      <c r="E471" s="41" t="n">
        <v>3966</v>
      </c>
      <c r="F471" s="41" t="n">
        <v>3834</v>
      </c>
      <c r="G471" s="41" t="n">
        <v>0</v>
      </c>
      <c r="H471" s="41" t="n">
        <v>0</v>
      </c>
      <c r="I471" s="41" t="n">
        <v>116</v>
      </c>
      <c r="J471" s="41" t="n">
        <v>0</v>
      </c>
      <c r="K471" s="41" t="n">
        <v>16</v>
      </c>
      <c r="L471" s="41" t="n">
        <v>132</v>
      </c>
    </row>
    <row r="472" customFormat="false" ht="15.75" hidden="false" customHeight="false" outlineLevel="0" collapsed="false">
      <c r="B472" s="39" t="s">
        <v>623</v>
      </c>
      <c r="C472" s="40" t="str">
        <f aca="false">IF(B472="","",IFERROR(INDEX('CLM &amp; IM Mapping'!$B$2:$B$270,MATCH(TRIM(B472),'CLM &amp; IM Mapping'!$A$2:$A$270,0)),"Not Mapped"))</f>
        <v>Not Mapped</v>
      </c>
      <c r="D472" s="40" t="str">
        <f aca="false">IF(B472="","",IFERROR(INDEX('CLM &amp; IM Mapping'!$C$2:$C$270,MATCH(TRIM(B472),'CLM &amp; IM Mapping'!$A$2:$A$270,0)),"Not Mapped"))</f>
        <v>Not Mapped</v>
      </c>
      <c r="E472" s="41" t="n">
        <v>6167</v>
      </c>
      <c r="F472" s="41" t="n">
        <v>4048</v>
      </c>
      <c r="G472" s="41" t="n">
        <v>376</v>
      </c>
      <c r="H472" s="41" t="n">
        <v>0</v>
      </c>
      <c r="I472" s="41" t="n">
        <v>94</v>
      </c>
      <c r="J472" s="41" t="n">
        <v>0</v>
      </c>
      <c r="K472" s="41" t="n">
        <v>1649</v>
      </c>
      <c r="L472" s="41" t="n">
        <v>1743</v>
      </c>
    </row>
    <row r="473" customFormat="false" ht="15.75" hidden="false" customHeight="false" outlineLevel="0" collapsed="false">
      <c r="B473" s="39" t="s">
        <v>624</v>
      </c>
      <c r="C473" s="40" t="str">
        <f aca="false">IF(B473="","",IFERROR(INDEX('CLM &amp; IM Mapping'!$B$2:$B$270,MATCH(TRIM(B473),'CLM &amp; IM Mapping'!$A$2:$A$270,0)),"Not Mapped"))</f>
        <v>Not Mapped</v>
      </c>
      <c r="D473" s="40" t="str">
        <f aca="false">IF(B473="","",IFERROR(INDEX('CLM &amp; IM Mapping'!$C$2:$C$270,MATCH(TRIM(B473),'CLM &amp; IM Mapping'!$A$2:$A$270,0)),"Not Mapped"))</f>
        <v>Not Mapped</v>
      </c>
      <c r="E473" s="41" t="n">
        <v>27</v>
      </c>
      <c r="F473" s="41" t="n">
        <v>0</v>
      </c>
      <c r="G473" s="41" t="n">
        <v>27</v>
      </c>
      <c r="H473" s="41" t="n">
        <v>0</v>
      </c>
      <c r="I473" s="41" t="n">
        <v>0</v>
      </c>
      <c r="J473" s="41" t="n">
        <v>0</v>
      </c>
      <c r="K473" s="41" t="n">
        <v>0</v>
      </c>
      <c r="L473" s="41" t="n">
        <v>0</v>
      </c>
    </row>
    <row r="474" customFormat="false" ht="15.75" hidden="false" customHeight="false" outlineLevel="0" collapsed="false">
      <c r="B474" s="39" t="s">
        <v>625</v>
      </c>
      <c r="C474" s="40" t="str">
        <f aca="false">IF(B474="","",IFERROR(INDEX('CLM &amp; IM Mapping'!$B$2:$B$270,MATCH(TRIM(B474),'CLM &amp; IM Mapping'!$A$2:$A$270,0)),"Not Mapped"))</f>
        <v>Not Mapped</v>
      </c>
      <c r="D474" s="40" t="str">
        <f aca="false">IF(B474="","",IFERROR(INDEX('CLM &amp; IM Mapping'!$C$2:$C$270,MATCH(TRIM(B474),'CLM &amp; IM Mapping'!$A$2:$A$270,0)),"Not Mapped"))</f>
        <v>Not Mapped</v>
      </c>
      <c r="E474" s="41" t="n">
        <v>0</v>
      </c>
      <c r="F474" s="41" t="n">
        <v>0</v>
      </c>
      <c r="G474" s="41" t="n">
        <v>0</v>
      </c>
      <c r="H474" s="41" t="n">
        <v>0</v>
      </c>
      <c r="I474" s="41" t="n">
        <v>0</v>
      </c>
      <c r="J474" s="41" t="n">
        <v>0</v>
      </c>
      <c r="K474" s="41" t="n">
        <v>0</v>
      </c>
      <c r="L474" s="41" t="n">
        <v>0</v>
      </c>
    </row>
    <row r="475" customFormat="false" ht="15.75" hidden="false" customHeight="false" outlineLevel="0" collapsed="false">
      <c r="B475" s="39" t="s">
        <v>626</v>
      </c>
      <c r="C475" s="40" t="str">
        <f aca="false">IF(B475="","",IFERROR(INDEX('CLM &amp; IM Mapping'!$B$2:$B$270,MATCH(TRIM(B475),'CLM &amp; IM Mapping'!$A$2:$A$270,0)),"Not Mapped"))</f>
        <v>Not Mapped</v>
      </c>
      <c r="D475" s="40" t="str">
        <f aca="false">IF(B475="","",IFERROR(INDEX('CLM &amp; IM Mapping'!$C$2:$C$270,MATCH(TRIM(B475),'CLM &amp; IM Mapping'!$A$2:$A$270,0)),"Not Mapped"))</f>
        <v>Not Mapped</v>
      </c>
      <c r="E475" s="41" t="n">
        <v>5810</v>
      </c>
      <c r="F475" s="41" t="n">
        <v>1886</v>
      </c>
      <c r="G475" s="41" t="n">
        <v>3922</v>
      </c>
      <c r="H475" s="41" t="n">
        <v>0</v>
      </c>
      <c r="I475" s="41" t="n">
        <v>0</v>
      </c>
      <c r="J475" s="41" t="n">
        <v>0</v>
      </c>
      <c r="K475" s="41" t="n">
        <v>2</v>
      </c>
      <c r="L475" s="41" t="n">
        <v>2</v>
      </c>
    </row>
    <row r="476" customFormat="false" ht="15.75" hidden="false" customHeight="false" outlineLevel="0" collapsed="false">
      <c r="B476" s="39" t="s">
        <v>627</v>
      </c>
      <c r="C476" s="40" t="str">
        <f aca="false">IF(B476="","",IFERROR(INDEX('CLM &amp; IM Mapping'!$B$2:$B$270,MATCH(TRIM(B476),'CLM &amp; IM Mapping'!$A$2:$A$270,0)),"Not Mapped"))</f>
        <v>Not Mapped</v>
      </c>
      <c r="D476" s="40" t="str">
        <f aca="false">IF(B476="","",IFERROR(INDEX('CLM &amp; IM Mapping'!$C$2:$C$270,MATCH(TRIM(B476),'CLM &amp; IM Mapping'!$A$2:$A$270,0)),"Not Mapped"))</f>
        <v>Not Mapped</v>
      </c>
      <c r="E476" s="41" t="n">
        <v>6884</v>
      </c>
      <c r="F476" s="41" t="n">
        <v>2859</v>
      </c>
      <c r="G476" s="41" t="n">
        <v>3976</v>
      </c>
      <c r="H476" s="41" t="n">
        <v>0</v>
      </c>
      <c r="I476" s="41" t="n">
        <v>0</v>
      </c>
      <c r="J476" s="41" t="n">
        <v>0</v>
      </c>
      <c r="K476" s="41" t="n">
        <v>49</v>
      </c>
      <c r="L476" s="41" t="n">
        <v>49</v>
      </c>
    </row>
    <row r="477" customFormat="false" ht="15.75" hidden="false" customHeight="false" outlineLevel="0" collapsed="false">
      <c r="B477" s="39" t="s">
        <v>628</v>
      </c>
      <c r="C477" s="40" t="str">
        <f aca="false">IF(B477="","",IFERROR(INDEX('CLM &amp; IM Mapping'!$B$2:$B$270,MATCH(TRIM(B477),'CLM &amp; IM Mapping'!$A$2:$A$270,0)),"Not Mapped"))</f>
        <v>Not Mapped</v>
      </c>
      <c r="D477" s="40" t="str">
        <f aca="false">IF(B477="","",IFERROR(INDEX('CLM &amp; IM Mapping'!$C$2:$C$270,MATCH(TRIM(B477),'CLM &amp; IM Mapping'!$A$2:$A$270,0)),"Not Mapped"))</f>
        <v>Not Mapped</v>
      </c>
      <c r="E477" s="41" t="n">
        <v>0</v>
      </c>
      <c r="F477" s="41" t="n">
        <v>0</v>
      </c>
      <c r="G477" s="41" t="n">
        <v>0</v>
      </c>
      <c r="H477" s="41" t="n">
        <v>0</v>
      </c>
      <c r="I477" s="41" t="n">
        <v>0</v>
      </c>
      <c r="J477" s="41" t="n">
        <v>0</v>
      </c>
      <c r="K477" s="41" t="n">
        <v>0</v>
      </c>
      <c r="L477" s="41" t="n">
        <v>0</v>
      </c>
    </row>
    <row r="478" customFormat="false" ht="15.75" hidden="false" customHeight="false" outlineLevel="0" collapsed="false">
      <c r="B478" s="39" t="s">
        <v>629</v>
      </c>
      <c r="C478" s="40" t="str">
        <f aca="false">IF(B478="","",IFERROR(INDEX('CLM &amp; IM Mapping'!$B$2:$B$270,MATCH(TRIM(B478),'CLM &amp; IM Mapping'!$A$2:$A$270,0)),"Not Mapped"))</f>
        <v>Not Mapped</v>
      </c>
      <c r="D478" s="40" t="str">
        <f aca="false">IF(B478="","",IFERROR(INDEX('CLM &amp; IM Mapping'!$C$2:$C$270,MATCH(TRIM(B478),'CLM &amp; IM Mapping'!$A$2:$A$270,0)),"Not Mapped"))</f>
        <v>Not Mapped</v>
      </c>
      <c r="E478" s="41" t="n">
        <v>1490</v>
      </c>
      <c r="F478" s="41" t="n">
        <v>1490</v>
      </c>
      <c r="G478" s="41" t="n">
        <v>0</v>
      </c>
      <c r="H478" s="41" t="n">
        <v>0</v>
      </c>
      <c r="I478" s="41" t="n">
        <v>0</v>
      </c>
      <c r="J478" s="41" t="n">
        <v>0</v>
      </c>
      <c r="K478" s="41" t="n">
        <v>0</v>
      </c>
      <c r="L478" s="41" t="n">
        <v>0</v>
      </c>
    </row>
    <row r="479" customFormat="false" ht="15.75" hidden="false" customHeight="false" outlineLevel="0" collapsed="false">
      <c r="B479" s="39" t="s">
        <v>630</v>
      </c>
      <c r="C479" s="40" t="str">
        <f aca="false">IF(B479="","",IFERROR(INDEX('CLM &amp; IM Mapping'!$B$2:$B$270,MATCH(TRIM(B479),'CLM &amp; IM Mapping'!$A$2:$A$270,0)),"Not Mapped"))</f>
        <v>Not Mapped</v>
      </c>
      <c r="D479" s="40" t="str">
        <f aca="false">IF(B479="","",IFERROR(INDEX('CLM &amp; IM Mapping'!$C$2:$C$270,MATCH(TRIM(B479),'CLM &amp; IM Mapping'!$A$2:$A$270,0)),"Not Mapped"))</f>
        <v>Not Mapped</v>
      </c>
      <c r="E479" s="41" t="n">
        <v>8565</v>
      </c>
      <c r="F479" s="41" t="n">
        <v>0</v>
      </c>
      <c r="G479" s="41" t="n">
        <v>0</v>
      </c>
      <c r="H479" s="41" t="n">
        <v>1690</v>
      </c>
      <c r="I479" s="41" t="n">
        <v>1697</v>
      </c>
      <c r="J479" s="41" t="n">
        <v>0</v>
      </c>
      <c r="K479" s="41" t="n">
        <v>5178</v>
      </c>
      <c r="L479" s="41" t="n">
        <v>6875</v>
      </c>
    </row>
    <row r="480" customFormat="false" ht="15.75" hidden="false" customHeight="false" outlineLevel="0" collapsed="false">
      <c r="B480" s="39" t="s">
        <v>631</v>
      </c>
      <c r="C480" s="40" t="str">
        <f aca="false">IF(B480="","",IFERROR(INDEX('CLM &amp; IM Mapping'!$B$2:$B$270,MATCH(TRIM(B480),'CLM &amp; IM Mapping'!$A$2:$A$270,0)),"Not Mapped"))</f>
        <v>Not Mapped</v>
      </c>
      <c r="D480" s="40" t="str">
        <f aca="false">IF(B480="","",IFERROR(INDEX('CLM &amp; IM Mapping'!$C$2:$C$270,MATCH(TRIM(B480),'CLM &amp; IM Mapping'!$A$2:$A$270,0)),"Not Mapped"))</f>
        <v>Not Mapped</v>
      </c>
      <c r="E480" s="41" t="n">
        <v>9448</v>
      </c>
      <c r="F480" s="41" t="n">
        <v>7427</v>
      </c>
      <c r="G480" s="41" t="n">
        <v>0</v>
      </c>
      <c r="H480" s="41" t="n">
        <v>214</v>
      </c>
      <c r="I480" s="41" t="n">
        <v>1453</v>
      </c>
      <c r="J480" s="41" t="n">
        <v>0</v>
      </c>
      <c r="K480" s="41" t="n">
        <v>354</v>
      </c>
      <c r="L480" s="41" t="n">
        <v>2021</v>
      </c>
    </row>
    <row r="481" customFormat="false" ht="15.75" hidden="false" customHeight="false" outlineLevel="0" collapsed="false">
      <c r="B481" s="24" t="s">
        <v>632</v>
      </c>
      <c r="C481" s="40" t="str">
        <f aca="false">IF(B481="","",IFERROR(INDEX('CLM &amp; IM Mapping'!$B$2:$B$270,MATCH(TRIM(B481),'CLM &amp; IM Mapping'!$A$2:$A$270,0)),"Not Mapped"))</f>
        <v>Not Mapped</v>
      </c>
      <c r="D481" s="40" t="str">
        <f aca="false">IF(B481="","",IFERROR(INDEX('CLM &amp; IM Mapping'!$C$2:$C$270,MATCH(TRIM(B481),'CLM &amp; IM Mapping'!$A$2:$A$270,0)),"Not Mapped"))</f>
        <v>Not Mapped</v>
      </c>
      <c r="E481" s="41" t="n">
        <v>5268</v>
      </c>
      <c r="F481" s="41" t="n">
        <v>2122</v>
      </c>
      <c r="G481" s="41" t="n">
        <v>3146</v>
      </c>
      <c r="H481" s="41" t="n">
        <v>0</v>
      </c>
      <c r="I481" s="41" t="n">
        <v>0</v>
      </c>
      <c r="J481" s="41" t="n">
        <v>0</v>
      </c>
      <c r="K481" s="41" t="n">
        <v>0</v>
      </c>
      <c r="L481" s="41" t="n">
        <v>0</v>
      </c>
    </row>
    <row r="482" customFormat="false" ht="15.75" hidden="false" customHeight="false" outlineLevel="0" collapsed="false">
      <c r="B482" s="39" t="s">
        <v>633</v>
      </c>
      <c r="C482" s="40" t="str">
        <f aca="false">IF(B482="","",IFERROR(INDEX('CLM &amp; IM Mapping'!$B$2:$B$270,MATCH(TRIM(B482),'CLM &amp; IM Mapping'!$A$2:$A$270,0)),"Not Mapped"))</f>
        <v>Not Mapped</v>
      </c>
      <c r="D482" s="40" t="str">
        <f aca="false">IF(B482="","",IFERROR(INDEX('CLM &amp; IM Mapping'!$C$2:$C$270,MATCH(TRIM(B482),'CLM &amp; IM Mapping'!$A$2:$A$270,0)),"Not Mapped"))</f>
        <v>Not Mapped</v>
      </c>
      <c r="E482" s="41" t="n">
        <v>3616</v>
      </c>
      <c r="F482" s="41" t="n">
        <v>1101</v>
      </c>
      <c r="G482" s="41" t="n">
        <v>2515</v>
      </c>
      <c r="H482" s="41" t="n">
        <v>0</v>
      </c>
      <c r="I482" s="41" t="n">
        <v>0</v>
      </c>
      <c r="J482" s="41" t="n">
        <v>0</v>
      </c>
      <c r="K482" s="41" t="n">
        <v>0</v>
      </c>
      <c r="L482" s="41" t="n">
        <v>0</v>
      </c>
    </row>
    <row r="483" customFormat="false" ht="15.75" hidden="false" customHeight="false" outlineLevel="0" collapsed="false">
      <c r="B483" s="39" t="s">
        <v>634</v>
      </c>
      <c r="C483" s="40" t="str">
        <f aca="false">IF(B483="","",IFERROR(INDEX('CLM &amp; IM Mapping'!$B$2:$B$270,MATCH(TRIM(B483),'CLM &amp; IM Mapping'!$A$2:$A$270,0)),"Not Mapped"))</f>
        <v>Not Mapped</v>
      </c>
      <c r="D483" s="40" t="str">
        <f aca="false">IF(B483="","",IFERROR(INDEX('CLM &amp; IM Mapping'!$C$2:$C$270,MATCH(TRIM(B483),'CLM &amp; IM Mapping'!$A$2:$A$270,0)),"Not Mapped"))</f>
        <v>Not Mapped</v>
      </c>
      <c r="E483" s="41" t="n">
        <v>4343</v>
      </c>
      <c r="F483" s="41" t="n">
        <v>0</v>
      </c>
      <c r="G483" s="41" t="n">
        <v>0</v>
      </c>
      <c r="H483" s="41" t="n">
        <v>4343</v>
      </c>
      <c r="I483" s="41" t="n">
        <v>0</v>
      </c>
      <c r="J483" s="41" t="n">
        <v>0</v>
      </c>
      <c r="K483" s="41" t="n">
        <v>0</v>
      </c>
      <c r="L483" s="41" t="n">
        <v>4343</v>
      </c>
    </row>
    <row r="484" customFormat="false" ht="15.75" hidden="false" customHeight="false" outlineLevel="0" collapsed="false">
      <c r="B484" s="39" t="s">
        <v>635</v>
      </c>
      <c r="C484" s="40" t="str">
        <f aca="false">IF(B484="","",IFERROR(INDEX('CLM &amp; IM Mapping'!$B$2:$B$270,MATCH(TRIM(B484),'CLM &amp; IM Mapping'!$A$2:$A$270,0)),"Not Mapped"))</f>
        <v>Not Mapped</v>
      </c>
      <c r="D484" s="40" t="str">
        <f aca="false">IF(B484="","",IFERROR(INDEX('CLM &amp; IM Mapping'!$C$2:$C$270,MATCH(TRIM(B484),'CLM &amp; IM Mapping'!$A$2:$A$270,0)),"Not Mapped"))</f>
        <v>Not Mapped</v>
      </c>
      <c r="E484" s="41" t="n">
        <v>0</v>
      </c>
      <c r="F484" s="41" t="n">
        <v>0</v>
      </c>
      <c r="G484" s="41" t="n">
        <v>0</v>
      </c>
      <c r="H484" s="41" t="n">
        <v>0</v>
      </c>
      <c r="I484" s="41" t="n">
        <v>0</v>
      </c>
      <c r="J484" s="41" t="n">
        <v>0</v>
      </c>
      <c r="K484" s="41" t="n">
        <v>0</v>
      </c>
      <c r="L484" s="41" t="n">
        <v>0</v>
      </c>
    </row>
    <row r="485" customFormat="false" ht="15.75" hidden="false" customHeight="false" outlineLevel="0" collapsed="false">
      <c r="B485" s="39" t="s">
        <v>636</v>
      </c>
      <c r="C485" s="40" t="str">
        <f aca="false">IF(B485="","",IFERROR(INDEX('CLM &amp; IM Mapping'!$B$2:$B$270,MATCH(TRIM(B485),'CLM &amp; IM Mapping'!$A$2:$A$270,0)),"Not Mapped"))</f>
        <v>Not Mapped</v>
      </c>
      <c r="D485" s="40" t="str">
        <f aca="false">IF(B485="","",IFERROR(INDEX('CLM &amp; IM Mapping'!$C$2:$C$270,MATCH(TRIM(B485),'CLM &amp; IM Mapping'!$A$2:$A$270,0)),"Not Mapped"))</f>
        <v>Not Mapped</v>
      </c>
      <c r="E485" s="41" t="n">
        <v>7586</v>
      </c>
      <c r="F485" s="41" t="n">
        <v>5309</v>
      </c>
      <c r="G485" s="41" t="n">
        <v>1940</v>
      </c>
      <c r="H485" s="41" t="n">
        <v>0</v>
      </c>
      <c r="I485" s="41" t="n">
        <v>337</v>
      </c>
      <c r="J485" s="41" t="n">
        <v>0</v>
      </c>
      <c r="K485" s="41" t="n">
        <v>0</v>
      </c>
      <c r="L485" s="41" t="n">
        <v>337</v>
      </c>
    </row>
    <row r="486" customFormat="false" ht="15.75" hidden="false" customHeight="false" outlineLevel="0" collapsed="false">
      <c r="B486" s="39" t="s">
        <v>637</v>
      </c>
      <c r="C486" s="40" t="str">
        <f aca="false">IF(B486="","",IFERROR(INDEX('CLM &amp; IM Mapping'!$B$2:$B$270,MATCH(TRIM(B486),'CLM &amp; IM Mapping'!$A$2:$A$270,0)),"Not Mapped"))</f>
        <v>Not Mapped</v>
      </c>
      <c r="D486" s="40" t="str">
        <f aca="false">IF(B486="","",IFERROR(INDEX('CLM &amp; IM Mapping'!$C$2:$C$270,MATCH(TRIM(B486),'CLM &amp; IM Mapping'!$A$2:$A$270,0)),"Not Mapped"))</f>
        <v>Not Mapped</v>
      </c>
      <c r="E486" s="41" t="n">
        <v>5088</v>
      </c>
      <c r="F486" s="41" t="n">
        <v>47</v>
      </c>
      <c r="G486" s="41" t="n">
        <v>4970</v>
      </c>
      <c r="H486" s="41" t="n">
        <v>0</v>
      </c>
      <c r="I486" s="41" t="n">
        <v>0</v>
      </c>
      <c r="J486" s="41" t="n">
        <v>0</v>
      </c>
      <c r="K486" s="41" t="n">
        <v>71</v>
      </c>
      <c r="L486" s="41" t="n">
        <v>71</v>
      </c>
    </row>
    <row r="487" customFormat="false" ht="15.75" hidden="false" customHeight="false" outlineLevel="0" collapsed="false">
      <c r="B487" s="39" t="s">
        <v>638</v>
      </c>
      <c r="C487" s="40" t="str">
        <f aca="false">IF(B487="","",IFERROR(INDEX('CLM &amp; IM Mapping'!$B$2:$B$270,MATCH(TRIM(B487),'CLM &amp; IM Mapping'!$A$2:$A$270,0)),"Not Mapped"))</f>
        <v>Not Mapped</v>
      </c>
      <c r="D487" s="40" t="str">
        <f aca="false">IF(B487="","",IFERROR(INDEX('CLM &amp; IM Mapping'!$C$2:$C$270,MATCH(TRIM(B487),'CLM &amp; IM Mapping'!$A$2:$A$270,0)),"Not Mapped"))</f>
        <v>Not Mapped</v>
      </c>
      <c r="E487" s="41" t="n">
        <v>1444</v>
      </c>
      <c r="F487" s="41" t="n">
        <v>1368</v>
      </c>
      <c r="G487" s="41" t="n">
        <v>76</v>
      </c>
      <c r="H487" s="41" t="n">
        <v>0</v>
      </c>
      <c r="I487" s="41" t="n">
        <v>0</v>
      </c>
      <c r="J487" s="41" t="n">
        <v>0</v>
      </c>
      <c r="K487" s="41" t="n">
        <v>0</v>
      </c>
      <c r="L487" s="41" t="n">
        <v>0</v>
      </c>
    </row>
    <row r="488" customFormat="false" ht="15.75" hidden="false" customHeight="false" outlineLevel="0" collapsed="false">
      <c r="B488" s="39" t="s">
        <v>639</v>
      </c>
      <c r="C488" s="40" t="str">
        <f aca="false">IF(B488="","",IFERROR(INDEX('CLM &amp; IM Mapping'!$B$2:$B$270,MATCH(TRIM(B488),'CLM &amp; IM Mapping'!$A$2:$A$270,0)),"Not Mapped"))</f>
        <v>Not Mapped</v>
      </c>
      <c r="D488" s="40" t="str">
        <f aca="false">IF(B488="","",IFERROR(INDEX('CLM &amp; IM Mapping'!$C$2:$C$270,MATCH(TRIM(B488),'CLM &amp; IM Mapping'!$A$2:$A$270,0)),"Not Mapped"))</f>
        <v>Not Mapped</v>
      </c>
      <c r="E488" s="41" t="n">
        <v>888</v>
      </c>
      <c r="F488" s="41" t="n">
        <v>0</v>
      </c>
      <c r="G488" s="41" t="n">
        <v>888</v>
      </c>
      <c r="H488" s="41" t="n">
        <v>0</v>
      </c>
      <c r="I488" s="41" t="n">
        <v>0</v>
      </c>
      <c r="J488" s="41" t="n">
        <v>0</v>
      </c>
      <c r="K488" s="41" t="n">
        <v>0</v>
      </c>
      <c r="L488" s="41" t="n">
        <v>0</v>
      </c>
    </row>
    <row r="489" customFormat="false" ht="15.75" hidden="false" customHeight="false" outlineLevel="0" collapsed="false">
      <c r="B489" s="39" t="s">
        <v>640</v>
      </c>
      <c r="C489" s="40" t="str">
        <f aca="false">IF(B489="","",IFERROR(INDEX('CLM &amp; IM Mapping'!$B$2:$B$270,MATCH(TRIM(B489),'CLM &amp; IM Mapping'!$A$2:$A$270,0)),"Not Mapped"))</f>
        <v>Not Mapped</v>
      </c>
      <c r="D489" s="40" t="str">
        <f aca="false">IF(B489="","",IFERROR(INDEX('CLM &amp; IM Mapping'!$C$2:$C$270,MATCH(TRIM(B489),'CLM &amp; IM Mapping'!$A$2:$A$270,0)),"Not Mapped"))</f>
        <v>Not Mapped</v>
      </c>
      <c r="E489" s="41" t="n">
        <v>773</v>
      </c>
      <c r="F489" s="41" t="n">
        <v>773</v>
      </c>
      <c r="G489" s="41" t="n">
        <v>0</v>
      </c>
      <c r="H489" s="41" t="n">
        <v>0</v>
      </c>
      <c r="I489" s="41" t="n">
        <v>0</v>
      </c>
      <c r="J489" s="41" t="n">
        <v>0</v>
      </c>
      <c r="K489" s="41" t="n">
        <v>0</v>
      </c>
      <c r="L489" s="41" t="n">
        <v>0</v>
      </c>
    </row>
    <row r="490" customFormat="false" ht="15.75" hidden="false" customHeight="false" outlineLevel="0" collapsed="false">
      <c r="B490" s="39" t="s">
        <v>641</v>
      </c>
      <c r="C490" s="40" t="str">
        <f aca="false">IF(B490="","",IFERROR(INDEX('CLM &amp; IM Mapping'!$B$2:$B$270,MATCH(TRIM(B490),'CLM &amp; IM Mapping'!$A$2:$A$270,0)),"Not Mapped"))</f>
        <v>Not Mapped</v>
      </c>
      <c r="D490" s="40" t="str">
        <f aca="false">IF(B490="","",IFERROR(INDEX('CLM &amp; IM Mapping'!$C$2:$C$270,MATCH(TRIM(B490),'CLM &amp; IM Mapping'!$A$2:$A$270,0)),"Not Mapped"))</f>
        <v>Not Mapped</v>
      </c>
      <c r="E490" s="41" t="n">
        <v>4375</v>
      </c>
      <c r="F490" s="41" t="n">
        <v>3129</v>
      </c>
      <c r="G490" s="41" t="n">
        <v>0</v>
      </c>
      <c r="H490" s="41" t="n">
        <v>546</v>
      </c>
      <c r="I490" s="41" t="n">
        <v>699</v>
      </c>
      <c r="J490" s="41" t="n">
        <v>0</v>
      </c>
      <c r="K490" s="41" t="n">
        <v>1</v>
      </c>
      <c r="L490" s="41" t="n">
        <v>700</v>
      </c>
    </row>
    <row r="491" customFormat="false" ht="15.75" hidden="false" customHeight="false" outlineLevel="0" collapsed="false">
      <c r="B491" s="39" t="s">
        <v>642</v>
      </c>
      <c r="C491" s="40" t="str">
        <f aca="false">IF(B491="","",IFERROR(INDEX('CLM &amp; IM Mapping'!$B$2:$B$270,MATCH(TRIM(B491),'CLM &amp; IM Mapping'!$A$2:$A$270,0)),"Not Mapped"))</f>
        <v>Not Mapped</v>
      </c>
      <c r="D491" s="40" t="str">
        <f aca="false">IF(B491="","",IFERROR(INDEX('CLM &amp; IM Mapping'!$C$2:$C$270,MATCH(TRIM(B491),'CLM &amp; IM Mapping'!$A$2:$A$270,0)),"Not Mapped"))</f>
        <v>Not Mapped</v>
      </c>
      <c r="E491" s="41" t="n">
        <v>0</v>
      </c>
      <c r="F491" s="41" t="n">
        <v>0</v>
      </c>
      <c r="G491" s="41" t="n">
        <v>0</v>
      </c>
      <c r="H491" s="41" t="n">
        <v>0</v>
      </c>
      <c r="I491" s="41" t="n">
        <v>0</v>
      </c>
      <c r="J491" s="41" t="n">
        <v>0</v>
      </c>
      <c r="K491" s="41" t="n">
        <v>0</v>
      </c>
      <c r="L491" s="41" t="n">
        <v>0</v>
      </c>
    </row>
    <row r="492" customFormat="false" ht="15.75" hidden="false" customHeight="false" outlineLevel="0" collapsed="false">
      <c r="B492" s="39" t="s">
        <v>643</v>
      </c>
      <c r="C492" s="40" t="str">
        <f aca="false">IF(B492="","",IFERROR(INDEX('CLM &amp; IM Mapping'!$B$2:$B$270,MATCH(TRIM(B492),'CLM &amp; IM Mapping'!$A$2:$A$270,0)),"Not Mapped"))</f>
        <v>Not Mapped</v>
      </c>
      <c r="D492" s="40" t="str">
        <f aca="false">IF(B492="","",IFERROR(INDEX('CLM &amp; IM Mapping'!$C$2:$C$270,MATCH(TRIM(B492),'CLM &amp; IM Mapping'!$A$2:$A$270,0)),"Not Mapped"))</f>
        <v>Not Mapped</v>
      </c>
      <c r="E492" s="41" t="n">
        <v>5187</v>
      </c>
      <c r="F492" s="41" t="n">
        <v>2284</v>
      </c>
      <c r="G492" s="41" t="n">
        <v>2903</v>
      </c>
      <c r="H492" s="41" t="n">
        <v>0</v>
      </c>
      <c r="I492" s="41" t="n">
        <v>0</v>
      </c>
      <c r="J492" s="41" t="n">
        <v>0</v>
      </c>
      <c r="K492" s="41" t="n">
        <v>0</v>
      </c>
      <c r="L492" s="41" t="n">
        <v>0</v>
      </c>
    </row>
    <row r="493" customFormat="false" ht="15.75" hidden="false" customHeight="false" outlineLevel="0" collapsed="false">
      <c r="B493" s="39" t="s">
        <v>644</v>
      </c>
      <c r="C493" s="40" t="str">
        <f aca="false">IF(B493="","",IFERROR(INDEX('CLM &amp; IM Mapping'!$B$2:$B$270,MATCH(TRIM(B493),'CLM &amp; IM Mapping'!$A$2:$A$270,0)),"Not Mapped"))</f>
        <v>Not Mapped</v>
      </c>
      <c r="D493" s="40" t="str">
        <f aca="false">IF(B493="","",IFERROR(INDEX('CLM &amp; IM Mapping'!$C$2:$C$270,MATCH(TRIM(B493),'CLM &amp; IM Mapping'!$A$2:$A$270,0)),"Not Mapped"))</f>
        <v>Not Mapped</v>
      </c>
      <c r="E493" s="41" t="n">
        <v>6545</v>
      </c>
      <c r="F493" s="41" t="n">
        <v>0</v>
      </c>
      <c r="G493" s="41" t="n">
        <v>0</v>
      </c>
      <c r="H493" s="41" t="n">
        <v>6012</v>
      </c>
      <c r="I493" s="41" t="n">
        <v>0</v>
      </c>
      <c r="J493" s="41" t="n">
        <v>522</v>
      </c>
      <c r="K493" s="41" t="n">
        <v>11</v>
      </c>
      <c r="L493" s="41" t="n">
        <v>6545</v>
      </c>
    </row>
    <row r="494" customFormat="false" ht="15.75" hidden="false" customHeight="false" outlineLevel="0" collapsed="false">
      <c r="B494" s="39" t="s">
        <v>645</v>
      </c>
      <c r="C494" s="40" t="str">
        <f aca="false">IF(B494="","",IFERROR(INDEX('CLM &amp; IM Mapping'!$B$2:$B$270,MATCH(TRIM(B494),'CLM &amp; IM Mapping'!$A$2:$A$270,0)),"Not Mapped"))</f>
        <v>Not Mapped</v>
      </c>
      <c r="D494" s="40" t="str">
        <f aca="false">IF(B494="","",IFERROR(INDEX('CLM &amp; IM Mapping'!$C$2:$C$270,MATCH(TRIM(B494),'CLM &amp; IM Mapping'!$A$2:$A$270,0)),"Not Mapped"))</f>
        <v>Not Mapped</v>
      </c>
      <c r="E494" s="41" t="n">
        <v>5931</v>
      </c>
      <c r="F494" s="41" t="n">
        <v>4382</v>
      </c>
      <c r="G494" s="41" t="n">
        <v>0</v>
      </c>
      <c r="H494" s="41" t="n">
        <v>0</v>
      </c>
      <c r="I494" s="41" t="n">
        <v>1512</v>
      </c>
      <c r="J494" s="41" t="n">
        <v>0</v>
      </c>
      <c r="K494" s="41" t="n">
        <v>37</v>
      </c>
      <c r="L494" s="41" t="n">
        <v>1549</v>
      </c>
    </row>
    <row r="495" customFormat="false" ht="15.75" hidden="false" customHeight="false" outlineLevel="0" collapsed="false">
      <c r="B495" s="39" t="s">
        <v>646</v>
      </c>
      <c r="C495" s="40" t="str">
        <f aca="false">IF(B495="","",IFERROR(INDEX('CLM &amp; IM Mapping'!$B$2:$B$270,MATCH(TRIM(B495),'CLM &amp; IM Mapping'!$A$2:$A$270,0)),"Not Mapped"))</f>
        <v>Not Mapped</v>
      </c>
      <c r="D495" s="40" t="str">
        <f aca="false">IF(B495="","",IFERROR(INDEX('CLM &amp; IM Mapping'!$C$2:$C$270,MATCH(TRIM(B495),'CLM &amp; IM Mapping'!$A$2:$A$270,0)),"Not Mapped"))</f>
        <v>Not Mapped</v>
      </c>
      <c r="E495" s="41" t="n">
        <v>6373</v>
      </c>
      <c r="F495" s="41" t="n">
        <v>1</v>
      </c>
      <c r="G495" s="41" t="n">
        <v>4332</v>
      </c>
      <c r="H495" s="41" t="n">
        <v>0</v>
      </c>
      <c r="I495" s="41" t="n">
        <v>2040</v>
      </c>
      <c r="J495" s="41" t="n">
        <v>0</v>
      </c>
      <c r="K495" s="41" t="n">
        <v>0</v>
      </c>
      <c r="L495" s="41" t="n">
        <v>2040</v>
      </c>
    </row>
    <row r="496" customFormat="false" ht="15.75" hidden="false" customHeight="false" outlineLevel="0" collapsed="false">
      <c r="B496" s="39" t="s">
        <v>647</v>
      </c>
      <c r="C496" s="40" t="str">
        <f aca="false">IF(B496="","",IFERROR(INDEX('CLM &amp; IM Mapping'!$B$2:$B$270,MATCH(TRIM(B496),'CLM &amp; IM Mapping'!$A$2:$A$270,0)),"Not Mapped"))</f>
        <v>Not Mapped</v>
      </c>
      <c r="D496" s="40" t="str">
        <f aca="false">IF(B496="","",IFERROR(INDEX('CLM &amp; IM Mapping'!$C$2:$C$270,MATCH(TRIM(B496),'CLM &amp; IM Mapping'!$A$2:$A$270,0)),"Not Mapped"))</f>
        <v>Not Mapped</v>
      </c>
      <c r="E496" s="41" t="n">
        <v>3022</v>
      </c>
      <c r="F496" s="41" t="n">
        <v>0</v>
      </c>
      <c r="G496" s="41" t="n">
        <v>0</v>
      </c>
      <c r="H496" s="41" t="n">
        <v>3022</v>
      </c>
      <c r="I496" s="41" t="n">
        <v>0</v>
      </c>
      <c r="J496" s="41" t="n">
        <v>0</v>
      </c>
      <c r="K496" s="41" t="n">
        <v>0</v>
      </c>
      <c r="L496" s="41" t="n">
        <v>3022</v>
      </c>
    </row>
    <row r="497" customFormat="false" ht="15.75" hidden="false" customHeight="false" outlineLevel="0" collapsed="false">
      <c r="B497" s="39" t="s">
        <v>648</v>
      </c>
      <c r="C497" s="40" t="str">
        <f aca="false">IF(B497="","",IFERROR(INDEX('CLM &amp; IM Mapping'!$B$2:$B$270,MATCH(TRIM(B497),'CLM &amp; IM Mapping'!$A$2:$A$270,0)),"Not Mapped"))</f>
        <v>Not Mapped</v>
      </c>
      <c r="D497" s="40" t="str">
        <f aca="false">IF(B497="","",IFERROR(INDEX('CLM &amp; IM Mapping'!$C$2:$C$270,MATCH(TRIM(B497),'CLM &amp; IM Mapping'!$A$2:$A$270,0)),"Not Mapped"))</f>
        <v>Not Mapped</v>
      </c>
      <c r="E497" s="41" t="n">
        <v>3815</v>
      </c>
      <c r="F497" s="41" t="n">
        <v>3815</v>
      </c>
      <c r="G497" s="41" t="n">
        <v>0</v>
      </c>
      <c r="H497" s="41" t="n">
        <v>0</v>
      </c>
      <c r="I497" s="41" t="n">
        <v>0</v>
      </c>
      <c r="J497" s="41" t="n">
        <v>0</v>
      </c>
      <c r="K497" s="41" t="n">
        <v>0</v>
      </c>
      <c r="L497" s="41" t="n">
        <v>0</v>
      </c>
    </row>
    <row r="498" customFormat="false" ht="15.75" hidden="false" customHeight="false" outlineLevel="0" collapsed="false">
      <c r="B498" s="39" t="s">
        <v>649</v>
      </c>
      <c r="C498" s="40" t="str">
        <f aca="false">IF(B498="","",IFERROR(INDEX('CLM &amp; IM Mapping'!$B$2:$B$270,MATCH(TRIM(B498),'CLM &amp; IM Mapping'!$A$2:$A$270,0)),"Not Mapped"))</f>
        <v>Not Mapped</v>
      </c>
      <c r="D498" s="40" t="str">
        <f aca="false">IF(B498="","",IFERROR(INDEX('CLM &amp; IM Mapping'!$C$2:$C$270,MATCH(TRIM(B498),'CLM &amp; IM Mapping'!$A$2:$A$270,0)),"Not Mapped"))</f>
        <v>Not Mapped</v>
      </c>
      <c r="E498" s="41" t="n">
        <v>0</v>
      </c>
      <c r="F498" s="41" t="n">
        <v>0</v>
      </c>
      <c r="G498" s="41" t="n">
        <v>0</v>
      </c>
      <c r="H498" s="41" t="n">
        <v>0</v>
      </c>
      <c r="I498" s="41" t="n">
        <v>0</v>
      </c>
      <c r="J498" s="41" t="n">
        <v>0</v>
      </c>
      <c r="K498" s="41" t="n">
        <v>0</v>
      </c>
      <c r="L498" s="41" t="n">
        <v>0</v>
      </c>
    </row>
    <row r="499" customFormat="false" ht="15.75" hidden="false" customHeight="false" outlineLevel="0" collapsed="false">
      <c r="B499" s="39" t="s">
        <v>650</v>
      </c>
      <c r="C499" s="40" t="str">
        <f aca="false">IF(B499="","",IFERROR(INDEX('CLM &amp; IM Mapping'!$B$2:$B$270,MATCH(TRIM(B499),'CLM &amp; IM Mapping'!$A$2:$A$270,0)),"Not Mapped"))</f>
        <v>Not Mapped</v>
      </c>
      <c r="D499" s="40" t="str">
        <f aca="false">IF(B499="","",IFERROR(INDEX('CLM &amp; IM Mapping'!$C$2:$C$270,MATCH(TRIM(B499),'CLM &amp; IM Mapping'!$A$2:$A$270,0)),"Not Mapped"))</f>
        <v>Not Mapped</v>
      </c>
      <c r="E499" s="41" t="n">
        <v>6055</v>
      </c>
      <c r="F499" s="41" t="n">
        <v>5898</v>
      </c>
      <c r="G499" s="41" t="n">
        <v>0</v>
      </c>
      <c r="H499" s="41" t="n">
        <v>0</v>
      </c>
      <c r="I499" s="41" t="n">
        <v>157</v>
      </c>
      <c r="J499" s="41" t="n">
        <v>0</v>
      </c>
      <c r="K499" s="41" t="n">
        <v>0</v>
      </c>
      <c r="L499" s="41" t="n">
        <v>157</v>
      </c>
    </row>
    <row r="500" customFormat="false" ht="15.75" hidden="false" customHeight="false" outlineLevel="0" collapsed="false">
      <c r="B500" s="39" t="s">
        <v>651</v>
      </c>
      <c r="C500" s="40" t="str">
        <f aca="false">IF(B500="","",IFERROR(INDEX('CLM &amp; IM Mapping'!$B$2:$B$270,MATCH(TRIM(B500),'CLM &amp; IM Mapping'!$A$2:$A$270,0)),"Not Mapped"))</f>
        <v>Not Mapped</v>
      </c>
      <c r="D500" s="40" t="str">
        <f aca="false">IF(B500="","",IFERROR(INDEX('CLM &amp; IM Mapping'!$C$2:$C$270,MATCH(TRIM(B500),'CLM &amp; IM Mapping'!$A$2:$A$270,0)),"Not Mapped"))</f>
        <v>Not Mapped</v>
      </c>
      <c r="E500" s="41" t="n">
        <v>0</v>
      </c>
      <c r="F500" s="41" t="n">
        <v>0</v>
      </c>
      <c r="G500" s="41" t="n">
        <v>0</v>
      </c>
      <c r="H500" s="41" t="n">
        <v>0</v>
      </c>
      <c r="I500" s="41" t="n">
        <v>0</v>
      </c>
      <c r="J500" s="41" t="n">
        <v>0</v>
      </c>
      <c r="K500" s="41" t="n">
        <v>0</v>
      </c>
      <c r="L500" s="41" t="n">
        <v>0</v>
      </c>
    </row>
    <row r="501" customFormat="false" ht="15.75" hidden="false" customHeight="false" outlineLevel="0" collapsed="false">
      <c r="B501" s="39" t="s">
        <v>652</v>
      </c>
      <c r="C501" s="40" t="str">
        <f aca="false">IF(B501="","",IFERROR(INDEX('CLM &amp; IM Mapping'!$B$2:$B$270,MATCH(TRIM(B501),'CLM &amp; IM Mapping'!$A$2:$A$270,0)),"Not Mapped"))</f>
        <v>Not Mapped</v>
      </c>
      <c r="D501" s="40" t="str">
        <f aca="false">IF(B501="","",IFERROR(INDEX('CLM &amp; IM Mapping'!$C$2:$C$270,MATCH(TRIM(B501),'CLM &amp; IM Mapping'!$A$2:$A$270,0)),"Not Mapped"))</f>
        <v>Not Mapped</v>
      </c>
      <c r="E501" s="41" t="n">
        <v>1283</v>
      </c>
      <c r="F501" s="41" t="n">
        <v>1283</v>
      </c>
      <c r="G501" s="41" t="n">
        <v>0</v>
      </c>
      <c r="H501" s="41" t="n">
        <v>0</v>
      </c>
      <c r="I501" s="41" t="n">
        <v>0</v>
      </c>
      <c r="J501" s="41" t="n">
        <v>0</v>
      </c>
      <c r="K501" s="41" t="n">
        <v>0</v>
      </c>
      <c r="L501" s="41" t="n">
        <v>0</v>
      </c>
    </row>
    <row r="502" customFormat="false" ht="15.75" hidden="false" customHeight="false" outlineLevel="0" collapsed="false">
      <c r="B502" s="39" t="s">
        <v>653</v>
      </c>
      <c r="C502" s="40" t="str">
        <f aca="false">IF(B502="","",IFERROR(INDEX('CLM &amp; IM Mapping'!$B$2:$B$270,MATCH(TRIM(B502),'CLM &amp; IM Mapping'!$A$2:$A$270,0)),"Not Mapped"))</f>
        <v>Not Mapped</v>
      </c>
      <c r="D502" s="40" t="str">
        <f aca="false">IF(B502="","",IFERROR(INDEX('CLM &amp; IM Mapping'!$C$2:$C$270,MATCH(TRIM(B502),'CLM &amp; IM Mapping'!$A$2:$A$270,0)),"Not Mapped"))</f>
        <v>Not Mapped</v>
      </c>
      <c r="E502" s="41" t="n">
        <v>975</v>
      </c>
      <c r="F502" s="41" t="n">
        <v>514</v>
      </c>
      <c r="G502" s="41" t="n">
        <v>461</v>
      </c>
      <c r="H502" s="41" t="n">
        <v>0</v>
      </c>
      <c r="I502" s="41" t="n">
        <v>0</v>
      </c>
      <c r="J502" s="41" t="n">
        <v>0</v>
      </c>
      <c r="K502" s="41" t="n">
        <v>0</v>
      </c>
      <c r="L502" s="41" t="n">
        <v>0</v>
      </c>
    </row>
    <row r="503" customFormat="false" ht="15.75" hidden="false" customHeight="false" outlineLevel="0" collapsed="false">
      <c r="B503" s="39" t="s">
        <v>654</v>
      </c>
      <c r="C503" s="40" t="str">
        <f aca="false">IF(B503="","",IFERROR(INDEX('CLM &amp; IM Mapping'!$B$2:$B$270,MATCH(TRIM(B503),'CLM &amp; IM Mapping'!$A$2:$A$270,0)),"Not Mapped"))</f>
        <v>Not Mapped</v>
      </c>
      <c r="D503" s="40" t="str">
        <f aca="false">IF(B503="","",IFERROR(INDEX('CLM &amp; IM Mapping'!$C$2:$C$270,MATCH(TRIM(B503),'CLM &amp; IM Mapping'!$A$2:$A$270,0)),"Not Mapped"))</f>
        <v>Not Mapped</v>
      </c>
      <c r="E503" s="41" t="n">
        <v>3774</v>
      </c>
      <c r="F503" s="41" t="n">
        <v>1559</v>
      </c>
      <c r="G503" s="41" t="n">
        <v>2215</v>
      </c>
      <c r="H503" s="41" t="n">
        <v>0</v>
      </c>
      <c r="I503" s="41" t="n">
        <v>0</v>
      </c>
      <c r="J503" s="41" t="n">
        <v>0</v>
      </c>
      <c r="K503" s="41" t="n">
        <v>0</v>
      </c>
      <c r="L503" s="41" t="n">
        <v>0</v>
      </c>
    </row>
    <row r="504" customFormat="false" ht="15.75" hidden="false" customHeight="false" outlineLevel="0" collapsed="false">
      <c r="B504" s="39" t="s">
        <v>655</v>
      </c>
      <c r="C504" s="40" t="str">
        <f aca="false">IF(B504="","",IFERROR(INDEX('CLM &amp; IM Mapping'!$B$2:$B$270,MATCH(TRIM(B504),'CLM &amp; IM Mapping'!$A$2:$A$270,0)),"Not Mapped"))</f>
        <v>Not Mapped</v>
      </c>
      <c r="D504" s="40" t="str">
        <f aca="false">IF(B504="","",IFERROR(INDEX('CLM &amp; IM Mapping'!$C$2:$C$270,MATCH(TRIM(B504),'CLM &amp; IM Mapping'!$A$2:$A$270,0)),"Not Mapped"))</f>
        <v>Not Mapped</v>
      </c>
      <c r="E504" s="41" t="n">
        <v>3868</v>
      </c>
      <c r="F504" s="41" t="n">
        <v>4</v>
      </c>
      <c r="G504" s="41" t="n">
        <v>3324</v>
      </c>
      <c r="H504" s="41" t="n">
        <v>0</v>
      </c>
      <c r="I504" s="41" t="n">
        <v>540</v>
      </c>
      <c r="J504" s="41" t="n">
        <v>0</v>
      </c>
      <c r="K504" s="41" t="n">
        <v>0</v>
      </c>
      <c r="L504" s="41" t="n">
        <v>540</v>
      </c>
    </row>
    <row r="505" customFormat="false" ht="15.75" hidden="false" customHeight="false" outlineLevel="0" collapsed="false">
      <c r="B505" s="39" t="s">
        <v>656</v>
      </c>
      <c r="C505" s="40" t="str">
        <f aca="false">IF(B505="","",IFERROR(INDEX('CLM &amp; IM Mapping'!$B$2:$B$270,MATCH(TRIM(B505),'CLM &amp; IM Mapping'!$A$2:$A$270,0)),"Not Mapped"))</f>
        <v>Not Mapped</v>
      </c>
      <c r="D505" s="40" t="str">
        <f aca="false">IF(B505="","",IFERROR(INDEX('CLM &amp; IM Mapping'!$C$2:$C$270,MATCH(TRIM(B505),'CLM &amp; IM Mapping'!$A$2:$A$270,0)),"Not Mapped"))</f>
        <v>Not Mapped</v>
      </c>
      <c r="E505" s="41" t="n">
        <v>4506</v>
      </c>
      <c r="F505" s="41" t="n">
        <v>3812</v>
      </c>
      <c r="G505" s="41" t="n">
        <v>0</v>
      </c>
      <c r="H505" s="41" t="n">
        <v>0</v>
      </c>
      <c r="I505" s="41" t="n">
        <v>689</v>
      </c>
      <c r="J505" s="41" t="n">
        <v>0</v>
      </c>
      <c r="K505" s="41" t="n">
        <v>5</v>
      </c>
      <c r="L505" s="41" t="n">
        <v>694</v>
      </c>
    </row>
    <row r="506" customFormat="false" ht="15.75" hidden="false" customHeight="false" outlineLevel="0" collapsed="false">
      <c r="B506" s="39" t="s">
        <v>657</v>
      </c>
      <c r="C506" s="40" t="str">
        <f aca="false">IF(B506="","",IFERROR(INDEX('CLM &amp; IM Mapping'!$B$2:$B$270,MATCH(TRIM(B506),'CLM &amp; IM Mapping'!$A$2:$A$270,0)),"Not Mapped"))</f>
        <v>Not Mapped</v>
      </c>
      <c r="D506" s="40" t="str">
        <f aca="false">IF(B506="","",IFERROR(INDEX('CLM &amp; IM Mapping'!$C$2:$C$270,MATCH(TRIM(B506),'CLM &amp; IM Mapping'!$A$2:$A$270,0)),"Not Mapped"))</f>
        <v>Not Mapped</v>
      </c>
      <c r="E506" s="41" t="n">
        <v>3301</v>
      </c>
      <c r="F506" s="41" t="n">
        <v>0</v>
      </c>
      <c r="G506" s="41" t="n">
        <v>3084</v>
      </c>
      <c r="H506" s="41" t="n">
        <v>0</v>
      </c>
      <c r="I506" s="41" t="n">
        <v>217</v>
      </c>
      <c r="J506" s="41" t="n">
        <v>0</v>
      </c>
      <c r="K506" s="41" t="n">
        <v>0</v>
      </c>
      <c r="L506" s="41" t="n">
        <v>217</v>
      </c>
    </row>
    <row r="507" customFormat="false" ht="15.75" hidden="false" customHeight="false" outlineLevel="0" collapsed="false">
      <c r="B507" s="39" t="s">
        <v>658</v>
      </c>
      <c r="C507" s="40" t="str">
        <f aca="false">IF(B507="","",IFERROR(INDEX('CLM &amp; IM Mapping'!$B$2:$B$270,MATCH(TRIM(B507),'CLM &amp; IM Mapping'!$A$2:$A$270,0)),"Not Mapped"))</f>
        <v>Not Mapped</v>
      </c>
      <c r="D507" s="40" t="str">
        <f aca="false">IF(B507="","",IFERROR(INDEX('CLM &amp; IM Mapping'!$C$2:$C$270,MATCH(TRIM(B507),'CLM &amp; IM Mapping'!$A$2:$A$270,0)),"Not Mapped"))</f>
        <v>Not Mapped</v>
      </c>
      <c r="E507" s="41" t="n">
        <v>5138</v>
      </c>
      <c r="F507" s="41" t="n">
        <v>0</v>
      </c>
      <c r="G507" s="41" t="n">
        <v>2999</v>
      </c>
      <c r="H507" s="41" t="n">
        <v>2125</v>
      </c>
      <c r="I507" s="41" t="n">
        <v>0</v>
      </c>
      <c r="J507" s="41" t="n">
        <v>14</v>
      </c>
      <c r="K507" s="41" t="n">
        <v>0</v>
      </c>
      <c r="L507" s="41" t="n">
        <v>14</v>
      </c>
    </row>
    <row r="508" customFormat="false" ht="15.75" hidden="false" customHeight="false" outlineLevel="0" collapsed="false">
      <c r="B508" s="39" t="s">
        <v>659</v>
      </c>
      <c r="C508" s="40" t="str">
        <f aca="false">IF(B508="","",IFERROR(INDEX('CLM &amp; IM Mapping'!$B$2:$B$270,MATCH(TRIM(B508),'CLM &amp; IM Mapping'!$A$2:$A$270,0)),"Not Mapped"))</f>
        <v>Not Mapped</v>
      </c>
      <c r="D508" s="40" t="str">
        <f aca="false">IF(B508="","",IFERROR(INDEX('CLM &amp; IM Mapping'!$C$2:$C$270,MATCH(TRIM(B508),'CLM &amp; IM Mapping'!$A$2:$A$270,0)),"Not Mapped"))</f>
        <v>Not Mapped</v>
      </c>
      <c r="E508" s="41" t="n">
        <v>6593</v>
      </c>
      <c r="F508" s="41" t="n">
        <v>6593</v>
      </c>
      <c r="G508" s="41" t="n">
        <v>0</v>
      </c>
      <c r="H508" s="41" t="n">
        <v>0</v>
      </c>
      <c r="I508" s="41" t="n">
        <v>0</v>
      </c>
      <c r="J508" s="41" t="n">
        <v>0</v>
      </c>
      <c r="K508" s="41" t="n">
        <v>0</v>
      </c>
      <c r="L508" s="41" t="n">
        <v>0</v>
      </c>
    </row>
    <row r="509" customFormat="false" ht="15.75" hidden="false" customHeight="false" outlineLevel="0" collapsed="false">
      <c r="B509" s="39" t="s">
        <v>660</v>
      </c>
      <c r="C509" s="40" t="str">
        <f aca="false">IF(B509="","",IFERROR(INDEX('CLM &amp; IM Mapping'!$B$2:$B$270,MATCH(TRIM(B509),'CLM &amp; IM Mapping'!$A$2:$A$270,0)),"Not Mapped"))</f>
        <v>Not Mapped</v>
      </c>
      <c r="D509" s="40" t="str">
        <f aca="false">IF(B509="","",IFERROR(INDEX('CLM &amp; IM Mapping'!$C$2:$C$270,MATCH(TRIM(B509),'CLM &amp; IM Mapping'!$A$2:$A$270,0)),"Not Mapped"))</f>
        <v>Not Mapped</v>
      </c>
      <c r="E509" s="41" t="n">
        <v>3329</v>
      </c>
      <c r="F509" s="41" t="n">
        <v>2950</v>
      </c>
      <c r="G509" s="41" t="n">
        <v>0</v>
      </c>
      <c r="H509" s="41" t="n">
        <v>0</v>
      </c>
      <c r="I509" s="41" t="n">
        <v>379</v>
      </c>
      <c r="J509" s="41" t="n">
        <v>0</v>
      </c>
      <c r="K509" s="41" t="n">
        <v>0</v>
      </c>
      <c r="L509" s="41" t="n">
        <v>379</v>
      </c>
    </row>
    <row r="510" customFormat="false" ht="15.75" hidden="false" customHeight="false" outlineLevel="0" collapsed="false">
      <c r="B510" s="39" t="s">
        <v>661</v>
      </c>
      <c r="C510" s="40" t="str">
        <f aca="false">IF(B510="","",IFERROR(INDEX('CLM &amp; IM Mapping'!$B$2:$B$270,MATCH(TRIM(B510),'CLM &amp; IM Mapping'!$A$2:$A$270,0)),"Not Mapped"))</f>
        <v>Not Mapped</v>
      </c>
      <c r="D510" s="40" t="str">
        <f aca="false">IF(B510="","",IFERROR(INDEX('CLM &amp; IM Mapping'!$C$2:$C$270,MATCH(TRIM(B510),'CLM &amp; IM Mapping'!$A$2:$A$270,0)),"Not Mapped"))</f>
        <v>Not Mapped</v>
      </c>
      <c r="E510" s="41" t="n">
        <v>6290</v>
      </c>
      <c r="F510" s="41" t="n">
        <v>4204</v>
      </c>
      <c r="G510" s="41" t="n">
        <v>1166</v>
      </c>
      <c r="H510" s="41" t="n">
        <v>22</v>
      </c>
      <c r="I510" s="41" t="n">
        <v>898</v>
      </c>
      <c r="J510" s="41" t="n">
        <v>0</v>
      </c>
      <c r="K510" s="41" t="n">
        <v>0</v>
      </c>
      <c r="L510" s="41" t="n">
        <v>898</v>
      </c>
    </row>
    <row r="511" customFormat="false" ht="15.75" hidden="false" customHeight="false" outlineLevel="0" collapsed="false">
      <c r="B511" s="39" t="s">
        <v>662</v>
      </c>
      <c r="C511" s="40" t="str">
        <f aca="false">IF(B511="","",IFERROR(INDEX('CLM &amp; IM Mapping'!$B$2:$B$270,MATCH(TRIM(B511),'CLM &amp; IM Mapping'!$A$2:$A$270,0)),"Not Mapped"))</f>
        <v>Not Mapped</v>
      </c>
      <c r="D511" s="40" t="str">
        <f aca="false">IF(B511="","",IFERROR(INDEX('CLM &amp; IM Mapping'!$C$2:$C$270,MATCH(TRIM(B511),'CLM &amp; IM Mapping'!$A$2:$A$270,0)),"Not Mapped"))</f>
        <v>Not Mapped</v>
      </c>
      <c r="E511" s="41" t="n">
        <v>2612</v>
      </c>
      <c r="F511" s="41" t="n">
        <v>2612</v>
      </c>
      <c r="G511" s="41" t="n">
        <v>0</v>
      </c>
      <c r="H511" s="41" t="n">
        <v>0</v>
      </c>
      <c r="I511" s="41" t="n">
        <v>0</v>
      </c>
      <c r="J511" s="41" t="n">
        <v>0</v>
      </c>
      <c r="K511" s="41" t="n">
        <v>0</v>
      </c>
      <c r="L511" s="41" t="n">
        <v>0</v>
      </c>
    </row>
    <row r="512" customFormat="false" ht="15.75" hidden="false" customHeight="false" outlineLevel="0" collapsed="false">
      <c r="B512" s="39" t="s">
        <v>663</v>
      </c>
      <c r="C512" s="40" t="str">
        <f aca="false">IF(B512="","",IFERROR(INDEX('CLM &amp; IM Mapping'!$B$2:$B$270,MATCH(TRIM(B512),'CLM &amp; IM Mapping'!$A$2:$A$270,0)),"Not Mapped"))</f>
        <v>Not Mapped</v>
      </c>
      <c r="D512" s="40" t="str">
        <f aca="false">IF(B512="","",IFERROR(INDEX('CLM &amp; IM Mapping'!$C$2:$C$270,MATCH(TRIM(B512),'CLM &amp; IM Mapping'!$A$2:$A$270,0)),"Not Mapped"))</f>
        <v>Not Mapped</v>
      </c>
      <c r="E512" s="41" t="n">
        <v>6247</v>
      </c>
      <c r="F512" s="41" t="n">
        <v>142</v>
      </c>
      <c r="G512" s="41" t="n">
        <v>6105</v>
      </c>
      <c r="H512" s="41" t="n">
        <v>0</v>
      </c>
      <c r="I512" s="41" t="n">
        <v>0</v>
      </c>
      <c r="J512" s="41" t="n">
        <v>0</v>
      </c>
      <c r="K512" s="41" t="n">
        <v>0</v>
      </c>
      <c r="L512" s="41" t="n">
        <v>0</v>
      </c>
    </row>
    <row r="513" customFormat="false" ht="15.75" hidden="false" customHeight="false" outlineLevel="0" collapsed="false">
      <c r="B513" s="39" t="s">
        <v>664</v>
      </c>
      <c r="C513" s="40" t="str">
        <f aca="false">IF(B513="","",IFERROR(INDEX('CLM &amp; IM Mapping'!$B$2:$B$270,MATCH(TRIM(B513),'CLM &amp; IM Mapping'!$A$2:$A$270,0)),"Not Mapped"))</f>
        <v>Not Mapped</v>
      </c>
      <c r="D513" s="40" t="str">
        <f aca="false">IF(B513="","",IFERROR(INDEX('CLM &amp; IM Mapping'!$C$2:$C$270,MATCH(TRIM(B513),'CLM &amp; IM Mapping'!$A$2:$A$270,0)),"Not Mapped"))</f>
        <v>Not Mapped</v>
      </c>
      <c r="E513" s="41" t="n">
        <v>0</v>
      </c>
      <c r="F513" s="41" t="n">
        <v>0</v>
      </c>
      <c r="G513" s="41" t="n">
        <v>0</v>
      </c>
      <c r="H513" s="41" t="n">
        <v>0</v>
      </c>
      <c r="I513" s="41" t="n">
        <v>0</v>
      </c>
      <c r="J513" s="41" t="n">
        <v>0</v>
      </c>
      <c r="K513" s="41" t="n">
        <v>0</v>
      </c>
      <c r="L513" s="41" t="n">
        <v>0</v>
      </c>
    </row>
    <row r="514" customFormat="false" ht="15.75" hidden="false" customHeight="false" outlineLevel="0" collapsed="false">
      <c r="B514" s="39" t="s">
        <v>665</v>
      </c>
      <c r="C514" s="40" t="str">
        <f aca="false">IF(B514="","",IFERROR(INDEX('CLM &amp; IM Mapping'!$B$2:$B$270,MATCH(TRIM(B514),'CLM &amp; IM Mapping'!$A$2:$A$270,0)),"Not Mapped"))</f>
        <v>Not Mapped</v>
      </c>
      <c r="D514" s="40" t="str">
        <f aca="false">IF(B514="","",IFERROR(INDEX('CLM &amp; IM Mapping'!$C$2:$C$270,MATCH(TRIM(B514),'CLM &amp; IM Mapping'!$A$2:$A$270,0)),"Not Mapped"))</f>
        <v>Not Mapped</v>
      </c>
      <c r="E514" s="41" t="n">
        <v>381</v>
      </c>
      <c r="F514" s="41" t="n">
        <v>313</v>
      </c>
      <c r="G514" s="41" t="n">
        <v>52</v>
      </c>
      <c r="H514" s="41" t="n">
        <v>16</v>
      </c>
      <c r="I514" s="41" t="n">
        <v>0</v>
      </c>
      <c r="J514" s="41" t="n">
        <v>0</v>
      </c>
      <c r="K514" s="41" t="n">
        <v>0</v>
      </c>
      <c r="L514" s="41" t="n">
        <v>16</v>
      </c>
    </row>
    <row r="515" customFormat="false" ht="15.75" hidden="false" customHeight="false" outlineLevel="0" collapsed="false">
      <c r="B515" s="39" t="s">
        <v>666</v>
      </c>
      <c r="C515" s="40" t="str">
        <f aca="false">IF(B515="","",IFERROR(INDEX('CLM &amp; IM Mapping'!$B$2:$B$270,MATCH(TRIM(B515),'CLM &amp; IM Mapping'!$A$2:$A$270,0)),"Not Mapped"))</f>
        <v>Not Mapped</v>
      </c>
      <c r="D515" s="40" t="str">
        <f aca="false">IF(B515="","",IFERROR(INDEX('CLM &amp; IM Mapping'!$C$2:$C$270,MATCH(TRIM(B515),'CLM &amp; IM Mapping'!$A$2:$A$270,0)),"Not Mapped"))</f>
        <v>Not Mapped</v>
      </c>
      <c r="E515" s="41" t="n">
        <v>4594</v>
      </c>
      <c r="F515" s="41" t="n">
        <v>3060</v>
      </c>
      <c r="G515" s="41" t="n">
        <v>541</v>
      </c>
      <c r="H515" s="41" t="n">
        <v>0</v>
      </c>
      <c r="I515" s="41" t="n">
        <v>740</v>
      </c>
      <c r="J515" s="41" t="n">
        <v>0</v>
      </c>
      <c r="K515" s="41" t="n">
        <v>253</v>
      </c>
      <c r="L515" s="41" t="n">
        <v>993</v>
      </c>
    </row>
    <row r="516" customFormat="false" ht="15.75" hidden="false" customHeight="false" outlineLevel="0" collapsed="false">
      <c r="B516" s="39" t="s">
        <v>667</v>
      </c>
      <c r="C516" s="40" t="str">
        <f aca="false">IF(B516="","",IFERROR(INDEX('CLM &amp; IM Mapping'!$B$2:$B$270,MATCH(TRIM(B516),'CLM &amp; IM Mapping'!$A$2:$A$270,0)),"Not Mapped"))</f>
        <v>Not Mapped</v>
      </c>
      <c r="D516" s="40" t="str">
        <f aca="false">IF(B516="","",IFERROR(INDEX('CLM &amp; IM Mapping'!$C$2:$C$270,MATCH(TRIM(B516),'CLM &amp; IM Mapping'!$A$2:$A$270,0)),"Not Mapped"))</f>
        <v>Not Mapped</v>
      </c>
      <c r="E516" s="41" t="n">
        <v>828</v>
      </c>
      <c r="F516" s="41" t="n">
        <v>92</v>
      </c>
      <c r="G516" s="41" t="n">
        <v>736</v>
      </c>
      <c r="H516" s="41" t="n">
        <v>0</v>
      </c>
      <c r="I516" s="41" t="n">
        <v>0</v>
      </c>
      <c r="J516" s="41" t="n">
        <v>0</v>
      </c>
      <c r="K516" s="41" t="n">
        <v>0</v>
      </c>
      <c r="L516" s="41" t="n">
        <v>0</v>
      </c>
    </row>
    <row r="517" customFormat="false" ht="15.75" hidden="false" customHeight="false" outlineLevel="0" collapsed="false">
      <c r="B517" s="39" t="s">
        <v>668</v>
      </c>
      <c r="C517" s="40" t="str">
        <f aca="false">IF(B517="","",IFERROR(INDEX('CLM &amp; IM Mapping'!$B$2:$B$270,MATCH(TRIM(B517),'CLM &amp; IM Mapping'!$A$2:$A$270,0)),"Not Mapped"))</f>
        <v>Not Mapped</v>
      </c>
      <c r="D517" s="40" t="str">
        <f aca="false">IF(B517="","",IFERROR(INDEX('CLM &amp; IM Mapping'!$C$2:$C$270,MATCH(TRIM(B517),'CLM &amp; IM Mapping'!$A$2:$A$270,0)),"Not Mapped"))</f>
        <v>Not Mapped</v>
      </c>
      <c r="E517" s="41" t="n">
        <v>0</v>
      </c>
      <c r="F517" s="41" t="n">
        <v>0</v>
      </c>
      <c r="G517" s="41" t="n">
        <v>0</v>
      </c>
      <c r="H517" s="41" t="n">
        <v>0</v>
      </c>
      <c r="I517" s="41" t="n">
        <v>0</v>
      </c>
      <c r="J517" s="41" t="n">
        <v>0</v>
      </c>
      <c r="K517" s="41" t="n">
        <v>0</v>
      </c>
      <c r="L517" s="41" t="n">
        <v>0</v>
      </c>
    </row>
    <row r="518" customFormat="false" ht="15.75" hidden="false" customHeight="false" outlineLevel="0" collapsed="false">
      <c r="B518" s="39" t="s">
        <v>669</v>
      </c>
      <c r="C518" s="40" t="str">
        <f aca="false">IF(B518="","",IFERROR(INDEX('CLM &amp; IM Mapping'!$B$2:$B$270,MATCH(TRIM(B518),'CLM &amp; IM Mapping'!$A$2:$A$270,0)),"Not Mapped"))</f>
        <v>Not Mapped</v>
      </c>
      <c r="D518" s="40" t="str">
        <f aca="false">IF(B518="","",IFERROR(INDEX('CLM &amp; IM Mapping'!$C$2:$C$270,MATCH(TRIM(B518),'CLM &amp; IM Mapping'!$A$2:$A$270,0)),"Not Mapped"))</f>
        <v>Not Mapped</v>
      </c>
      <c r="E518" s="41" t="n">
        <v>0</v>
      </c>
      <c r="F518" s="41" t="n">
        <v>0</v>
      </c>
      <c r="G518" s="41" t="n">
        <v>0</v>
      </c>
      <c r="H518" s="41" t="n">
        <v>0</v>
      </c>
      <c r="I518" s="41" t="n">
        <v>0</v>
      </c>
      <c r="J518" s="41" t="n">
        <v>0</v>
      </c>
      <c r="K518" s="41" t="n">
        <v>0</v>
      </c>
      <c r="L518" s="41" t="n">
        <v>0</v>
      </c>
    </row>
    <row r="519" customFormat="false" ht="15.75" hidden="false" customHeight="false" outlineLevel="0" collapsed="false">
      <c r="B519" s="39" t="s">
        <v>670</v>
      </c>
      <c r="C519" s="40" t="str">
        <f aca="false">IF(B519="","",IFERROR(INDEX('CLM &amp; IM Mapping'!$B$2:$B$270,MATCH(TRIM(B519),'CLM &amp; IM Mapping'!$A$2:$A$270,0)),"Not Mapped"))</f>
        <v>Not Mapped</v>
      </c>
      <c r="D519" s="40" t="str">
        <f aca="false">IF(B519="","",IFERROR(INDEX('CLM &amp; IM Mapping'!$C$2:$C$270,MATCH(TRIM(B519),'CLM &amp; IM Mapping'!$A$2:$A$270,0)),"Not Mapped"))</f>
        <v>Not Mapped</v>
      </c>
      <c r="E519" s="41" t="n">
        <v>0</v>
      </c>
      <c r="F519" s="41" t="n">
        <v>0</v>
      </c>
      <c r="G519" s="41" t="n">
        <v>0</v>
      </c>
      <c r="H519" s="41" t="n">
        <v>0</v>
      </c>
      <c r="I519" s="41" t="n">
        <v>0</v>
      </c>
      <c r="J519" s="41" t="n">
        <v>0</v>
      </c>
      <c r="K519" s="41" t="n">
        <v>0</v>
      </c>
      <c r="L519" s="41" t="n">
        <v>0</v>
      </c>
    </row>
    <row r="520" customFormat="false" ht="15.75" hidden="false" customHeight="false" outlineLevel="0" collapsed="false">
      <c r="B520" s="39" t="s">
        <v>671</v>
      </c>
      <c r="C520" s="40" t="str">
        <f aca="false">IF(B520="","",IFERROR(INDEX('CLM &amp; IM Mapping'!$B$2:$B$270,MATCH(TRIM(B520),'CLM &amp; IM Mapping'!$A$2:$A$270,0)),"Not Mapped"))</f>
        <v>Not Mapped</v>
      </c>
      <c r="D520" s="40" t="str">
        <f aca="false">IF(B520="","",IFERROR(INDEX('CLM &amp; IM Mapping'!$C$2:$C$270,MATCH(TRIM(B520),'CLM &amp; IM Mapping'!$A$2:$A$270,0)),"Not Mapped"))</f>
        <v>Not Mapped</v>
      </c>
      <c r="E520" s="41" t="n">
        <v>1780</v>
      </c>
      <c r="F520" s="41" t="n">
        <v>1739</v>
      </c>
      <c r="G520" s="41" t="n">
        <v>0</v>
      </c>
      <c r="H520" s="41" t="n">
        <v>0</v>
      </c>
      <c r="I520" s="41" t="n">
        <v>9</v>
      </c>
      <c r="J520" s="41" t="n">
        <v>0</v>
      </c>
      <c r="K520" s="41" t="n">
        <v>32</v>
      </c>
      <c r="L520" s="41" t="n">
        <v>41</v>
      </c>
    </row>
    <row r="521" customFormat="false" ht="15.75" hidden="false" customHeight="false" outlineLevel="0" collapsed="false">
      <c r="B521" s="39" t="s">
        <v>672</v>
      </c>
      <c r="C521" s="40" t="str">
        <f aca="false">IF(B521="","",IFERROR(INDEX('CLM &amp; IM Mapping'!$B$2:$B$270,MATCH(TRIM(B521),'CLM &amp; IM Mapping'!$A$2:$A$270,0)),"Not Mapped"))</f>
        <v>Not Mapped</v>
      </c>
      <c r="D521" s="40" t="str">
        <f aca="false">IF(B521="","",IFERROR(INDEX('CLM &amp; IM Mapping'!$C$2:$C$270,MATCH(TRIM(B521),'CLM &amp; IM Mapping'!$A$2:$A$270,0)),"Not Mapped"))</f>
        <v>Not Mapped</v>
      </c>
      <c r="E521" s="41" t="n">
        <v>12954</v>
      </c>
      <c r="F521" s="41" t="n">
        <v>11033</v>
      </c>
      <c r="G521" s="41" t="n">
        <v>0</v>
      </c>
      <c r="H521" s="41" t="n">
        <v>1040</v>
      </c>
      <c r="I521" s="41" t="n">
        <v>880</v>
      </c>
      <c r="J521" s="41" t="n">
        <v>0</v>
      </c>
      <c r="K521" s="41" t="n">
        <v>1</v>
      </c>
      <c r="L521" s="41" t="n">
        <v>1921</v>
      </c>
    </row>
    <row r="522" customFormat="false" ht="15.75" hidden="false" customHeight="false" outlineLevel="0" collapsed="false">
      <c r="B522" s="39" t="s">
        <v>673</v>
      </c>
      <c r="C522" s="40" t="str">
        <f aca="false">IF(B522="","",IFERROR(INDEX('CLM &amp; IM Mapping'!$B$2:$B$270,MATCH(TRIM(B522),'CLM &amp; IM Mapping'!$A$2:$A$270,0)),"Not Mapped"))</f>
        <v>Not Mapped</v>
      </c>
      <c r="D522" s="40" t="str">
        <f aca="false">IF(B522="","",IFERROR(INDEX('CLM &amp; IM Mapping'!$C$2:$C$270,MATCH(TRIM(B522),'CLM &amp; IM Mapping'!$A$2:$A$270,0)),"Not Mapped"))</f>
        <v>Not Mapped</v>
      </c>
      <c r="E522" s="41" t="n">
        <v>0</v>
      </c>
      <c r="F522" s="41" t="n">
        <v>0</v>
      </c>
      <c r="G522" s="41" t="n">
        <v>0</v>
      </c>
      <c r="H522" s="41" t="n">
        <v>0</v>
      </c>
      <c r="I522" s="41" t="n">
        <v>0</v>
      </c>
      <c r="J522" s="41" t="n">
        <v>0</v>
      </c>
      <c r="K522" s="41" t="n">
        <v>0</v>
      </c>
      <c r="L522" s="41" t="n">
        <v>0</v>
      </c>
    </row>
    <row r="523" customFormat="false" ht="15.75" hidden="false" customHeight="false" outlineLevel="0" collapsed="false">
      <c r="B523" s="48" t="s">
        <v>674</v>
      </c>
      <c r="C523" s="40" t="str">
        <f aca="false">IF(B523="","",IFERROR(INDEX('CLM &amp; IM Mapping'!$B$2:$B$270,MATCH(TRIM(B523),'CLM &amp; IM Mapping'!$A$2:$A$270,0)),"Not Mapped"))</f>
        <v>Not Mapped</v>
      </c>
      <c r="D523" s="40" t="str">
        <f aca="false">IF(B523="","",IFERROR(INDEX('CLM &amp; IM Mapping'!$C$2:$C$270,MATCH(TRIM(B523),'CLM &amp; IM Mapping'!$A$2:$A$270,0)),"Not Mapped"))</f>
        <v>Not Mapped</v>
      </c>
      <c r="E523" s="41" t="n">
        <v>752</v>
      </c>
      <c r="F523" s="41" t="n">
        <v>534</v>
      </c>
      <c r="G523" s="41" t="n">
        <v>218</v>
      </c>
      <c r="H523" s="41" t="n">
        <v>0</v>
      </c>
      <c r="I523" s="41" t="n">
        <v>0</v>
      </c>
      <c r="J523" s="41" t="n">
        <v>0</v>
      </c>
      <c r="K523" s="41" t="n">
        <v>0</v>
      </c>
      <c r="L523" s="41" t="n">
        <v>0</v>
      </c>
    </row>
    <row r="524" customFormat="false" ht="15.75" hidden="false" customHeight="false" outlineLevel="0" collapsed="false">
      <c r="B524" s="39" t="s">
        <v>675</v>
      </c>
      <c r="C524" s="40" t="str">
        <f aca="false">IF(B524="","",IFERROR(INDEX('CLM &amp; IM Mapping'!$B$2:$B$270,MATCH(TRIM(B524),'CLM &amp; IM Mapping'!$A$2:$A$270,0)),"Not Mapped"))</f>
        <v>Not Mapped</v>
      </c>
      <c r="D524" s="40" t="str">
        <f aca="false">IF(B524="","",IFERROR(INDEX('CLM &amp; IM Mapping'!$C$2:$C$270,MATCH(TRIM(B524),'CLM &amp; IM Mapping'!$A$2:$A$270,0)),"Not Mapped"))</f>
        <v>Not Mapped</v>
      </c>
      <c r="E524" s="41" t="n">
        <v>1771</v>
      </c>
      <c r="F524" s="41" t="n">
        <v>1287</v>
      </c>
      <c r="G524" s="41" t="n">
        <v>484</v>
      </c>
      <c r="H524" s="41" t="n">
        <v>0</v>
      </c>
      <c r="I524" s="41" t="n">
        <v>0</v>
      </c>
      <c r="J524" s="41" t="n">
        <v>0</v>
      </c>
      <c r="K524" s="41" t="n">
        <v>0</v>
      </c>
      <c r="L524" s="41" t="n">
        <v>0</v>
      </c>
    </row>
    <row r="525" customFormat="false" ht="15.75" hidden="false" customHeight="false" outlineLevel="0" collapsed="false">
      <c r="B525" s="39" t="s">
        <v>676</v>
      </c>
      <c r="C525" s="40" t="str">
        <f aca="false">IF(B525="","",IFERROR(INDEX('CLM &amp; IM Mapping'!$B$2:$B$270,MATCH(TRIM(B525),'CLM &amp; IM Mapping'!$A$2:$A$270,0)),"Not Mapped"))</f>
        <v>Not Mapped</v>
      </c>
      <c r="D525" s="40" t="str">
        <f aca="false">IF(B525="","",IFERROR(INDEX('CLM &amp; IM Mapping'!$C$2:$C$270,MATCH(TRIM(B525),'CLM &amp; IM Mapping'!$A$2:$A$270,0)),"Not Mapped"))</f>
        <v>Not Mapped</v>
      </c>
      <c r="E525" s="41" t="n">
        <v>5031</v>
      </c>
      <c r="F525" s="41" t="n">
        <v>3989</v>
      </c>
      <c r="G525" s="41" t="n">
        <v>1042</v>
      </c>
      <c r="H525" s="41" t="n">
        <v>0</v>
      </c>
      <c r="I525" s="41" t="n">
        <v>0</v>
      </c>
      <c r="J525" s="41" t="n">
        <v>0</v>
      </c>
      <c r="K525" s="41" t="n">
        <v>0</v>
      </c>
      <c r="L525" s="41" t="n">
        <v>0</v>
      </c>
    </row>
    <row r="526" customFormat="false" ht="15.75" hidden="false" customHeight="false" outlineLevel="0" collapsed="false">
      <c r="B526" s="49" t="s">
        <v>677</v>
      </c>
      <c r="C526" s="40" t="str">
        <f aca="false">IF(B526="","",IFERROR(INDEX('CLM &amp; IM Mapping'!$B$2:$B$270,MATCH(TRIM(B526),'CLM &amp; IM Mapping'!$A$2:$A$270,0)),"Not Mapped"))</f>
        <v>Not Mapped</v>
      </c>
      <c r="D526" s="40" t="str">
        <f aca="false">IF(B526="","",IFERROR(INDEX('CLM &amp; IM Mapping'!$C$2:$C$270,MATCH(TRIM(B526),'CLM &amp; IM Mapping'!$A$2:$A$270,0)),"Not Mapped"))</f>
        <v>Not Mapped</v>
      </c>
      <c r="E526" s="41" t="n">
        <v>802</v>
      </c>
      <c r="F526" s="41" t="n">
        <v>0</v>
      </c>
      <c r="G526" s="41" t="n">
        <v>802</v>
      </c>
      <c r="H526" s="41" t="n">
        <v>0</v>
      </c>
      <c r="I526" s="41" t="n">
        <v>0</v>
      </c>
      <c r="J526" s="41" t="n">
        <v>0</v>
      </c>
      <c r="K526" s="41" t="n">
        <v>0</v>
      </c>
      <c r="L526" s="41" t="n">
        <v>0</v>
      </c>
    </row>
    <row r="527" customFormat="false" ht="15.75" hidden="false" customHeight="false" outlineLevel="0" collapsed="false">
      <c r="B527" s="39" t="s">
        <v>678</v>
      </c>
      <c r="C527" s="40" t="str">
        <f aca="false">IF(B527="","",IFERROR(INDEX('CLM &amp; IM Mapping'!$B$2:$B$270,MATCH(TRIM(B527),'CLM &amp; IM Mapping'!$A$2:$A$270,0)),"Not Mapped"))</f>
        <v>Not Mapped</v>
      </c>
      <c r="D527" s="40" t="str">
        <f aca="false">IF(B527="","",IFERROR(INDEX('CLM &amp; IM Mapping'!$C$2:$C$270,MATCH(TRIM(B527),'CLM &amp; IM Mapping'!$A$2:$A$270,0)),"Not Mapped"))</f>
        <v>Not Mapped</v>
      </c>
      <c r="E527" s="41" t="n">
        <v>4354</v>
      </c>
      <c r="F527" s="41" t="n">
        <v>2551</v>
      </c>
      <c r="G527" s="41" t="n">
        <v>930</v>
      </c>
      <c r="H527" s="41" t="n">
        <v>24</v>
      </c>
      <c r="I527" s="41" t="n">
        <v>482</v>
      </c>
      <c r="J527" s="41" t="n">
        <v>40</v>
      </c>
      <c r="K527" s="41" t="n">
        <v>327</v>
      </c>
      <c r="L527" s="41" t="n">
        <v>873</v>
      </c>
    </row>
    <row r="528" customFormat="false" ht="15.75" hidden="false" customHeight="false" outlineLevel="0" collapsed="false">
      <c r="B528" s="39" t="s">
        <v>679</v>
      </c>
      <c r="C528" s="40" t="str">
        <f aca="false">IF(B528="","",IFERROR(INDEX('CLM &amp; IM Mapping'!$B$2:$B$270,MATCH(TRIM(B528),'CLM &amp; IM Mapping'!$A$2:$A$270,0)),"Not Mapped"))</f>
        <v>Not Mapped</v>
      </c>
      <c r="D528" s="40" t="str">
        <f aca="false">IF(B528="","",IFERROR(INDEX('CLM &amp; IM Mapping'!$C$2:$C$270,MATCH(TRIM(B528),'CLM &amp; IM Mapping'!$A$2:$A$270,0)),"Not Mapped"))</f>
        <v>Not Mapped</v>
      </c>
      <c r="E528" s="41" t="n">
        <v>0</v>
      </c>
      <c r="F528" s="41" t="n">
        <v>0</v>
      </c>
      <c r="G528" s="41" t="n">
        <v>0</v>
      </c>
      <c r="H528" s="41" t="n">
        <v>0</v>
      </c>
      <c r="I528" s="41" t="n">
        <v>0</v>
      </c>
      <c r="J528" s="41" t="n">
        <v>0</v>
      </c>
      <c r="K528" s="41" t="n">
        <v>0</v>
      </c>
      <c r="L528" s="41" t="n">
        <v>0</v>
      </c>
    </row>
    <row r="529" customFormat="false" ht="15.75" hidden="false" customHeight="false" outlineLevel="0" collapsed="false">
      <c r="B529" s="39" t="s">
        <v>680</v>
      </c>
      <c r="C529" s="40" t="str">
        <f aca="false">IF(B529="","",IFERROR(INDEX('CLM &amp; IM Mapping'!$B$2:$B$270,MATCH(TRIM(B529),'CLM &amp; IM Mapping'!$A$2:$A$270,0)),"Not Mapped"))</f>
        <v>Not Mapped</v>
      </c>
      <c r="D529" s="40" t="str">
        <f aca="false">IF(B529="","",IFERROR(INDEX('CLM &amp; IM Mapping'!$C$2:$C$270,MATCH(TRIM(B529),'CLM &amp; IM Mapping'!$A$2:$A$270,0)),"Not Mapped"))</f>
        <v>Not Mapped</v>
      </c>
      <c r="E529" s="41" t="n">
        <v>10353</v>
      </c>
      <c r="F529" s="41" t="n">
        <v>7101</v>
      </c>
      <c r="G529" s="41" t="n">
        <v>710</v>
      </c>
      <c r="H529" s="41" t="n">
        <v>0</v>
      </c>
      <c r="I529" s="41" t="n">
        <v>2484</v>
      </c>
      <c r="J529" s="41" t="n">
        <v>0</v>
      </c>
      <c r="K529" s="41" t="n">
        <v>58</v>
      </c>
      <c r="L529" s="41" t="n">
        <v>2542</v>
      </c>
    </row>
    <row r="530" customFormat="false" ht="15.75" hidden="false" customHeight="false" outlineLevel="0" collapsed="false">
      <c r="B530" s="39" t="s">
        <v>681</v>
      </c>
      <c r="C530" s="40" t="str">
        <f aca="false">IF(B530="","",IFERROR(INDEX('CLM &amp; IM Mapping'!$B$2:$B$270,MATCH(TRIM(B530),'CLM &amp; IM Mapping'!$A$2:$A$270,0)),"Not Mapped"))</f>
        <v>Not Mapped</v>
      </c>
      <c r="D530" s="40" t="str">
        <f aca="false">IF(B530="","",IFERROR(INDEX('CLM &amp; IM Mapping'!$C$2:$C$270,MATCH(TRIM(B530),'CLM &amp; IM Mapping'!$A$2:$A$270,0)),"Not Mapped"))</f>
        <v>Not Mapped</v>
      </c>
      <c r="E530" s="41" t="n">
        <v>96</v>
      </c>
      <c r="F530" s="41" t="n">
        <v>1</v>
      </c>
      <c r="G530" s="41" t="n">
        <v>0</v>
      </c>
      <c r="H530" s="41" t="n">
        <v>0</v>
      </c>
      <c r="I530" s="41" t="n">
        <v>0</v>
      </c>
      <c r="J530" s="41" t="n">
        <v>0</v>
      </c>
      <c r="K530" s="41" t="n">
        <v>95</v>
      </c>
      <c r="L530" s="41" t="n">
        <v>95</v>
      </c>
    </row>
    <row r="531" customFormat="false" ht="15.75" hidden="false" customHeight="false" outlineLevel="0" collapsed="false">
      <c r="B531" s="39" t="s">
        <v>682</v>
      </c>
      <c r="C531" s="40" t="str">
        <f aca="false">IF(B531="","",IFERROR(INDEX('CLM &amp; IM Mapping'!$B$2:$B$270,MATCH(TRIM(B531),'CLM &amp; IM Mapping'!$A$2:$A$270,0)),"Not Mapped"))</f>
        <v>Not Mapped</v>
      </c>
      <c r="D531" s="40" t="str">
        <f aca="false">IF(B531="","",IFERROR(INDEX('CLM &amp; IM Mapping'!$C$2:$C$270,MATCH(TRIM(B531),'CLM &amp; IM Mapping'!$A$2:$A$270,0)),"Not Mapped"))</f>
        <v>Not Mapped</v>
      </c>
      <c r="E531" s="41" t="n">
        <v>7150</v>
      </c>
      <c r="F531" s="41" t="n">
        <v>4326</v>
      </c>
      <c r="G531" s="41" t="n">
        <v>1157</v>
      </c>
      <c r="H531" s="41" t="n">
        <v>0</v>
      </c>
      <c r="I531" s="41" t="n">
        <v>1104</v>
      </c>
      <c r="J531" s="41" t="n">
        <v>43</v>
      </c>
      <c r="K531" s="41" t="n">
        <v>520</v>
      </c>
      <c r="L531" s="41" t="n">
        <v>1667</v>
      </c>
    </row>
    <row r="532" customFormat="false" ht="15.75" hidden="false" customHeight="false" outlineLevel="0" collapsed="false">
      <c r="B532" s="39" t="s">
        <v>683</v>
      </c>
      <c r="C532" s="40" t="str">
        <f aca="false">IF(B532="","",IFERROR(INDEX('CLM &amp; IM Mapping'!$B$2:$B$270,MATCH(TRIM(B532),'CLM &amp; IM Mapping'!$A$2:$A$270,0)),"Not Mapped"))</f>
        <v>Not Mapped</v>
      </c>
      <c r="D532" s="40" t="str">
        <f aca="false">IF(B532="","",IFERROR(INDEX('CLM &amp; IM Mapping'!$C$2:$C$270,MATCH(TRIM(B532),'CLM &amp; IM Mapping'!$A$2:$A$270,0)),"Not Mapped"))</f>
        <v>Not Mapped</v>
      </c>
      <c r="E532" s="41" t="n">
        <v>203</v>
      </c>
      <c r="F532" s="41" t="n">
        <v>0</v>
      </c>
      <c r="G532" s="41" t="n">
        <v>0</v>
      </c>
      <c r="H532" s="41" t="n">
        <v>0</v>
      </c>
      <c r="I532" s="41" t="n">
        <v>0</v>
      </c>
      <c r="J532" s="41" t="n">
        <v>0</v>
      </c>
      <c r="K532" s="41" t="n">
        <v>203</v>
      </c>
      <c r="L532" s="41" t="n">
        <v>203</v>
      </c>
    </row>
    <row r="533" customFormat="false" ht="15.75" hidden="false" customHeight="false" outlineLevel="0" collapsed="false">
      <c r="B533" s="39" t="s">
        <v>684</v>
      </c>
      <c r="C533" s="40" t="str">
        <f aca="false">IF(B533="","",IFERROR(INDEX('CLM &amp; IM Mapping'!$B$2:$B$270,MATCH(TRIM(B533),'CLM &amp; IM Mapping'!$A$2:$A$270,0)),"Not Mapped"))</f>
        <v>Not Mapped</v>
      </c>
      <c r="D533" s="40" t="str">
        <f aca="false">IF(B533="","",IFERROR(INDEX('CLM &amp; IM Mapping'!$C$2:$C$270,MATCH(TRIM(B533),'CLM &amp; IM Mapping'!$A$2:$A$270,0)),"Not Mapped"))</f>
        <v>Not Mapped</v>
      </c>
      <c r="E533" s="41" t="n">
        <v>6</v>
      </c>
      <c r="F533" s="41" t="n">
        <v>6</v>
      </c>
      <c r="G533" s="41" t="n">
        <v>0</v>
      </c>
      <c r="H533" s="41" t="n">
        <v>0</v>
      </c>
      <c r="I533" s="41" t="n">
        <v>0</v>
      </c>
      <c r="J533" s="41" t="n">
        <v>0</v>
      </c>
      <c r="K533" s="41" t="n">
        <v>0</v>
      </c>
      <c r="L533" s="41" t="n">
        <v>0</v>
      </c>
    </row>
    <row r="534" customFormat="false" ht="15.75" hidden="false" customHeight="false" outlineLevel="0" collapsed="false">
      <c r="B534" s="39" t="s">
        <v>685</v>
      </c>
      <c r="C534" s="40" t="str">
        <f aca="false">IF(B534="","",IFERROR(INDEX('CLM &amp; IM Mapping'!$B$2:$B$270,MATCH(TRIM(B534),'CLM &amp; IM Mapping'!$A$2:$A$270,0)),"Not Mapped"))</f>
        <v>Not Mapped</v>
      </c>
      <c r="D534" s="40" t="str">
        <f aca="false">IF(B534="","",IFERROR(INDEX('CLM &amp; IM Mapping'!$C$2:$C$270,MATCH(TRIM(B534),'CLM &amp; IM Mapping'!$A$2:$A$270,0)),"Not Mapped"))</f>
        <v>Not Mapped</v>
      </c>
      <c r="E534" s="41" t="n">
        <v>2</v>
      </c>
      <c r="F534" s="41" t="n">
        <v>0</v>
      </c>
      <c r="G534" s="41" t="n">
        <v>0</v>
      </c>
      <c r="H534" s="41" t="n">
        <v>0</v>
      </c>
      <c r="I534" s="41" t="n">
        <v>0</v>
      </c>
      <c r="J534" s="41" t="n">
        <v>0</v>
      </c>
      <c r="K534" s="41" t="n">
        <v>2</v>
      </c>
      <c r="L534" s="41" t="n">
        <v>2</v>
      </c>
    </row>
    <row r="535" customFormat="false" ht="15.75" hidden="false" customHeight="false" outlineLevel="0" collapsed="false">
      <c r="B535" s="39" t="s">
        <v>686</v>
      </c>
      <c r="C535" s="40" t="str">
        <f aca="false">IF(B535="","",IFERROR(INDEX('CLM &amp; IM Mapping'!$B$2:$B$270,MATCH(TRIM(B535),'CLM &amp; IM Mapping'!$A$2:$A$270,0)),"Not Mapped"))</f>
        <v>Not Mapped</v>
      </c>
      <c r="D535" s="40" t="str">
        <f aca="false">IF(B535="","",IFERROR(INDEX('CLM &amp; IM Mapping'!$C$2:$C$270,MATCH(TRIM(B535),'CLM &amp; IM Mapping'!$A$2:$A$270,0)),"Not Mapped"))</f>
        <v>Not Mapped</v>
      </c>
      <c r="E535" s="41" t="n">
        <v>7</v>
      </c>
      <c r="F535" s="41" t="n">
        <v>7</v>
      </c>
      <c r="G535" s="41" t="n">
        <v>0</v>
      </c>
      <c r="H535" s="41" t="n">
        <v>0</v>
      </c>
      <c r="I535" s="41" t="n">
        <v>0</v>
      </c>
      <c r="J535" s="41" t="n">
        <v>0</v>
      </c>
      <c r="K535" s="41" t="n">
        <v>0</v>
      </c>
      <c r="L535" s="41" t="n">
        <v>0</v>
      </c>
    </row>
    <row r="536" customFormat="false" ht="15.75" hidden="false" customHeight="false" outlineLevel="0" collapsed="false">
      <c r="B536" s="39" t="s">
        <v>687</v>
      </c>
      <c r="C536" s="40" t="str">
        <f aca="false">IF(B536="","",IFERROR(INDEX('CLM &amp; IM Mapping'!$B$2:$B$270,MATCH(TRIM(B536),'CLM &amp; IM Mapping'!$A$2:$A$270,0)),"Not Mapped"))</f>
        <v>Not Mapped</v>
      </c>
      <c r="D536" s="40" t="str">
        <f aca="false">IF(B536="","",IFERROR(INDEX('CLM &amp; IM Mapping'!$C$2:$C$270,MATCH(TRIM(B536),'CLM &amp; IM Mapping'!$A$2:$A$270,0)),"Not Mapped"))</f>
        <v>Not Mapped</v>
      </c>
      <c r="E536" s="41" t="n">
        <v>0</v>
      </c>
      <c r="F536" s="41" t="n">
        <v>0</v>
      </c>
      <c r="G536" s="41" t="n">
        <v>0</v>
      </c>
      <c r="H536" s="41" t="n">
        <v>0</v>
      </c>
      <c r="I536" s="41" t="n">
        <v>0</v>
      </c>
      <c r="J536" s="41" t="n">
        <v>0</v>
      </c>
      <c r="K536" s="41" t="n">
        <v>0</v>
      </c>
      <c r="L536" s="41" t="n">
        <v>0</v>
      </c>
    </row>
    <row r="537" customFormat="false" ht="15.75" hidden="false" customHeight="false" outlineLevel="0" collapsed="false">
      <c r="B537" s="39" t="s">
        <v>688</v>
      </c>
      <c r="C537" s="40" t="str">
        <f aca="false">IF(B537="","",IFERROR(INDEX('CLM &amp; IM Mapping'!$B$2:$B$270,MATCH(TRIM(B537),'CLM &amp; IM Mapping'!$A$2:$A$270,0)),"Not Mapped"))</f>
        <v>Not Mapped</v>
      </c>
      <c r="D537" s="40" t="str">
        <f aca="false">IF(B537="","",IFERROR(INDEX('CLM &amp; IM Mapping'!$C$2:$C$270,MATCH(TRIM(B537),'CLM &amp; IM Mapping'!$A$2:$A$270,0)),"Not Mapped"))</f>
        <v>Not Mapped</v>
      </c>
      <c r="E537" s="41" t="n">
        <v>0</v>
      </c>
      <c r="F537" s="41" t="n">
        <v>0</v>
      </c>
      <c r="G537" s="41" t="n">
        <v>0</v>
      </c>
      <c r="H537" s="41" t="n">
        <v>0</v>
      </c>
      <c r="I537" s="41" t="n">
        <v>0</v>
      </c>
      <c r="J537" s="41" t="n">
        <v>0</v>
      </c>
      <c r="K537" s="41" t="n">
        <v>0</v>
      </c>
      <c r="L537" s="41" t="n">
        <v>0</v>
      </c>
    </row>
    <row r="538" customFormat="false" ht="15.75" hidden="false" customHeight="false" outlineLevel="0" collapsed="false">
      <c r="B538" s="39" t="s">
        <v>689</v>
      </c>
      <c r="C538" s="40" t="str">
        <f aca="false">IF(B538="","",IFERROR(INDEX('CLM &amp; IM Mapping'!$B$2:$B$270,MATCH(TRIM(B538),'CLM &amp; IM Mapping'!$A$2:$A$270,0)),"Not Mapped"))</f>
        <v>Not Mapped</v>
      </c>
      <c r="D538" s="40" t="str">
        <f aca="false">IF(B538="","",IFERROR(INDEX('CLM &amp; IM Mapping'!$C$2:$C$270,MATCH(TRIM(B538),'CLM &amp; IM Mapping'!$A$2:$A$270,0)),"Not Mapped"))</f>
        <v>Not Mapped</v>
      </c>
      <c r="E538" s="41" t="n">
        <v>4403</v>
      </c>
      <c r="F538" s="41" t="n">
        <v>2328</v>
      </c>
      <c r="G538" s="41" t="n">
        <v>1787</v>
      </c>
      <c r="H538" s="41" t="n">
        <v>288</v>
      </c>
      <c r="I538" s="41" t="n">
        <v>0</v>
      </c>
      <c r="J538" s="41" t="n">
        <v>0</v>
      </c>
      <c r="K538" s="41" t="n">
        <v>0</v>
      </c>
      <c r="L538" s="41" t="n">
        <v>288</v>
      </c>
    </row>
    <row r="539" customFormat="false" ht="15.75" hidden="false" customHeight="false" outlineLevel="0" collapsed="false">
      <c r="B539" s="39" t="s">
        <v>690</v>
      </c>
      <c r="C539" s="40" t="str">
        <f aca="false">IF(B539="","",IFERROR(INDEX('CLM &amp; IM Mapping'!$B$2:$B$270,MATCH(TRIM(B539),'CLM &amp; IM Mapping'!$A$2:$A$270,0)),"Not Mapped"))</f>
        <v>Not Mapped</v>
      </c>
      <c r="D539" s="40" t="str">
        <f aca="false">IF(B539="","",IFERROR(INDEX('CLM &amp; IM Mapping'!$C$2:$C$270,MATCH(TRIM(B539),'CLM &amp; IM Mapping'!$A$2:$A$270,0)),"Not Mapped"))</f>
        <v>Not Mapped</v>
      </c>
      <c r="E539" s="41" t="n">
        <v>4392</v>
      </c>
      <c r="F539" s="41" t="n">
        <v>1337</v>
      </c>
      <c r="G539" s="41" t="n">
        <v>0</v>
      </c>
      <c r="H539" s="41" t="n">
        <v>0</v>
      </c>
      <c r="I539" s="41" t="n">
        <v>2908</v>
      </c>
      <c r="J539" s="41" t="n">
        <v>0</v>
      </c>
      <c r="K539" s="41" t="n">
        <v>147</v>
      </c>
      <c r="L539" s="41" t="n">
        <v>3055</v>
      </c>
    </row>
    <row r="540" customFormat="false" ht="15.75" hidden="false" customHeight="false" outlineLevel="0" collapsed="false">
      <c r="B540" s="39" t="s">
        <v>691</v>
      </c>
      <c r="C540" s="40" t="str">
        <f aca="false">IF(B540="","",IFERROR(INDEX('CLM &amp; IM Mapping'!$B$2:$B$270,MATCH(TRIM(B540),'CLM &amp; IM Mapping'!$A$2:$A$270,0)),"Not Mapped"))</f>
        <v>Not Mapped</v>
      </c>
      <c r="D540" s="40" t="str">
        <f aca="false">IF(B540="","",IFERROR(INDEX('CLM &amp; IM Mapping'!$C$2:$C$270,MATCH(TRIM(B540),'CLM &amp; IM Mapping'!$A$2:$A$270,0)),"Not Mapped"))</f>
        <v>Not Mapped</v>
      </c>
      <c r="E540" s="41" t="n">
        <v>7729</v>
      </c>
      <c r="F540" s="41" t="n">
        <v>5904</v>
      </c>
      <c r="G540" s="41" t="n">
        <v>0</v>
      </c>
      <c r="H540" s="41" t="n">
        <v>1825</v>
      </c>
      <c r="I540" s="41" t="n">
        <v>0</v>
      </c>
      <c r="J540" s="41" t="n">
        <v>0</v>
      </c>
      <c r="K540" s="41" t="n">
        <v>0</v>
      </c>
      <c r="L540" s="41" t="n">
        <v>1825</v>
      </c>
    </row>
    <row r="541" customFormat="false" ht="15.75" hidden="false" customHeight="false" outlineLevel="0" collapsed="false">
      <c r="B541" s="39" t="s">
        <v>692</v>
      </c>
      <c r="C541" s="40" t="str">
        <f aca="false">IF(B541="","",IFERROR(INDEX('CLM &amp; IM Mapping'!$B$2:$B$270,MATCH(TRIM(B541),'CLM &amp; IM Mapping'!$A$2:$A$270,0)),"Not Mapped"))</f>
        <v>Not Mapped</v>
      </c>
      <c r="D541" s="40" t="str">
        <f aca="false">IF(B541="","",IFERROR(INDEX('CLM &amp; IM Mapping'!$C$2:$C$270,MATCH(TRIM(B541),'CLM &amp; IM Mapping'!$A$2:$A$270,0)),"Not Mapped"))</f>
        <v>Not Mapped</v>
      </c>
      <c r="E541" s="41" t="n">
        <v>2861</v>
      </c>
      <c r="F541" s="41" t="n">
        <v>0</v>
      </c>
      <c r="G541" s="41" t="n">
        <v>2861</v>
      </c>
      <c r="H541" s="41" t="n">
        <v>0</v>
      </c>
      <c r="I541" s="41" t="n">
        <v>0</v>
      </c>
      <c r="J541" s="41" t="n">
        <v>0</v>
      </c>
      <c r="K541" s="41" t="n">
        <v>0</v>
      </c>
      <c r="L541" s="41" t="n">
        <v>0</v>
      </c>
    </row>
    <row r="542" customFormat="false" ht="15.75" hidden="false" customHeight="false" outlineLevel="0" collapsed="false">
      <c r="B542" s="39" t="s">
        <v>693</v>
      </c>
      <c r="C542" s="40" t="str">
        <f aca="false">IF(B542="","",IFERROR(INDEX('CLM &amp; IM Mapping'!$B$2:$B$270,MATCH(TRIM(B542),'CLM &amp; IM Mapping'!$A$2:$A$270,0)),"Not Mapped"))</f>
        <v>Not Mapped</v>
      </c>
      <c r="D542" s="40" t="str">
        <f aca="false">IF(B542="","",IFERROR(INDEX('CLM &amp; IM Mapping'!$C$2:$C$270,MATCH(TRIM(B542),'CLM &amp; IM Mapping'!$A$2:$A$270,0)),"Not Mapped"))</f>
        <v>Not Mapped</v>
      </c>
      <c r="E542" s="41" t="n">
        <v>0</v>
      </c>
      <c r="F542" s="41" t="n">
        <v>0</v>
      </c>
      <c r="G542" s="41" t="n">
        <v>0</v>
      </c>
      <c r="H542" s="41" t="n">
        <v>0</v>
      </c>
      <c r="I542" s="41" t="n">
        <v>0</v>
      </c>
      <c r="J542" s="41" t="n">
        <v>0</v>
      </c>
      <c r="K542" s="41" t="n">
        <v>0</v>
      </c>
      <c r="L542" s="41" t="n">
        <v>0</v>
      </c>
    </row>
    <row r="543" customFormat="false" ht="15.75" hidden="false" customHeight="false" outlineLevel="0" collapsed="false">
      <c r="B543" s="39" t="s">
        <v>694</v>
      </c>
      <c r="C543" s="40" t="str">
        <f aca="false">IF(B543="","",IFERROR(INDEX('CLM &amp; IM Mapping'!$B$2:$B$270,MATCH(TRIM(B543),'CLM &amp; IM Mapping'!$A$2:$A$270,0)),"Not Mapped"))</f>
        <v>Not Mapped</v>
      </c>
      <c r="D543" s="40" t="str">
        <f aca="false">IF(B543="","",IFERROR(INDEX('CLM &amp; IM Mapping'!$C$2:$C$270,MATCH(TRIM(B543),'CLM &amp; IM Mapping'!$A$2:$A$270,0)),"Not Mapped"))</f>
        <v>Not Mapped</v>
      </c>
      <c r="E543" s="41" t="n">
        <v>2471</v>
      </c>
      <c r="F543" s="41" t="n">
        <v>1</v>
      </c>
      <c r="G543" s="41" t="n">
        <v>2470</v>
      </c>
      <c r="H543" s="41" t="n">
        <v>0</v>
      </c>
      <c r="I543" s="41" t="n">
        <v>0</v>
      </c>
      <c r="J543" s="41" t="n">
        <v>0</v>
      </c>
      <c r="K543" s="41" t="n">
        <v>0</v>
      </c>
      <c r="L543" s="41" t="n">
        <v>0</v>
      </c>
    </row>
    <row r="544" customFormat="false" ht="15.75" hidden="false" customHeight="false" outlineLevel="0" collapsed="false">
      <c r="B544" s="39" t="s">
        <v>695</v>
      </c>
      <c r="C544" s="40" t="str">
        <f aca="false">IF(B544="","",IFERROR(INDEX('CLM &amp; IM Mapping'!$B$2:$B$270,MATCH(TRIM(B544),'CLM &amp; IM Mapping'!$A$2:$A$270,0)),"Not Mapped"))</f>
        <v>Not Mapped</v>
      </c>
      <c r="D544" s="40" t="str">
        <f aca="false">IF(B544="","",IFERROR(INDEX('CLM &amp; IM Mapping'!$C$2:$C$270,MATCH(TRIM(B544),'CLM &amp; IM Mapping'!$A$2:$A$270,0)),"Not Mapped"))</f>
        <v>Not Mapped</v>
      </c>
      <c r="E544" s="41" t="n">
        <v>0</v>
      </c>
      <c r="F544" s="41" t="n">
        <v>0</v>
      </c>
      <c r="G544" s="41" t="n">
        <v>0</v>
      </c>
      <c r="H544" s="41" t="n">
        <v>0</v>
      </c>
      <c r="I544" s="41" t="n">
        <v>0</v>
      </c>
      <c r="J544" s="41" t="n">
        <v>0</v>
      </c>
      <c r="K544" s="41" t="n">
        <v>0</v>
      </c>
      <c r="L544" s="41" t="n">
        <v>0</v>
      </c>
    </row>
    <row r="545" customFormat="false" ht="15.75" hidden="false" customHeight="false" outlineLevel="0" collapsed="false">
      <c r="B545" s="39" t="s">
        <v>696</v>
      </c>
      <c r="C545" s="40" t="str">
        <f aca="false">IF(B545="","",IFERROR(INDEX('CLM &amp; IM Mapping'!$B$2:$B$270,MATCH(TRIM(B545),'CLM &amp; IM Mapping'!$A$2:$A$270,0)),"Not Mapped"))</f>
        <v>Not Mapped</v>
      </c>
      <c r="D545" s="40" t="str">
        <f aca="false">IF(B545="","",IFERROR(INDEX('CLM &amp; IM Mapping'!$C$2:$C$270,MATCH(TRIM(B545),'CLM &amp; IM Mapping'!$A$2:$A$270,0)),"Not Mapped"))</f>
        <v>Not Mapped</v>
      </c>
      <c r="E545" s="41" t="n">
        <v>1</v>
      </c>
      <c r="F545" s="41" t="n">
        <v>1</v>
      </c>
      <c r="G545" s="41" t="n">
        <v>0</v>
      </c>
      <c r="H545" s="41" t="n">
        <v>0</v>
      </c>
      <c r="I545" s="41" t="n">
        <v>0</v>
      </c>
      <c r="J545" s="41" t="n">
        <v>0</v>
      </c>
      <c r="K545" s="41" t="n">
        <v>0</v>
      </c>
      <c r="L545" s="41" t="n">
        <v>0</v>
      </c>
    </row>
    <row r="546" customFormat="false" ht="15.75" hidden="false" customHeight="false" outlineLevel="0" collapsed="false">
      <c r="B546" s="39" t="s">
        <v>697</v>
      </c>
      <c r="C546" s="40" t="str">
        <f aca="false">IF(B546="","",IFERROR(INDEX('CLM &amp; IM Mapping'!$B$2:$B$270,MATCH(TRIM(B546),'CLM &amp; IM Mapping'!$A$2:$A$270,0)),"Not Mapped"))</f>
        <v>Not Mapped</v>
      </c>
      <c r="D546" s="40" t="str">
        <f aca="false">IF(B546="","",IFERROR(INDEX('CLM &amp; IM Mapping'!$C$2:$C$270,MATCH(TRIM(B546),'CLM &amp; IM Mapping'!$A$2:$A$270,0)),"Not Mapped"))</f>
        <v>Not Mapped</v>
      </c>
      <c r="E546" s="41" t="n">
        <v>575</v>
      </c>
      <c r="F546" s="41" t="n">
        <v>276</v>
      </c>
      <c r="G546" s="41" t="n">
        <v>299</v>
      </c>
      <c r="H546" s="41" t="n">
        <v>0</v>
      </c>
      <c r="I546" s="41" t="n">
        <v>0</v>
      </c>
      <c r="J546" s="41" t="n">
        <v>0</v>
      </c>
      <c r="K546" s="41" t="n">
        <v>0</v>
      </c>
      <c r="L546" s="41" t="n">
        <v>0</v>
      </c>
    </row>
    <row r="547" customFormat="false" ht="15.75" hidden="false" customHeight="false" outlineLevel="0" collapsed="false">
      <c r="B547" s="39" t="s">
        <v>698</v>
      </c>
      <c r="C547" s="40" t="str">
        <f aca="false">IF(B547="","",IFERROR(INDEX('CLM &amp; IM Mapping'!$B$2:$B$270,MATCH(TRIM(B547),'CLM &amp; IM Mapping'!$A$2:$A$270,0)),"Not Mapped"))</f>
        <v>Not Mapped</v>
      </c>
      <c r="D547" s="40" t="str">
        <f aca="false">IF(B547="","",IFERROR(INDEX('CLM &amp; IM Mapping'!$C$2:$C$270,MATCH(TRIM(B547),'CLM &amp; IM Mapping'!$A$2:$A$270,0)),"Not Mapped"))</f>
        <v>Not Mapped</v>
      </c>
      <c r="E547" s="41" t="n">
        <v>0</v>
      </c>
      <c r="F547" s="41" t="n">
        <v>0</v>
      </c>
      <c r="G547" s="41" t="n">
        <v>0</v>
      </c>
      <c r="H547" s="41" t="n">
        <v>0</v>
      </c>
      <c r="I547" s="41" t="n">
        <v>0</v>
      </c>
      <c r="J547" s="41" t="n">
        <v>0</v>
      </c>
      <c r="K547" s="41" t="n">
        <v>0</v>
      </c>
      <c r="L547" s="41" t="n">
        <v>0</v>
      </c>
    </row>
    <row r="548" customFormat="false" ht="15.75" hidden="false" customHeight="false" outlineLevel="0" collapsed="false">
      <c r="B548" s="39" t="s">
        <v>699</v>
      </c>
      <c r="C548" s="40" t="str">
        <f aca="false">IF(B548="","",IFERROR(INDEX('CLM &amp; IM Mapping'!$B$2:$B$270,MATCH(TRIM(B548),'CLM &amp; IM Mapping'!$A$2:$A$270,0)),"Not Mapped"))</f>
        <v>Not Mapped</v>
      </c>
      <c r="D548" s="40" t="str">
        <f aca="false">IF(B548="","",IFERROR(INDEX('CLM &amp; IM Mapping'!$C$2:$C$270,MATCH(TRIM(B548),'CLM &amp; IM Mapping'!$A$2:$A$270,0)),"Not Mapped"))</f>
        <v>Not Mapped</v>
      </c>
      <c r="E548" s="41" t="n">
        <v>0</v>
      </c>
      <c r="F548" s="41" t="n">
        <v>0</v>
      </c>
      <c r="G548" s="41" t="n">
        <v>0</v>
      </c>
      <c r="H548" s="41" t="n">
        <v>0</v>
      </c>
      <c r="I548" s="41" t="n">
        <v>0</v>
      </c>
      <c r="J548" s="41" t="n">
        <v>0</v>
      </c>
      <c r="K548" s="41" t="n">
        <v>0</v>
      </c>
      <c r="L548" s="41" t="n">
        <v>0</v>
      </c>
    </row>
    <row r="549" customFormat="false" ht="15.75" hidden="false" customHeight="false" outlineLevel="0" collapsed="false">
      <c r="B549" s="23" t="s">
        <v>700</v>
      </c>
      <c r="C549" s="44" t="str">
        <f aca="false">IF(B549="","",IFERROR(INDEX('CLM &amp; IM Mapping'!$B$2:$B$270,MATCH(TRIM(B549),'CLM &amp; IM Mapping'!$A$2:$A$270,0)),"Not Mapped"))</f>
        <v>Not Mapped</v>
      </c>
      <c r="D549" s="44" t="str">
        <f aca="false">IF(B549="","",IFERROR(INDEX('CLM &amp; IM Mapping'!$C$2:$C$270,MATCH(TRIM(B549),'CLM &amp; IM Mapping'!$A$2:$A$270,0)),"Not Mapped"))</f>
        <v>Not Mapped</v>
      </c>
      <c r="E549" s="41" t="n">
        <v>28</v>
      </c>
      <c r="F549" s="41" t="n">
        <v>0</v>
      </c>
      <c r="G549" s="41" t="n">
        <v>28</v>
      </c>
      <c r="H549" s="41" t="n">
        <v>0</v>
      </c>
      <c r="I549" s="41" t="n">
        <v>0</v>
      </c>
      <c r="J549" s="41" t="n">
        <v>0</v>
      </c>
      <c r="K549" s="41" t="n">
        <v>0</v>
      </c>
      <c r="L549" s="41" t="n">
        <v>0</v>
      </c>
    </row>
    <row r="550" customFormat="false" ht="15.75" hidden="false" customHeight="false" outlineLevel="0" collapsed="false">
      <c r="B550" s="39" t="s">
        <v>701</v>
      </c>
      <c r="C550" s="40" t="str">
        <f aca="false">IF(B550="","",IFERROR(INDEX('CLM &amp; IM Mapping'!$B$2:$B$270,MATCH(TRIM(B550),'CLM &amp; IM Mapping'!$A$2:$A$270,0)),"Not Mapped"))</f>
        <v>Not Mapped</v>
      </c>
      <c r="D550" s="40" t="str">
        <f aca="false">IF(B550="","",IFERROR(INDEX('CLM &amp; IM Mapping'!$C$2:$C$270,MATCH(TRIM(B550),'CLM &amp; IM Mapping'!$A$2:$A$270,0)),"Not Mapped"))</f>
        <v>Not Mapped</v>
      </c>
      <c r="E550" s="41" t="n">
        <v>2223</v>
      </c>
      <c r="F550" s="41" t="n">
        <v>0</v>
      </c>
      <c r="G550" s="41" t="n">
        <v>2223</v>
      </c>
      <c r="H550" s="41" t="n">
        <v>0</v>
      </c>
      <c r="I550" s="41" t="n">
        <v>0</v>
      </c>
      <c r="J550" s="41" t="n">
        <v>0</v>
      </c>
      <c r="K550" s="41" t="n">
        <v>0</v>
      </c>
      <c r="L550" s="41" t="n">
        <v>0</v>
      </c>
    </row>
    <row r="551" customFormat="false" ht="15.75" hidden="false" customHeight="false" outlineLevel="0" collapsed="false">
      <c r="B551" s="39" t="s">
        <v>702</v>
      </c>
      <c r="C551" s="40" t="str">
        <f aca="false">IF(B551="","",IFERROR(INDEX('CLM &amp; IM Mapping'!$B$2:$B$270,MATCH(TRIM(B551),'CLM &amp; IM Mapping'!$A$2:$A$270,0)),"Not Mapped"))</f>
        <v>Not Mapped</v>
      </c>
      <c r="D551" s="40" t="str">
        <f aca="false">IF(B551="","",IFERROR(INDEX('CLM &amp; IM Mapping'!$C$2:$C$270,MATCH(TRIM(B551),'CLM &amp; IM Mapping'!$A$2:$A$270,0)),"Not Mapped"))</f>
        <v>Not Mapped</v>
      </c>
      <c r="E551" s="41" t="n">
        <v>3798</v>
      </c>
      <c r="F551" s="41" t="n">
        <v>3756</v>
      </c>
      <c r="G551" s="41" t="n">
        <v>0</v>
      </c>
      <c r="H551" s="41" t="n">
        <v>0</v>
      </c>
      <c r="I551" s="41" t="n">
        <v>42</v>
      </c>
      <c r="J551" s="41" t="n">
        <v>0</v>
      </c>
      <c r="K551" s="41" t="n">
        <v>0</v>
      </c>
      <c r="L551" s="41" t="n">
        <v>42</v>
      </c>
    </row>
    <row r="552" customFormat="false" ht="15.75" hidden="false" customHeight="false" outlineLevel="0" collapsed="false">
      <c r="B552" s="39" t="s">
        <v>703</v>
      </c>
      <c r="C552" s="40" t="str">
        <f aca="false">IF(B552="","",IFERROR(INDEX('CLM &amp; IM Mapping'!$B$2:$B$270,MATCH(TRIM(B552),'CLM &amp; IM Mapping'!$A$2:$A$270,0)),"Not Mapped"))</f>
        <v>Not Mapped</v>
      </c>
      <c r="D552" s="40" t="str">
        <f aca="false">IF(B552="","",IFERROR(INDEX('CLM &amp; IM Mapping'!$C$2:$C$270,MATCH(TRIM(B552),'CLM &amp; IM Mapping'!$A$2:$A$270,0)),"Not Mapped"))</f>
        <v>Not Mapped</v>
      </c>
      <c r="E552" s="41" t="n">
        <v>4978</v>
      </c>
      <c r="F552" s="41" t="n">
        <v>4978</v>
      </c>
      <c r="G552" s="41" t="n">
        <v>0</v>
      </c>
      <c r="H552" s="41" t="n">
        <v>0</v>
      </c>
      <c r="I552" s="41" t="n">
        <v>0</v>
      </c>
      <c r="J552" s="41" t="n">
        <v>0</v>
      </c>
      <c r="K552" s="41" t="n">
        <v>0</v>
      </c>
      <c r="L552" s="41" t="n">
        <v>0</v>
      </c>
    </row>
    <row r="553" customFormat="false" ht="15.75" hidden="false" customHeight="false" outlineLevel="0" collapsed="false">
      <c r="B553" s="39" t="s">
        <v>704</v>
      </c>
      <c r="C553" s="40" t="str">
        <f aca="false">IF(B553="","",IFERROR(INDEX('CLM &amp; IM Mapping'!$B$2:$B$270,MATCH(TRIM(B553),'CLM &amp; IM Mapping'!$A$2:$A$270,0)),"Not Mapped"))</f>
        <v>Not Mapped</v>
      </c>
      <c r="D553" s="40" t="str">
        <f aca="false">IF(B553="","",IFERROR(INDEX('CLM &amp; IM Mapping'!$C$2:$C$270,MATCH(TRIM(B553),'CLM &amp; IM Mapping'!$A$2:$A$270,0)),"Not Mapped"))</f>
        <v>Not Mapped</v>
      </c>
      <c r="E553" s="41" t="n">
        <v>2341</v>
      </c>
      <c r="F553" s="41" t="n">
        <v>2301</v>
      </c>
      <c r="G553" s="41" t="n">
        <v>0</v>
      </c>
      <c r="H553" s="41" t="n">
        <v>0</v>
      </c>
      <c r="I553" s="41" t="n">
        <v>40</v>
      </c>
      <c r="J553" s="41" t="n">
        <v>0</v>
      </c>
      <c r="K553" s="41" t="n">
        <v>0</v>
      </c>
      <c r="L553" s="41" t="n">
        <v>40</v>
      </c>
    </row>
    <row r="554" customFormat="false" ht="15.75" hidden="false" customHeight="false" outlineLevel="0" collapsed="false">
      <c r="B554" s="39" t="s">
        <v>705</v>
      </c>
      <c r="C554" s="40" t="str">
        <f aca="false">IF(B554="","",IFERROR(INDEX('CLM &amp; IM Mapping'!$B$2:$B$270,MATCH(TRIM(B554),'CLM &amp; IM Mapping'!$A$2:$A$270,0)),"Not Mapped"))</f>
        <v>Not Mapped</v>
      </c>
      <c r="D554" s="40" t="str">
        <f aca="false">IF(B554="","",IFERROR(INDEX('CLM &amp; IM Mapping'!$C$2:$C$270,MATCH(TRIM(B554),'CLM &amp; IM Mapping'!$A$2:$A$270,0)),"Not Mapped"))</f>
        <v>Not Mapped</v>
      </c>
      <c r="E554" s="41" t="n">
        <v>1319</v>
      </c>
      <c r="F554" s="41" t="n">
        <v>472</v>
      </c>
      <c r="G554" s="41" t="n">
        <v>847</v>
      </c>
      <c r="H554" s="41" t="n">
        <v>0</v>
      </c>
      <c r="I554" s="41" t="n">
        <v>0</v>
      </c>
      <c r="J554" s="41" t="n">
        <v>0</v>
      </c>
      <c r="K554" s="41" t="n">
        <v>0</v>
      </c>
      <c r="L554" s="41" t="n">
        <v>0</v>
      </c>
    </row>
    <row r="555" customFormat="false" ht="15.75" hidden="false" customHeight="false" outlineLevel="0" collapsed="false">
      <c r="B555" s="39" t="s">
        <v>706</v>
      </c>
      <c r="C555" s="40" t="str">
        <f aca="false">IF(B555="","",IFERROR(INDEX('CLM &amp; IM Mapping'!$B$2:$B$270,MATCH(TRIM(B555),'CLM &amp; IM Mapping'!$A$2:$A$270,0)),"Not Mapped"))</f>
        <v>Not Mapped</v>
      </c>
      <c r="D555" s="40" t="str">
        <f aca="false">IF(B555="","",IFERROR(INDEX('CLM &amp; IM Mapping'!$C$2:$C$270,MATCH(TRIM(B555),'CLM &amp; IM Mapping'!$A$2:$A$270,0)),"Not Mapped"))</f>
        <v>Not Mapped</v>
      </c>
      <c r="E555" s="41" t="n">
        <v>2046</v>
      </c>
      <c r="F555" s="41" t="n">
        <v>1523</v>
      </c>
      <c r="G555" s="41" t="n">
        <v>64</v>
      </c>
      <c r="H555" s="41" t="n">
        <v>0</v>
      </c>
      <c r="I555" s="41" t="n">
        <v>0</v>
      </c>
      <c r="J555" s="41" t="n">
        <v>0</v>
      </c>
      <c r="K555" s="41" t="n">
        <v>459</v>
      </c>
      <c r="L555" s="41" t="n">
        <v>459</v>
      </c>
    </row>
    <row r="556" customFormat="false" ht="15.75" hidden="false" customHeight="false" outlineLevel="0" collapsed="false">
      <c r="B556" s="39" t="s">
        <v>707</v>
      </c>
      <c r="C556" s="40" t="str">
        <f aca="false">IF(B556="","",IFERROR(INDEX('CLM &amp; IM Mapping'!$B$2:$B$270,MATCH(TRIM(B556),'CLM &amp; IM Mapping'!$A$2:$A$270,0)),"Not Mapped"))</f>
        <v>Not Mapped</v>
      </c>
      <c r="D556" s="40" t="str">
        <f aca="false">IF(B556="","",IFERROR(INDEX('CLM &amp; IM Mapping'!$C$2:$C$270,MATCH(TRIM(B556),'CLM &amp; IM Mapping'!$A$2:$A$270,0)),"Not Mapped"))</f>
        <v>Not Mapped</v>
      </c>
      <c r="E556" s="41" t="n">
        <v>1428</v>
      </c>
      <c r="F556" s="41" t="n">
        <v>5</v>
      </c>
      <c r="G556" s="41" t="n">
        <v>1381</v>
      </c>
      <c r="H556" s="41" t="n">
        <v>0</v>
      </c>
      <c r="I556" s="41" t="n">
        <v>15</v>
      </c>
      <c r="J556" s="41" t="n">
        <v>0</v>
      </c>
      <c r="K556" s="41" t="n">
        <v>27</v>
      </c>
      <c r="L556" s="41" t="n">
        <v>42</v>
      </c>
    </row>
    <row r="557" customFormat="false" ht="15.75" hidden="false" customHeight="false" outlineLevel="0" collapsed="false">
      <c r="B557" s="39" t="s">
        <v>708</v>
      </c>
      <c r="C557" s="40" t="str">
        <f aca="false">IF(B557="","",IFERROR(INDEX('CLM &amp; IM Mapping'!$B$2:$B$270,MATCH(TRIM(B557),'CLM &amp; IM Mapping'!$A$2:$A$270,0)),"Not Mapped"))</f>
        <v>Not Mapped</v>
      </c>
      <c r="D557" s="40" t="str">
        <f aca="false">IF(B557="","",IFERROR(INDEX('CLM &amp; IM Mapping'!$C$2:$C$270,MATCH(TRIM(B557),'CLM &amp; IM Mapping'!$A$2:$A$270,0)),"Not Mapped"))</f>
        <v>Not Mapped</v>
      </c>
      <c r="E557" s="41" t="n">
        <v>0</v>
      </c>
      <c r="F557" s="41" t="n">
        <v>0</v>
      </c>
      <c r="G557" s="41" t="n">
        <v>0</v>
      </c>
      <c r="H557" s="41" t="n">
        <v>0</v>
      </c>
      <c r="I557" s="41" t="n">
        <v>0</v>
      </c>
      <c r="J557" s="41" t="n">
        <v>0</v>
      </c>
      <c r="K557" s="41" t="n">
        <v>0</v>
      </c>
      <c r="L557" s="41" t="n">
        <v>0</v>
      </c>
    </row>
    <row r="558" customFormat="false" ht="15.75" hidden="false" customHeight="false" outlineLevel="0" collapsed="false">
      <c r="B558" s="39" t="s">
        <v>709</v>
      </c>
      <c r="C558" s="40" t="str">
        <f aca="false">IF(B558="","",IFERROR(INDEX('CLM &amp; IM Mapping'!$B$2:$B$270,MATCH(TRIM(B558),'CLM &amp; IM Mapping'!$A$2:$A$270,0)),"Not Mapped"))</f>
        <v>Not Mapped</v>
      </c>
      <c r="D558" s="40" t="str">
        <f aca="false">IF(B558="","",IFERROR(INDEX('CLM &amp; IM Mapping'!$C$2:$C$270,MATCH(TRIM(B558),'CLM &amp; IM Mapping'!$A$2:$A$270,0)),"Not Mapped"))</f>
        <v>Not Mapped</v>
      </c>
      <c r="E558" s="41" t="n">
        <v>78</v>
      </c>
      <c r="F558" s="41" t="n">
        <v>0</v>
      </c>
      <c r="G558" s="41" t="n">
        <v>0</v>
      </c>
      <c r="H558" s="41" t="n">
        <v>0</v>
      </c>
      <c r="I558" s="41" t="n">
        <v>0</v>
      </c>
      <c r="J558" s="41" t="n">
        <v>0</v>
      </c>
      <c r="K558" s="41" t="n">
        <v>78</v>
      </c>
      <c r="L558" s="41" t="n">
        <v>78</v>
      </c>
    </row>
    <row r="559" customFormat="false" ht="15.75" hidden="false" customHeight="false" outlineLevel="0" collapsed="false">
      <c r="B559" s="39" t="s">
        <v>710</v>
      </c>
      <c r="C559" s="40" t="str">
        <f aca="false">IF(B559="","",IFERROR(INDEX('CLM &amp; IM Mapping'!$B$2:$B$270,MATCH(TRIM(B559),'CLM &amp; IM Mapping'!$A$2:$A$270,0)),"Not Mapped"))</f>
        <v>Not Mapped</v>
      </c>
      <c r="D559" s="40" t="str">
        <f aca="false">IF(B559="","",IFERROR(INDEX('CLM &amp; IM Mapping'!$C$2:$C$270,MATCH(TRIM(B559),'CLM &amp; IM Mapping'!$A$2:$A$270,0)),"Not Mapped"))</f>
        <v>Not Mapped</v>
      </c>
      <c r="E559" s="41" t="n">
        <v>997</v>
      </c>
      <c r="F559" s="41" t="n">
        <v>0</v>
      </c>
      <c r="G559" s="41" t="n">
        <v>977</v>
      </c>
      <c r="H559" s="41" t="n">
        <v>0</v>
      </c>
      <c r="I559" s="41" t="n">
        <v>0</v>
      </c>
      <c r="J559" s="41" t="n">
        <v>0</v>
      </c>
      <c r="K559" s="41" t="n">
        <v>20</v>
      </c>
      <c r="L559" s="41" t="n">
        <v>20</v>
      </c>
    </row>
    <row r="560" customFormat="false" ht="15.75" hidden="false" customHeight="false" outlineLevel="0" collapsed="false">
      <c r="B560" s="39" t="s">
        <v>711</v>
      </c>
      <c r="C560" s="40" t="str">
        <f aca="false">IF(B560="","",IFERROR(INDEX('CLM &amp; IM Mapping'!$B$2:$B$270,MATCH(TRIM(B560),'CLM &amp; IM Mapping'!$A$2:$A$270,0)),"Not Mapped"))</f>
        <v>Not Mapped</v>
      </c>
      <c r="D560" s="40" t="str">
        <f aca="false">IF(B560="","",IFERROR(INDEX('CLM &amp; IM Mapping'!$C$2:$C$270,MATCH(TRIM(B560),'CLM &amp; IM Mapping'!$A$2:$A$270,0)),"Not Mapped"))</f>
        <v>Not Mapped</v>
      </c>
      <c r="E560" s="41" t="n">
        <v>110</v>
      </c>
      <c r="F560" s="41" t="n">
        <v>0</v>
      </c>
      <c r="G560" s="41" t="n">
        <v>110</v>
      </c>
      <c r="H560" s="41" t="n">
        <v>0</v>
      </c>
      <c r="I560" s="41" t="n">
        <v>0</v>
      </c>
      <c r="J560" s="41" t="n">
        <v>0</v>
      </c>
      <c r="K560" s="41" t="n">
        <v>0</v>
      </c>
      <c r="L560" s="41" t="n">
        <v>0</v>
      </c>
    </row>
    <row r="561" customFormat="false" ht="15.75" hidden="false" customHeight="false" outlineLevel="0" collapsed="false">
      <c r="B561" s="39" t="s">
        <v>712</v>
      </c>
      <c r="C561" s="40" t="str">
        <f aca="false">IF(B561="","",IFERROR(INDEX('CLM &amp; IM Mapping'!$B$2:$B$270,MATCH(TRIM(B561),'CLM &amp; IM Mapping'!$A$2:$A$270,0)),"Not Mapped"))</f>
        <v>Not Mapped</v>
      </c>
      <c r="D561" s="40" t="str">
        <f aca="false">IF(B561="","",IFERROR(INDEX('CLM &amp; IM Mapping'!$C$2:$C$270,MATCH(TRIM(B561),'CLM &amp; IM Mapping'!$A$2:$A$270,0)),"Not Mapped"))</f>
        <v>Not Mapped</v>
      </c>
      <c r="E561" s="41" t="n">
        <v>6498</v>
      </c>
      <c r="F561" s="41" t="n">
        <v>5460</v>
      </c>
      <c r="G561" s="41" t="n">
        <v>0</v>
      </c>
      <c r="H561" s="41" t="n">
        <v>0</v>
      </c>
      <c r="I561" s="41" t="n">
        <v>792</v>
      </c>
      <c r="J561" s="41" t="n">
        <v>0</v>
      </c>
      <c r="K561" s="41" t="n">
        <v>246</v>
      </c>
      <c r="L561" s="41" t="n">
        <v>1038</v>
      </c>
    </row>
    <row r="562" customFormat="false" ht="15.75" hidden="false" customHeight="false" outlineLevel="0" collapsed="false">
      <c r="B562" s="39" t="s">
        <v>713</v>
      </c>
      <c r="C562" s="40" t="str">
        <f aca="false">IF(B562="","",IFERROR(INDEX('CLM &amp; IM Mapping'!$B$2:$B$270,MATCH(TRIM(B562),'CLM &amp; IM Mapping'!$A$2:$A$270,0)),"Not Mapped"))</f>
        <v>Not Mapped</v>
      </c>
      <c r="D562" s="40" t="str">
        <f aca="false">IF(B562="","",IFERROR(INDEX('CLM &amp; IM Mapping'!$C$2:$C$270,MATCH(TRIM(B562),'CLM &amp; IM Mapping'!$A$2:$A$270,0)),"Not Mapped"))</f>
        <v>Not Mapped</v>
      </c>
      <c r="E562" s="41" t="n">
        <v>3761</v>
      </c>
      <c r="F562" s="41" t="n">
        <v>2888</v>
      </c>
      <c r="G562" s="41" t="n">
        <v>0</v>
      </c>
      <c r="H562" s="41" t="n">
        <v>0</v>
      </c>
      <c r="I562" s="41" t="n">
        <v>871</v>
      </c>
      <c r="J562" s="41" t="n">
        <v>0</v>
      </c>
      <c r="K562" s="41" t="n">
        <v>2</v>
      </c>
      <c r="L562" s="41" t="n">
        <v>873</v>
      </c>
    </row>
    <row r="563" customFormat="false" ht="15.75" hidden="false" customHeight="false" outlineLevel="0" collapsed="false">
      <c r="B563" s="39" t="s">
        <v>714</v>
      </c>
      <c r="C563" s="40" t="str">
        <f aca="false">IF(B563="","",IFERROR(INDEX('CLM &amp; IM Mapping'!$B$2:$B$270,MATCH(TRIM(B563),'CLM &amp; IM Mapping'!$A$2:$A$270,0)),"Not Mapped"))</f>
        <v>Not Mapped</v>
      </c>
      <c r="D563" s="40" t="str">
        <f aca="false">IF(B563="","",IFERROR(INDEX('CLM &amp; IM Mapping'!$C$2:$C$270,MATCH(TRIM(B563),'CLM &amp; IM Mapping'!$A$2:$A$270,0)),"Not Mapped"))</f>
        <v>Not Mapped</v>
      </c>
      <c r="E563" s="41" t="n">
        <v>7240</v>
      </c>
      <c r="F563" s="41" t="n">
        <v>1002</v>
      </c>
      <c r="G563" s="41" t="n">
        <v>0</v>
      </c>
      <c r="H563" s="41" t="n">
        <v>3542</v>
      </c>
      <c r="I563" s="41" t="n">
        <v>0</v>
      </c>
      <c r="J563" s="41" t="n">
        <v>2482</v>
      </c>
      <c r="K563" s="41" t="n">
        <v>214</v>
      </c>
      <c r="L563" s="41" t="n">
        <v>6238</v>
      </c>
    </row>
    <row r="564" customFormat="false" ht="15.75" hidden="false" customHeight="false" outlineLevel="0" collapsed="false">
      <c r="B564" s="39" t="s">
        <v>715</v>
      </c>
      <c r="C564" s="40" t="str">
        <f aca="false">IF(B564="","",IFERROR(INDEX('CLM &amp; IM Mapping'!$B$2:$B$270,MATCH(TRIM(B564),'CLM &amp; IM Mapping'!$A$2:$A$270,0)),"Not Mapped"))</f>
        <v>Not Mapped</v>
      </c>
      <c r="D564" s="40" t="str">
        <f aca="false">IF(B564="","",IFERROR(INDEX('CLM &amp; IM Mapping'!$C$2:$C$270,MATCH(TRIM(B564),'CLM &amp; IM Mapping'!$A$2:$A$270,0)),"Not Mapped"))</f>
        <v>Not Mapped</v>
      </c>
      <c r="E564" s="41" t="n">
        <v>0</v>
      </c>
      <c r="F564" s="41" t="n">
        <v>0</v>
      </c>
      <c r="G564" s="41" t="n">
        <v>0</v>
      </c>
      <c r="H564" s="41" t="n">
        <v>0</v>
      </c>
      <c r="I564" s="41" t="n">
        <v>0</v>
      </c>
      <c r="J564" s="41" t="n">
        <v>0</v>
      </c>
      <c r="K564" s="41" t="n">
        <v>0</v>
      </c>
      <c r="L564" s="41" t="n">
        <v>0</v>
      </c>
    </row>
    <row r="565" customFormat="false" ht="15.75" hidden="false" customHeight="false" outlineLevel="0" collapsed="false">
      <c r="B565" s="39" t="s">
        <v>716</v>
      </c>
      <c r="C565" s="40" t="str">
        <f aca="false">IF(B565="","",IFERROR(INDEX('CLM &amp; IM Mapping'!$B$2:$B$270,MATCH(TRIM(B565),'CLM &amp; IM Mapping'!$A$2:$A$270,0)),"Not Mapped"))</f>
        <v>Not Mapped</v>
      </c>
      <c r="D565" s="40" t="str">
        <f aca="false">IF(B565="","",IFERROR(INDEX('CLM &amp; IM Mapping'!$C$2:$C$270,MATCH(TRIM(B565),'CLM &amp; IM Mapping'!$A$2:$A$270,0)),"Not Mapped"))</f>
        <v>Not Mapped</v>
      </c>
      <c r="E565" s="41" t="n">
        <v>685</v>
      </c>
      <c r="F565" s="41" t="n">
        <v>685</v>
      </c>
      <c r="G565" s="41" t="n">
        <v>0</v>
      </c>
      <c r="H565" s="41" t="n">
        <v>0</v>
      </c>
      <c r="I565" s="41" t="n">
        <v>0</v>
      </c>
      <c r="J565" s="41" t="n">
        <v>0</v>
      </c>
      <c r="K565" s="41" t="n">
        <v>0</v>
      </c>
      <c r="L565" s="41" t="n">
        <v>0</v>
      </c>
    </row>
    <row r="566" customFormat="false" ht="15.75" hidden="false" customHeight="false" outlineLevel="0" collapsed="false">
      <c r="B566" s="39" t="s">
        <v>717</v>
      </c>
      <c r="C566" s="40" t="str">
        <f aca="false">IF(B566="","",IFERROR(INDEX('CLM &amp; IM Mapping'!$B$2:$B$270,MATCH(TRIM(B566),'CLM &amp; IM Mapping'!$A$2:$A$270,0)),"Not Mapped"))</f>
        <v>Not Mapped</v>
      </c>
      <c r="D566" s="40" t="str">
        <f aca="false">IF(B566="","",IFERROR(INDEX('CLM &amp; IM Mapping'!$C$2:$C$270,MATCH(TRIM(B566),'CLM &amp; IM Mapping'!$A$2:$A$270,0)),"Not Mapped"))</f>
        <v>Not Mapped</v>
      </c>
      <c r="E566" s="41" t="n">
        <v>487</v>
      </c>
      <c r="F566" s="41" t="n">
        <v>0</v>
      </c>
      <c r="G566" s="41" t="n">
        <v>487</v>
      </c>
      <c r="H566" s="41" t="n">
        <v>0</v>
      </c>
      <c r="I566" s="41" t="n">
        <v>0</v>
      </c>
      <c r="J566" s="41" t="n">
        <v>0</v>
      </c>
      <c r="K566" s="41" t="n">
        <v>0</v>
      </c>
      <c r="L566" s="41" t="n">
        <v>0</v>
      </c>
    </row>
    <row r="567" customFormat="false" ht="15.75" hidden="false" customHeight="false" outlineLevel="0" collapsed="false">
      <c r="B567" s="39" t="s">
        <v>718</v>
      </c>
      <c r="C567" s="40" t="str">
        <f aca="false">IF(B567="","",IFERROR(INDEX('CLM &amp; IM Mapping'!$B$2:$B$270,MATCH(TRIM(B567),'CLM &amp; IM Mapping'!$A$2:$A$270,0)),"Not Mapped"))</f>
        <v>Not Mapped</v>
      </c>
      <c r="D567" s="40" t="str">
        <f aca="false">IF(B567="","",IFERROR(INDEX('CLM &amp; IM Mapping'!$C$2:$C$270,MATCH(TRIM(B567),'CLM &amp; IM Mapping'!$A$2:$A$270,0)),"Not Mapped"))</f>
        <v>Not Mapped</v>
      </c>
      <c r="E567" s="41" t="n">
        <v>634</v>
      </c>
      <c r="F567" s="41" t="n">
        <v>0</v>
      </c>
      <c r="G567" s="41" t="n">
        <v>0</v>
      </c>
      <c r="H567" s="41" t="n">
        <v>579</v>
      </c>
      <c r="I567" s="41" t="n">
        <v>0</v>
      </c>
      <c r="J567" s="41" t="n">
        <v>55</v>
      </c>
      <c r="K567" s="41" t="n">
        <v>0</v>
      </c>
      <c r="L567" s="41" t="n">
        <v>634</v>
      </c>
    </row>
    <row r="568" customFormat="false" ht="15.75" hidden="false" customHeight="false" outlineLevel="0" collapsed="false">
      <c r="B568" s="39" t="s">
        <v>719</v>
      </c>
      <c r="C568" s="40" t="str">
        <f aca="false">IF(B568="","",IFERROR(INDEX('CLM &amp; IM Mapping'!$B$2:$B$270,MATCH(TRIM(B568),'CLM &amp; IM Mapping'!$A$2:$A$270,0)),"Not Mapped"))</f>
        <v>Not Mapped</v>
      </c>
      <c r="D568" s="40" t="str">
        <f aca="false">IF(B568="","",IFERROR(INDEX('CLM &amp; IM Mapping'!$C$2:$C$270,MATCH(TRIM(B568),'CLM &amp; IM Mapping'!$A$2:$A$270,0)),"Not Mapped"))</f>
        <v>Not Mapped</v>
      </c>
      <c r="E568" s="41" t="n">
        <v>3235</v>
      </c>
      <c r="F568" s="41" t="n">
        <v>3235</v>
      </c>
      <c r="G568" s="41" t="n">
        <v>0</v>
      </c>
      <c r="H568" s="41" t="n">
        <v>0</v>
      </c>
      <c r="I568" s="41" t="n">
        <v>0</v>
      </c>
      <c r="J568" s="41" t="n">
        <v>0</v>
      </c>
      <c r="K568" s="41" t="n">
        <v>0</v>
      </c>
      <c r="L568" s="41" t="n">
        <v>0</v>
      </c>
    </row>
    <row r="569" customFormat="false" ht="15.75" hidden="false" customHeight="false" outlineLevel="0" collapsed="false">
      <c r="B569" s="39" t="s">
        <v>720</v>
      </c>
      <c r="C569" s="40" t="str">
        <f aca="false">IF(B569="","",IFERROR(INDEX('CLM &amp; IM Mapping'!$B$2:$B$270,MATCH(TRIM(B569),'CLM &amp; IM Mapping'!$A$2:$A$270,0)),"Not Mapped"))</f>
        <v>Not Mapped</v>
      </c>
      <c r="D569" s="40" t="str">
        <f aca="false">IF(B569="","",IFERROR(INDEX('CLM &amp; IM Mapping'!$C$2:$C$270,MATCH(TRIM(B569),'CLM &amp; IM Mapping'!$A$2:$A$270,0)),"Not Mapped"))</f>
        <v>Not Mapped</v>
      </c>
      <c r="E569" s="41" t="n">
        <v>5508</v>
      </c>
      <c r="F569" s="41" t="n">
        <v>5402</v>
      </c>
      <c r="G569" s="41" t="n">
        <v>0</v>
      </c>
      <c r="H569" s="41" t="n">
        <v>0</v>
      </c>
      <c r="I569" s="41" t="n">
        <v>106</v>
      </c>
      <c r="J569" s="41" t="n">
        <v>0</v>
      </c>
      <c r="K569" s="41" t="n">
        <v>0</v>
      </c>
      <c r="L569" s="41" t="n">
        <v>106</v>
      </c>
    </row>
    <row r="570" customFormat="false" ht="15.75" hidden="false" customHeight="false" outlineLevel="0" collapsed="false">
      <c r="B570" s="39" t="s">
        <v>721</v>
      </c>
      <c r="C570" s="40" t="str">
        <f aca="false">IF(B570="","",IFERROR(INDEX('CLM &amp; IM Mapping'!$B$2:$B$270,MATCH(TRIM(B570),'CLM &amp; IM Mapping'!$A$2:$A$270,0)),"Not Mapped"))</f>
        <v>Not Mapped</v>
      </c>
      <c r="D570" s="40" t="str">
        <f aca="false">IF(B570="","",IFERROR(INDEX('CLM &amp; IM Mapping'!$C$2:$C$270,MATCH(TRIM(B570),'CLM &amp; IM Mapping'!$A$2:$A$270,0)),"Not Mapped"))</f>
        <v>Not Mapped</v>
      </c>
      <c r="E570" s="41" t="n">
        <v>402</v>
      </c>
      <c r="F570" s="41" t="n">
        <v>5</v>
      </c>
      <c r="G570" s="41" t="n">
        <v>397</v>
      </c>
      <c r="H570" s="41" t="n">
        <v>0</v>
      </c>
      <c r="I570" s="41" t="n">
        <v>0</v>
      </c>
      <c r="J570" s="41" t="n">
        <v>0</v>
      </c>
      <c r="K570" s="41" t="n">
        <v>0</v>
      </c>
      <c r="L570" s="41" t="n">
        <v>0</v>
      </c>
    </row>
    <row r="571" customFormat="false" ht="15.75" hidden="false" customHeight="false" outlineLevel="0" collapsed="false">
      <c r="B571" s="39" t="s">
        <v>722</v>
      </c>
      <c r="C571" s="40" t="str">
        <f aca="false">IF(B571="","",IFERROR(INDEX('CLM &amp; IM Mapping'!$B$2:$B$270,MATCH(TRIM(B571),'CLM &amp; IM Mapping'!$A$2:$A$270,0)),"Not Mapped"))</f>
        <v>Not Mapped</v>
      </c>
      <c r="D571" s="40" t="str">
        <f aca="false">IF(B571="","",IFERROR(INDEX('CLM &amp; IM Mapping'!$C$2:$C$270,MATCH(TRIM(B571),'CLM &amp; IM Mapping'!$A$2:$A$270,0)),"Not Mapped"))</f>
        <v>Not Mapped</v>
      </c>
      <c r="E571" s="41" t="n">
        <v>0</v>
      </c>
      <c r="F571" s="41" t="n">
        <v>0</v>
      </c>
      <c r="G571" s="41" t="n">
        <v>0</v>
      </c>
      <c r="H571" s="41" t="n">
        <v>0</v>
      </c>
      <c r="I571" s="41" t="n">
        <v>0</v>
      </c>
      <c r="J571" s="41" t="n">
        <v>0</v>
      </c>
      <c r="K571" s="41" t="n">
        <v>0</v>
      </c>
      <c r="L571" s="41" t="n">
        <v>0</v>
      </c>
    </row>
    <row r="572" customFormat="false" ht="15.75" hidden="false" customHeight="false" outlineLevel="0" collapsed="false">
      <c r="B572" s="39" t="s">
        <v>723</v>
      </c>
      <c r="C572" s="40" t="str">
        <f aca="false">IF(B572="","",IFERROR(INDEX('CLM &amp; IM Mapping'!$B$2:$B$270,MATCH(TRIM(B572),'CLM &amp; IM Mapping'!$A$2:$A$270,0)),"Not Mapped"))</f>
        <v>Not Mapped</v>
      </c>
      <c r="D572" s="40" t="str">
        <f aca="false">IF(B572="","",IFERROR(INDEX('CLM &amp; IM Mapping'!$C$2:$C$270,MATCH(TRIM(B572),'CLM &amp; IM Mapping'!$A$2:$A$270,0)),"Not Mapped"))</f>
        <v>Not Mapped</v>
      </c>
      <c r="E572" s="41" t="n">
        <v>0</v>
      </c>
      <c r="F572" s="41" t="n">
        <v>0</v>
      </c>
      <c r="G572" s="41" t="n">
        <v>0</v>
      </c>
      <c r="H572" s="41" t="n">
        <v>0</v>
      </c>
      <c r="I572" s="41" t="n">
        <v>0</v>
      </c>
      <c r="J572" s="41" t="n">
        <v>0</v>
      </c>
      <c r="K572" s="41" t="n">
        <v>0</v>
      </c>
      <c r="L572" s="41" t="n">
        <v>0</v>
      </c>
    </row>
    <row r="573" customFormat="false" ht="15.75" hidden="false" customHeight="false" outlineLevel="0" collapsed="false">
      <c r="B573" s="39" t="s">
        <v>724</v>
      </c>
      <c r="C573" s="40" t="str">
        <f aca="false">IF(B573="","",IFERROR(INDEX('CLM &amp; IM Mapping'!$B$2:$B$270,MATCH(TRIM(B573),'CLM &amp; IM Mapping'!$A$2:$A$270,0)),"Not Mapped"))</f>
        <v>Not Mapped</v>
      </c>
      <c r="D573" s="40" t="str">
        <f aca="false">IF(B573="","",IFERROR(INDEX('CLM &amp; IM Mapping'!$C$2:$C$270,MATCH(TRIM(B573),'CLM &amp; IM Mapping'!$A$2:$A$270,0)),"Not Mapped"))</f>
        <v>Not Mapped</v>
      </c>
      <c r="E573" s="41" t="n">
        <v>544</v>
      </c>
      <c r="F573" s="41" t="n">
        <v>0</v>
      </c>
      <c r="G573" s="41" t="n">
        <v>544</v>
      </c>
      <c r="H573" s="41" t="n">
        <v>0</v>
      </c>
      <c r="I573" s="41" t="n">
        <v>0</v>
      </c>
      <c r="J573" s="41" t="n">
        <v>0</v>
      </c>
      <c r="K573" s="41" t="n">
        <v>0</v>
      </c>
      <c r="L573" s="41" t="n">
        <v>0</v>
      </c>
    </row>
    <row r="574" customFormat="false" ht="15.75" hidden="false" customHeight="false" outlineLevel="0" collapsed="false">
      <c r="B574" s="39" t="s">
        <v>725</v>
      </c>
      <c r="C574" s="40" t="str">
        <f aca="false">IF(B574="","",IFERROR(INDEX('CLM &amp; IM Mapping'!$B$2:$B$270,MATCH(TRIM(B574),'CLM &amp; IM Mapping'!$A$2:$A$270,0)),"Not Mapped"))</f>
        <v>Not Mapped</v>
      </c>
      <c r="D574" s="40" t="str">
        <f aca="false">IF(B574="","",IFERROR(INDEX('CLM &amp; IM Mapping'!$C$2:$C$270,MATCH(TRIM(B574),'CLM &amp; IM Mapping'!$A$2:$A$270,0)),"Not Mapped"))</f>
        <v>Not Mapped</v>
      </c>
      <c r="E574" s="41" t="n">
        <v>0</v>
      </c>
      <c r="F574" s="41" t="n">
        <v>0</v>
      </c>
      <c r="G574" s="41" t="n">
        <v>0</v>
      </c>
      <c r="H574" s="41" t="n">
        <v>0</v>
      </c>
      <c r="I574" s="41" t="n">
        <v>0</v>
      </c>
      <c r="J574" s="41" t="n">
        <v>0</v>
      </c>
      <c r="K574" s="41" t="n">
        <v>0</v>
      </c>
      <c r="L574" s="41" t="n">
        <v>0</v>
      </c>
    </row>
    <row r="575" customFormat="false" ht="15.75" hidden="false" customHeight="false" outlineLevel="0" collapsed="false">
      <c r="B575" s="39" t="s">
        <v>726</v>
      </c>
      <c r="C575" s="40" t="str">
        <f aca="false">IF(B575="","",IFERROR(INDEX('CLM &amp; IM Mapping'!$B$2:$B$270,MATCH(TRIM(B575),'CLM &amp; IM Mapping'!$A$2:$A$270,0)),"Not Mapped"))</f>
        <v>Not Mapped</v>
      </c>
      <c r="D575" s="40" t="str">
        <f aca="false">IF(B575="","",IFERROR(INDEX('CLM &amp; IM Mapping'!$C$2:$C$270,MATCH(TRIM(B575),'CLM &amp; IM Mapping'!$A$2:$A$270,0)),"Not Mapped"))</f>
        <v>Not Mapped</v>
      </c>
      <c r="E575" s="41" t="n">
        <v>2468</v>
      </c>
      <c r="F575" s="41" t="n">
        <v>2468</v>
      </c>
      <c r="G575" s="41" t="n">
        <v>0</v>
      </c>
      <c r="H575" s="41" t="n">
        <v>0</v>
      </c>
      <c r="I575" s="41" t="n">
        <v>0</v>
      </c>
      <c r="J575" s="41" t="n">
        <v>0</v>
      </c>
      <c r="K575" s="41" t="n">
        <v>0</v>
      </c>
      <c r="L575" s="41" t="n">
        <v>0</v>
      </c>
    </row>
    <row r="576" customFormat="false" ht="15.75" hidden="false" customHeight="false" outlineLevel="0" collapsed="false">
      <c r="B576" s="39" t="s">
        <v>727</v>
      </c>
      <c r="C576" s="40" t="str">
        <f aca="false">IF(B576="","",IFERROR(INDEX('CLM &amp; IM Mapping'!$B$2:$B$270,MATCH(TRIM(B576),'CLM &amp; IM Mapping'!$A$2:$A$270,0)),"Not Mapped"))</f>
        <v>Not Mapped</v>
      </c>
      <c r="D576" s="40" t="str">
        <f aca="false">IF(B576="","",IFERROR(INDEX('CLM &amp; IM Mapping'!$C$2:$C$270,MATCH(TRIM(B576),'CLM &amp; IM Mapping'!$A$2:$A$270,0)),"Not Mapped"))</f>
        <v>Not Mapped</v>
      </c>
      <c r="E576" s="41" t="n">
        <v>7963</v>
      </c>
      <c r="F576" s="41" t="n">
        <v>6390</v>
      </c>
      <c r="G576" s="41" t="n">
        <v>0</v>
      </c>
      <c r="H576" s="41" t="n">
        <v>0</v>
      </c>
      <c r="I576" s="41" t="n">
        <v>0</v>
      </c>
      <c r="J576" s="41" t="n">
        <v>37</v>
      </c>
      <c r="K576" s="41" t="n">
        <v>1536</v>
      </c>
      <c r="L576" s="41" t="n">
        <v>1573</v>
      </c>
    </row>
    <row r="577" customFormat="false" ht="15.75" hidden="false" customHeight="false" outlineLevel="0" collapsed="false">
      <c r="B577" s="39" t="s">
        <v>728</v>
      </c>
      <c r="C577" s="40" t="str">
        <f aca="false">IF(B577="","",IFERROR(INDEX('CLM &amp; IM Mapping'!$B$2:$B$270,MATCH(TRIM(B577),'CLM &amp; IM Mapping'!$A$2:$A$270,0)),"Not Mapped"))</f>
        <v>Not Mapped</v>
      </c>
      <c r="D577" s="40" t="str">
        <f aca="false">IF(B577="","",IFERROR(INDEX('CLM &amp; IM Mapping'!$C$2:$C$270,MATCH(TRIM(B577),'CLM &amp; IM Mapping'!$A$2:$A$270,0)),"Not Mapped"))</f>
        <v>Not Mapped</v>
      </c>
      <c r="E577" s="41" t="n">
        <v>4686</v>
      </c>
      <c r="F577" s="41" t="n">
        <v>0</v>
      </c>
      <c r="G577" s="41" t="n">
        <v>0</v>
      </c>
      <c r="H577" s="41" t="n">
        <v>1623</v>
      </c>
      <c r="I577" s="41" t="n">
        <v>0</v>
      </c>
      <c r="J577" s="41" t="n">
        <v>977</v>
      </c>
      <c r="K577" s="41" t="n">
        <v>2086</v>
      </c>
      <c r="L577" s="41" t="n">
        <v>4686</v>
      </c>
    </row>
    <row r="578" customFormat="false" ht="15.75" hidden="false" customHeight="false" outlineLevel="0" collapsed="false">
      <c r="B578" s="39" t="s">
        <v>729</v>
      </c>
      <c r="C578" s="40" t="str">
        <f aca="false">IF(B578="","",IFERROR(INDEX('CLM &amp; IM Mapping'!$B$2:$B$270,MATCH(TRIM(B578),'CLM &amp; IM Mapping'!$A$2:$A$270,0)),"Not Mapped"))</f>
        <v>Not Mapped</v>
      </c>
      <c r="D578" s="40" t="str">
        <f aca="false">IF(B578="","",IFERROR(INDEX('CLM &amp; IM Mapping'!$C$2:$C$270,MATCH(TRIM(B578),'CLM &amp; IM Mapping'!$A$2:$A$270,0)),"Not Mapped"))</f>
        <v>Not Mapped</v>
      </c>
      <c r="E578" s="41" t="n">
        <v>36</v>
      </c>
      <c r="F578" s="41" t="n">
        <v>0</v>
      </c>
      <c r="G578" s="41" t="n">
        <v>0</v>
      </c>
      <c r="H578" s="41" t="n">
        <v>0</v>
      </c>
      <c r="I578" s="41" t="n">
        <v>36</v>
      </c>
      <c r="J578" s="41" t="n">
        <v>0</v>
      </c>
      <c r="K578" s="41" t="n">
        <v>0</v>
      </c>
      <c r="L578" s="41" t="n">
        <v>36</v>
      </c>
    </row>
    <row r="579" customFormat="false" ht="15.75" hidden="false" customHeight="false" outlineLevel="0" collapsed="false">
      <c r="B579" s="39" t="s">
        <v>730</v>
      </c>
      <c r="C579" s="40" t="str">
        <f aca="false">IF(B579="","",IFERROR(INDEX('CLM &amp; IM Mapping'!$B$2:$B$270,MATCH(TRIM(B579),'CLM &amp; IM Mapping'!$A$2:$A$270,0)),"Not Mapped"))</f>
        <v>Not Mapped</v>
      </c>
      <c r="D579" s="40" t="str">
        <f aca="false">IF(B579="","",IFERROR(INDEX('CLM &amp; IM Mapping'!$C$2:$C$270,MATCH(TRIM(B579),'CLM &amp; IM Mapping'!$A$2:$A$270,0)),"Not Mapped"))</f>
        <v>Not Mapped</v>
      </c>
      <c r="E579" s="41" t="n">
        <v>7112</v>
      </c>
      <c r="F579" s="41" t="n">
        <v>6677</v>
      </c>
      <c r="G579" s="41" t="n">
        <v>0</v>
      </c>
      <c r="H579" s="41" t="n">
        <v>0</v>
      </c>
      <c r="I579" s="41" t="n">
        <v>408</v>
      </c>
      <c r="J579" s="41" t="n">
        <v>0</v>
      </c>
      <c r="K579" s="41" t="n">
        <v>27</v>
      </c>
      <c r="L579" s="41" t="n">
        <v>435</v>
      </c>
    </row>
    <row r="580" customFormat="false" ht="15.75" hidden="false" customHeight="false" outlineLevel="0" collapsed="false">
      <c r="B580" s="39" t="s">
        <v>731</v>
      </c>
      <c r="C580" s="40" t="str">
        <f aca="false">IF(B580="","",IFERROR(INDEX('CLM &amp; IM Mapping'!$B$2:$B$270,MATCH(TRIM(B580),'CLM &amp; IM Mapping'!$A$2:$A$270,0)),"Not Mapped"))</f>
        <v>Not Mapped</v>
      </c>
      <c r="D580" s="40" t="str">
        <f aca="false">IF(B580="","",IFERROR(INDEX('CLM &amp; IM Mapping'!$C$2:$C$270,MATCH(TRIM(B580),'CLM &amp; IM Mapping'!$A$2:$A$270,0)),"Not Mapped"))</f>
        <v>Not Mapped</v>
      </c>
      <c r="E580" s="41" t="n">
        <v>2091</v>
      </c>
      <c r="F580" s="41" t="n">
        <v>2091</v>
      </c>
      <c r="G580" s="41" t="n">
        <v>0</v>
      </c>
      <c r="H580" s="41" t="n">
        <v>0</v>
      </c>
      <c r="I580" s="41" t="n">
        <v>0</v>
      </c>
      <c r="J580" s="41" t="n">
        <v>0</v>
      </c>
      <c r="K580" s="41" t="n">
        <v>0</v>
      </c>
      <c r="L580" s="41" t="n">
        <v>0</v>
      </c>
    </row>
    <row r="581" customFormat="false" ht="15.75" hidden="false" customHeight="false" outlineLevel="0" collapsed="false">
      <c r="B581" s="39" t="s">
        <v>732</v>
      </c>
      <c r="C581" s="40" t="str">
        <f aca="false">IF(B581="","",IFERROR(INDEX('CLM &amp; IM Mapping'!$B$2:$B$270,MATCH(TRIM(B581),'CLM &amp; IM Mapping'!$A$2:$A$270,0)),"Not Mapped"))</f>
        <v>Not Mapped</v>
      </c>
      <c r="D581" s="40" t="str">
        <f aca="false">IF(B581="","",IFERROR(INDEX('CLM &amp; IM Mapping'!$C$2:$C$270,MATCH(TRIM(B581),'CLM &amp; IM Mapping'!$A$2:$A$270,0)),"Not Mapped"))</f>
        <v>Not Mapped</v>
      </c>
      <c r="E581" s="41" t="n">
        <v>2578</v>
      </c>
      <c r="F581" s="41" t="n">
        <v>0</v>
      </c>
      <c r="G581" s="41" t="n">
        <v>2568</v>
      </c>
      <c r="H581" s="41" t="n">
        <v>0</v>
      </c>
      <c r="I581" s="41" t="n">
        <v>10</v>
      </c>
      <c r="J581" s="41" t="n">
        <v>0</v>
      </c>
      <c r="K581" s="41" t="n">
        <v>0</v>
      </c>
      <c r="L581" s="41" t="n">
        <v>10</v>
      </c>
    </row>
    <row r="582" customFormat="false" ht="15.75" hidden="false" customHeight="false" outlineLevel="0" collapsed="false">
      <c r="B582" s="39" t="s">
        <v>733</v>
      </c>
      <c r="C582" s="40" t="str">
        <f aca="false">IF(B582="","",IFERROR(INDEX('CLM &amp; IM Mapping'!$B$2:$B$270,MATCH(TRIM(B582),'CLM &amp; IM Mapping'!$A$2:$A$270,0)),"Not Mapped"))</f>
        <v>Not Mapped</v>
      </c>
      <c r="D582" s="40" t="str">
        <f aca="false">IF(B582="","",IFERROR(INDEX('CLM &amp; IM Mapping'!$C$2:$C$270,MATCH(TRIM(B582),'CLM &amp; IM Mapping'!$A$2:$A$270,0)),"Not Mapped"))</f>
        <v>Not Mapped</v>
      </c>
      <c r="E582" s="41" t="n">
        <v>1077</v>
      </c>
      <c r="F582" s="41" t="n">
        <v>0</v>
      </c>
      <c r="G582" s="41" t="n">
        <v>1077</v>
      </c>
      <c r="H582" s="41" t="n">
        <v>0</v>
      </c>
      <c r="I582" s="41" t="n">
        <v>0</v>
      </c>
      <c r="J582" s="41" t="n">
        <v>0</v>
      </c>
      <c r="K582" s="41" t="n">
        <v>0</v>
      </c>
      <c r="L582" s="41" t="n">
        <v>0</v>
      </c>
    </row>
    <row r="583" customFormat="false" ht="15.75" hidden="false" customHeight="false" outlineLevel="0" collapsed="false">
      <c r="B583" s="39" t="s">
        <v>734</v>
      </c>
      <c r="C583" s="40" t="str">
        <f aca="false">IF(B583="","",IFERROR(INDEX('CLM &amp; IM Mapping'!$B$2:$B$270,MATCH(TRIM(B583),'CLM &amp; IM Mapping'!$A$2:$A$270,0)),"Not Mapped"))</f>
        <v>Not Mapped</v>
      </c>
      <c r="D583" s="40" t="str">
        <f aca="false">IF(B583="","",IFERROR(INDEX('CLM &amp; IM Mapping'!$C$2:$C$270,MATCH(TRIM(B583),'CLM &amp; IM Mapping'!$A$2:$A$270,0)),"Not Mapped"))</f>
        <v>Not Mapped</v>
      </c>
      <c r="E583" s="41" t="n">
        <v>0</v>
      </c>
      <c r="F583" s="41" t="n">
        <v>0</v>
      </c>
      <c r="G583" s="41" t="n">
        <v>0</v>
      </c>
      <c r="H583" s="41" t="n">
        <v>0</v>
      </c>
      <c r="I583" s="41" t="n">
        <v>0</v>
      </c>
      <c r="J583" s="41" t="n">
        <v>0</v>
      </c>
      <c r="K583" s="41" t="n">
        <v>0</v>
      </c>
      <c r="L583" s="41" t="n">
        <v>0</v>
      </c>
    </row>
    <row r="584" customFormat="false" ht="15.75" hidden="false" customHeight="false" outlineLevel="0" collapsed="false">
      <c r="B584" s="39" t="s">
        <v>735</v>
      </c>
      <c r="C584" s="40" t="str">
        <f aca="false">IF(B584="","",IFERROR(INDEX('CLM &amp; IM Mapping'!$B$2:$B$270,MATCH(TRIM(B584),'CLM &amp; IM Mapping'!$A$2:$A$270,0)),"Not Mapped"))</f>
        <v>Not Mapped</v>
      </c>
      <c r="D584" s="40" t="str">
        <f aca="false">IF(B584="","",IFERROR(INDEX('CLM &amp; IM Mapping'!$C$2:$C$270,MATCH(TRIM(B584),'CLM &amp; IM Mapping'!$A$2:$A$270,0)),"Not Mapped"))</f>
        <v>Not Mapped</v>
      </c>
      <c r="E584" s="41" t="n">
        <v>3439</v>
      </c>
      <c r="F584" s="41" t="n">
        <v>85</v>
      </c>
      <c r="G584" s="41" t="n">
        <v>0</v>
      </c>
      <c r="H584" s="41" t="n">
        <v>0</v>
      </c>
      <c r="I584" s="41" t="n">
        <v>89</v>
      </c>
      <c r="J584" s="41" t="n">
        <v>930</v>
      </c>
      <c r="K584" s="41" t="n">
        <v>2335</v>
      </c>
      <c r="L584" s="41" t="n">
        <v>3354</v>
      </c>
    </row>
    <row r="585" customFormat="false" ht="15.75" hidden="false" customHeight="false" outlineLevel="0" collapsed="false">
      <c r="B585" s="39" t="s">
        <v>736</v>
      </c>
      <c r="C585" s="40" t="str">
        <f aca="false">IF(B585="","",IFERROR(INDEX('CLM &amp; IM Mapping'!$B$2:$B$270,MATCH(TRIM(B585),'CLM &amp; IM Mapping'!$A$2:$A$270,0)),"Not Mapped"))</f>
        <v>Not Mapped</v>
      </c>
      <c r="D585" s="40" t="str">
        <f aca="false">IF(B585="","",IFERROR(INDEX('CLM &amp; IM Mapping'!$C$2:$C$270,MATCH(TRIM(B585),'CLM &amp; IM Mapping'!$A$2:$A$270,0)),"Not Mapped"))</f>
        <v>Not Mapped</v>
      </c>
      <c r="E585" s="41" t="n">
        <v>1285</v>
      </c>
      <c r="F585" s="41" t="n">
        <v>0</v>
      </c>
      <c r="G585" s="41" t="n">
        <v>0</v>
      </c>
      <c r="H585" s="41" t="n">
        <v>1252</v>
      </c>
      <c r="I585" s="41" t="n">
        <v>0</v>
      </c>
      <c r="J585" s="41" t="n">
        <v>1</v>
      </c>
      <c r="K585" s="41" t="n">
        <v>32</v>
      </c>
      <c r="L585" s="41" t="n">
        <v>1285</v>
      </c>
    </row>
    <row r="586" customFormat="false" ht="15.75" hidden="false" customHeight="false" outlineLevel="0" collapsed="false">
      <c r="B586" s="39" t="s">
        <v>737</v>
      </c>
      <c r="C586" s="40" t="str">
        <f aca="false">IF(B586="","",IFERROR(INDEX('CLM &amp; IM Mapping'!$B$2:$B$270,MATCH(TRIM(B586),'CLM &amp; IM Mapping'!$A$2:$A$270,0)),"Not Mapped"))</f>
        <v>Not Mapped</v>
      </c>
      <c r="D586" s="40" t="str">
        <f aca="false">IF(B586="","",IFERROR(INDEX('CLM &amp; IM Mapping'!$C$2:$C$270,MATCH(TRIM(B586),'CLM &amp; IM Mapping'!$A$2:$A$270,0)),"Not Mapped"))</f>
        <v>Not Mapped</v>
      </c>
      <c r="E586" s="41" t="n">
        <v>6374</v>
      </c>
      <c r="F586" s="41" t="n">
        <v>1</v>
      </c>
      <c r="G586" s="41" t="n">
        <v>10</v>
      </c>
      <c r="H586" s="41" t="n">
        <v>0</v>
      </c>
      <c r="I586" s="41" t="n">
        <v>4907</v>
      </c>
      <c r="J586" s="41" t="n">
        <v>0</v>
      </c>
      <c r="K586" s="41" t="n">
        <v>1456</v>
      </c>
      <c r="L586" s="41" t="n">
        <v>6363</v>
      </c>
    </row>
    <row r="587" customFormat="false" ht="15.75" hidden="false" customHeight="false" outlineLevel="0" collapsed="false">
      <c r="B587" s="39" t="s">
        <v>738</v>
      </c>
      <c r="C587" s="40" t="str">
        <f aca="false">IF(B587="","",IFERROR(INDEX('CLM &amp; IM Mapping'!$B$2:$B$270,MATCH(TRIM(B587),'CLM &amp; IM Mapping'!$A$2:$A$270,0)),"Not Mapped"))</f>
        <v>Not Mapped</v>
      </c>
      <c r="D587" s="40" t="str">
        <f aca="false">IF(B587="","",IFERROR(INDEX('CLM &amp; IM Mapping'!$C$2:$C$270,MATCH(TRIM(B587),'CLM &amp; IM Mapping'!$A$2:$A$270,0)),"Not Mapped"))</f>
        <v>Not Mapped</v>
      </c>
      <c r="E587" s="41" t="n">
        <v>1018</v>
      </c>
      <c r="F587" s="41" t="n">
        <v>0</v>
      </c>
      <c r="G587" s="41" t="n">
        <v>0</v>
      </c>
      <c r="H587" s="41" t="n">
        <v>998</v>
      </c>
      <c r="I587" s="41" t="n">
        <v>0</v>
      </c>
      <c r="J587" s="41" t="n">
        <v>0</v>
      </c>
      <c r="K587" s="41" t="n">
        <v>20</v>
      </c>
      <c r="L587" s="41" t="n">
        <v>20</v>
      </c>
    </row>
    <row r="588" customFormat="false" ht="15.75" hidden="false" customHeight="false" outlineLevel="0" collapsed="false">
      <c r="B588" s="39" t="s">
        <v>739</v>
      </c>
      <c r="C588" s="40" t="str">
        <f aca="false">IF(B588="","",IFERROR(INDEX('CLM &amp; IM Mapping'!$B$2:$B$270,MATCH(TRIM(B588),'CLM &amp; IM Mapping'!$A$2:$A$270,0)),"Not Mapped"))</f>
        <v>Not Mapped</v>
      </c>
      <c r="D588" s="40" t="str">
        <f aca="false">IF(B588="","",IFERROR(INDEX('CLM &amp; IM Mapping'!$C$2:$C$270,MATCH(TRIM(B588),'CLM &amp; IM Mapping'!$A$2:$A$270,0)),"Not Mapped"))</f>
        <v>Not Mapped</v>
      </c>
      <c r="E588" s="41" t="n">
        <v>3830</v>
      </c>
      <c r="F588" s="41" t="n">
        <v>3830</v>
      </c>
      <c r="G588" s="41" t="n">
        <v>0</v>
      </c>
      <c r="H588" s="41" t="n">
        <v>0</v>
      </c>
      <c r="I588" s="41" t="n">
        <v>0</v>
      </c>
      <c r="J588" s="41" t="n">
        <v>0</v>
      </c>
      <c r="K588" s="41" t="n">
        <v>0</v>
      </c>
      <c r="L588" s="41" t="n">
        <v>0</v>
      </c>
    </row>
    <row r="589" customFormat="false" ht="15.75" hidden="false" customHeight="false" outlineLevel="0" collapsed="false">
      <c r="B589" s="39" t="s">
        <v>740</v>
      </c>
      <c r="C589" s="40" t="str">
        <f aca="false">IF(B589="","",IFERROR(INDEX('CLM &amp; IM Mapping'!$B$2:$B$270,MATCH(TRIM(B589),'CLM &amp; IM Mapping'!$A$2:$A$270,0)),"Not Mapped"))</f>
        <v>Not Mapped</v>
      </c>
      <c r="D589" s="40" t="str">
        <f aca="false">IF(B589="","",IFERROR(INDEX('CLM &amp; IM Mapping'!$C$2:$C$270,MATCH(TRIM(B589),'CLM &amp; IM Mapping'!$A$2:$A$270,0)),"Not Mapped"))</f>
        <v>Not Mapped</v>
      </c>
      <c r="E589" s="41" t="n">
        <v>3069</v>
      </c>
      <c r="F589" s="41" t="n">
        <v>3054</v>
      </c>
      <c r="G589" s="41" t="n">
        <v>0</v>
      </c>
      <c r="H589" s="41" t="n">
        <v>0</v>
      </c>
      <c r="I589" s="41" t="n">
        <v>0</v>
      </c>
      <c r="J589" s="41" t="n">
        <v>0</v>
      </c>
      <c r="K589" s="41" t="n">
        <v>15</v>
      </c>
      <c r="L589" s="41" t="n">
        <v>15</v>
      </c>
    </row>
    <row r="590" customFormat="false" ht="15.75" hidden="false" customHeight="false" outlineLevel="0" collapsed="false">
      <c r="B590" s="39" t="s">
        <v>741</v>
      </c>
      <c r="C590" s="40" t="str">
        <f aca="false">IF(B590="","",IFERROR(INDEX('CLM &amp; IM Mapping'!$B$2:$B$270,MATCH(TRIM(B590),'CLM &amp; IM Mapping'!$A$2:$A$270,0)),"Not Mapped"))</f>
        <v>Not Mapped</v>
      </c>
      <c r="D590" s="40" t="str">
        <f aca="false">IF(B590="","",IFERROR(INDEX('CLM &amp; IM Mapping'!$C$2:$C$270,MATCH(TRIM(B590),'CLM &amp; IM Mapping'!$A$2:$A$270,0)),"Not Mapped"))</f>
        <v>Not Mapped</v>
      </c>
      <c r="E590" s="41" t="n">
        <v>1115</v>
      </c>
      <c r="F590" s="41" t="n">
        <v>0</v>
      </c>
      <c r="G590" s="41" t="n">
        <v>0</v>
      </c>
      <c r="H590" s="41" t="n">
        <v>1115</v>
      </c>
      <c r="I590" s="41" t="n">
        <v>0</v>
      </c>
      <c r="J590" s="41" t="n">
        <v>0</v>
      </c>
      <c r="K590" s="41" t="n">
        <v>0</v>
      </c>
      <c r="L590" s="41" t="n">
        <v>1115</v>
      </c>
    </row>
    <row r="591" customFormat="false" ht="15.75" hidden="false" customHeight="false" outlineLevel="0" collapsed="false">
      <c r="B591" s="39" t="s">
        <v>742</v>
      </c>
      <c r="C591" s="40" t="str">
        <f aca="false">IF(B591="","",IFERROR(INDEX('CLM &amp; IM Mapping'!$B$2:$B$270,MATCH(TRIM(B591),'CLM &amp; IM Mapping'!$A$2:$A$270,0)),"Not Mapped"))</f>
        <v>Not Mapped</v>
      </c>
      <c r="D591" s="40" t="str">
        <f aca="false">IF(B591="","",IFERROR(INDEX('CLM &amp; IM Mapping'!$C$2:$C$270,MATCH(TRIM(B591),'CLM &amp; IM Mapping'!$A$2:$A$270,0)),"Not Mapped"))</f>
        <v>Not Mapped</v>
      </c>
      <c r="E591" s="41" t="n">
        <v>2614</v>
      </c>
      <c r="F591" s="41" t="n">
        <v>2614</v>
      </c>
      <c r="G591" s="41" t="n">
        <v>0</v>
      </c>
      <c r="H591" s="41" t="n">
        <v>0</v>
      </c>
      <c r="I591" s="41" t="n">
        <v>0</v>
      </c>
      <c r="J591" s="41" t="n">
        <v>0</v>
      </c>
      <c r="K591" s="41" t="n">
        <v>0</v>
      </c>
      <c r="L591" s="41" t="n">
        <v>0</v>
      </c>
    </row>
    <row r="592" customFormat="false" ht="15.75" hidden="false" customHeight="false" outlineLevel="0" collapsed="false">
      <c r="B592" s="39" t="s">
        <v>743</v>
      </c>
      <c r="C592" s="40" t="str">
        <f aca="false">IF(B592="","",IFERROR(INDEX('CLM &amp; IM Mapping'!$B$2:$B$270,MATCH(TRIM(B592),'CLM &amp; IM Mapping'!$A$2:$A$270,0)),"Not Mapped"))</f>
        <v>Not Mapped</v>
      </c>
      <c r="D592" s="40" t="str">
        <f aca="false">IF(B592="","",IFERROR(INDEX('CLM &amp; IM Mapping'!$C$2:$C$270,MATCH(TRIM(B592),'CLM &amp; IM Mapping'!$A$2:$A$270,0)),"Not Mapped"))</f>
        <v>Not Mapped</v>
      </c>
      <c r="E592" s="41" t="n">
        <v>2528</v>
      </c>
      <c r="F592" s="41" t="n">
        <v>2523</v>
      </c>
      <c r="G592" s="41" t="n">
        <v>5</v>
      </c>
      <c r="H592" s="41" t="n">
        <v>0</v>
      </c>
      <c r="I592" s="41" t="n">
        <v>0</v>
      </c>
      <c r="J592" s="41" t="n">
        <v>0</v>
      </c>
      <c r="K592" s="41" t="n">
        <v>0</v>
      </c>
      <c r="L592" s="41" t="n">
        <v>0</v>
      </c>
    </row>
    <row r="593" customFormat="false" ht="15.75" hidden="false" customHeight="false" outlineLevel="0" collapsed="false">
      <c r="B593" s="39" t="s">
        <v>744</v>
      </c>
      <c r="C593" s="40" t="str">
        <f aca="false">IF(B593="","",IFERROR(INDEX('CLM &amp; IM Mapping'!$B$2:$B$270,MATCH(TRIM(B593),'CLM &amp; IM Mapping'!$A$2:$A$270,0)),"Not Mapped"))</f>
        <v>Not Mapped</v>
      </c>
      <c r="D593" s="40" t="str">
        <f aca="false">IF(B593="","",IFERROR(INDEX('CLM &amp; IM Mapping'!$C$2:$C$270,MATCH(TRIM(B593),'CLM &amp; IM Mapping'!$A$2:$A$270,0)),"Not Mapped"))</f>
        <v>Not Mapped</v>
      </c>
      <c r="E593" s="41" t="n">
        <v>881</v>
      </c>
      <c r="F593" s="41" t="n">
        <v>0</v>
      </c>
      <c r="G593" s="41" t="n">
        <v>0</v>
      </c>
      <c r="H593" s="41" t="n">
        <v>881</v>
      </c>
      <c r="I593" s="41" t="n">
        <v>0</v>
      </c>
      <c r="J593" s="41" t="n">
        <v>0</v>
      </c>
      <c r="K593" s="41" t="n">
        <v>0</v>
      </c>
      <c r="L593" s="41" t="n">
        <v>881</v>
      </c>
    </row>
    <row r="594" customFormat="false" ht="15.75" hidden="false" customHeight="false" outlineLevel="0" collapsed="false">
      <c r="B594" s="39" t="s">
        <v>745</v>
      </c>
      <c r="C594" s="40" t="str">
        <f aca="false">IF(B594="","",IFERROR(INDEX('CLM &amp; IM Mapping'!$B$2:$B$270,MATCH(TRIM(B594),'CLM &amp; IM Mapping'!$A$2:$A$270,0)),"Not Mapped"))</f>
        <v>Not Mapped</v>
      </c>
      <c r="D594" s="40" t="str">
        <f aca="false">IF(B594="","",IFERROR(INDEX('CLM &amp; IM Mapping'!$C$2:$C$270,MATCH(TRIM(B594),'CLM &amp; IM Mapping'!$A$2:$A$270,0)),"Not Mapped"))</f>
        <v>Not Mapped</v>
      </c>
      <c r="E594" s="41" t="n">
        <v>3949</v>
      </c>
      <c r="F594" s="41" t="n">
        <v>4</v>
      </c>
      <c r="G594" s="41" t="n">
        <v>3357</v>
      </c>
      <c r="H594" s="41" t="n">
        <v>0</v>
      </c>
      <c r="I594" s="41" t="n">
        <v>0</v>
      </c>
      <c r="J594" s="41" t="n">
        <v>393</v>
      </c>
      <c r="K594" s="41" t="n">
        <v>195</v>
      </c>
      <c r="L594" s="41" t="n">
        <v>588</v>
      </c>
    </row>
    <row r="595" customFormat="false" ht="15.75" hidden="false" customHeight="false" outlineLevel="0" collapsed="false">
      <c r="B595" s="39" t="s">
        <v>746</v>
      </c>
      <c r="C595" s="40" t="str">
        <f aca="false">IF(B595="","",IFERROR(INDEX('CLM &amp; IM Mapping'!$B$2:$B$270,MATCH(TRIM(B595),'CLM &amp; IM Mapping'!$A$2:$A$270,0)),"Not Mapped"))</f>
        <v>Not Mapped</v>
      </c>
      <c r="D595" s="40" t="str">
        <f aca="false">IF(B595="","",IFERROR(INDEX('CLM &amp; IM Mapping'!$C$2:$C$270,MATCH(TRIM(B595),'CLM &amp; IM Mapping'!$A$2:$A$270,0)),"Not Mapped"))</f>
        <v>Not Mapped</v>
      </c>
      <c r="E595" s="41" t="n">
        <v>4800</v>
      </c>
      <c r="F595" s="41" t="n">
        <v>336</v>
      </c>
      <c r="G595" s="41" t="n">
        <v>20</v>
      </c>
      <c r="H595" s="41" t="n">
        <v>3352</v>
      </c>
      <c r="I595" s="41" t="n">
        <v>7</v>
      </c>
      <c r="J595" s="41" t="n">
        <v>0</v>
      </c>
      <c r="K595" s="41" t="n">
        <v>1085</v>
      </c>
      <c r="L595" s="41" t="n">
        <v>4444</v>
      </c>
    </row>
    <row r="596" customFormat="false" ht="15.75" hidden="false" customHeight="false" outlineLevel="0" collapsed="false">
      <c r="B596" s="39" t="s">
        <v>747</v>
      </c>
      <c r="C596" s="40" t="str">
        <f aca="false">IF(B596="","",IFERROR(INDEX('CLM &amp; IM Mapping'!$B$2:$B$270,MATCH(TRIM(B596),'CLM &amp; IM Mapping'!$A$2:$A$270,0)),"Not Mapped"))</f>
        <v>Not Mapped</v>
      </c>
      <c r="D596" s="40" t="str">
        <f aca="false">IF(B596="","",IFERROR(INDEX('CLM &amp; IM Mapping'!$C$2:$C$270,MATCH(TRIM(B596),'CLM &amp; IM Mapping'!$A$2:$A$270,0)),"Not Mapped"))</f>
        <v>Not Mapped</v>
      </c>
      <c r="E596" s="41" t="n">
        <v>4649</v>
      </c>
      <c r="F596" s="41" t="n">
        <v>0</v>
      </c>
      <c r="G596" s="41" t="n">
        <v>4592</v>
      </c>
      <c r="H596" s="41" t="n">
        <v>30</v>
      </c>
      <c r="I596" s="41" t="n">
        <v>27</v>
      </c>
      <c r="J596" s="41" t="n">
        <v>0</v>
      </c>
      <c r="K596" s="41" t="n">
        <v>0</v>
      </c>
      <c r="L596" s="41" t="n">
        <v>57</v>
      </c>
    </row>
    <row r="597" customFormat="false" ht="15.75" hidden="false" customHeight="false" outlineLevel="0" collapsed="false">
      <c r="B597" s="39" t="s">
        <v>748</v>
      </c>
      <c r="C597" s="40" t="str">
        <f aca="false">IF(B597="","",IFERROR(INDEX('CLM &amp; IM Mapping'!$B$2:$B$270,MATCH(TRIM(B597),'CLM &amp; IM Mapping'!$A$2:$A$270,0)),"Not Mapped"))</f>
        <v>Not Mapped</v>
      </c>
      <c r="D597" s="40" t="str">
        <f aca="false">IF(B597="","",IFERROR(INDEX('CLM &amp; IM Mapping'!$C$2:$C$270,MATCH(TRIM(B597),'CLM &amp; IM Mapping'!$A$2:$A$270,0)),"Not Mapped"))</f>
        <v>Not Mapped</v>
      </c>
      <c r="E597" s="41" t="n">
        <v>218</v>
      </c>
      <c r="F597" s="41" t="n">
        <v>2</v>
      </c>
      <c r="G597" s="41" t="n">
        <v>34</v>
      </c>
      <c r="H597" s="41" t="n">
        <v>0</v>
      </c>
      <c r="I597" s="41" t="n">
        <v>137</v>
      </c>
      <c r="J597" s="41" t="n">
        <v>0</v>
      </c>
      <c r="K597" s="41" t="n">
        <v>45</v>
      </c>
      <c r="L597" s="41" t="n">
        <v>182</v>
      </c>
    </row>
    <row r="598" customFormat="false" ht="15.75" hidden="false" customHeight="false" outlineLevel="0" collapsed="false">
      <c r="B598" s="39" t="s">
        <v>749</v>
      </c>
      <c r="C598" s="40" t="str">
        <f aca="false">IF(B598="","",IFERROR(INDEX('CLM &amp; IM Mapping'!$B$2:$B$270,MATCH(TRIM(B598),'CLM &amp; IM Mapping'!$A$2:$A$270,0)),"Not Mapped"))</f>
        <v>Not Mapped</v>
      </c>
      <c r="D598" s="40" t="str">
        <f aca="false">IF(B598="","",IFERROR(INDEX('CLM &amp; IM Mapping'!$C$2:$C$270,MATCH(TRIM(B598),'CLM &amp; IM Mapping'!$A$2:$A$270,0)),"Not Mapped"))</f>
        <v>Not Mapped</v>
      </c>
      <c r="E598" s="41" t="n">
        <v>2447</v>
      </c>
      <c r="F598" s="41" t="n">
        <v>0</v>
      </c>
      <c r="G598" s="41" t="n">
        <v>0</v>
      </c>
      <c r="H598" s="41" t="n">
        <v>525</v>
      </c>
      <c r="I598" s="41" t="n">
        <v>1922</v>
      </c>
      <c r="J598" s="41" t="n">
        <v>0</v>
      </c>
      <c r="K598" s="41" t="n">
        <v>0</v>
      </c>
      <c r="L598" s="41" t="n">
        <v>1922</v>
      </c>
    </row>
    <row r="599" customFormat="false" ht="15.75" hidden="false" customHeight="false" outlineLevel="0" collapsed="false">
      <c r="B599" s="39" t="s">
        <v>750</v>
      </c>
      <c r="C599" s="40" t="str">
        <f aca="false">IF(B599="","",IFERROR(INDEX('CLM &amp; IM Mapping'!$B$2:$B$270,MATCH(TRIM(B599),'CLM &amp; IM Mapping'!$A$2:$A$270,0)),"Not Mapped"))</f>
        <v>Not Mapped</v>
      </c>
      <c r="D599" s="40" t="str">
        <f aca="false">IF(B599="","",IFERROR(INDEX('CLM &amp; IM Mapping'!$C$2:$C$270,MATCH(TRIM(B599),'CLM &amp; IM Mapping'!$A$2:$A$270,0)),"Not Mapped"))</f>
        <v>Not Mapped</v>
      </c>
      <c r="E599" s="41" t="n">
        <v>907</v>
      </c>
      <c r="F599" s="41" t="n">
        <v>907</v>
      </c>
      <c r="G599" s="41" t="n">
        <v>0</v>
      </c>
      <c r="H599" s="41" t="n">
        <v>0</v>
      </c>
      <c r="I599" s="41" t="n">
        <v>0</v>
      </c>
      <c r="J599" s="41" t="n">
        <v>0</v>
      </c>
      <c r="K599" s="41" t="n">
        <v>0</v>
      </c>
      <c r="L599" s="41" t="n">
        <v>0</v>
      </c>
    </row>
    <row r="600" customFormat="false" ht="15.75" hidden="false" customHeight="false" outlineLevel="0" collapsed="false">
      <c r="B600" s="39" t="s">
        <v>751</v>
      </c>
      <c r="C600" s="40" t="str">
        <f aca="false">IF(B600="","",IFERROR(INDEX('CLM &amp; IM Mapping'!$B$2:$B$270,MATCH(TRIM(B600),'CLM &amp; IM Mapping'!$A$2:$A$270,0)),"Not Mapped"))</f>
        <v>Not Mapped</v>
      </c>
      <c r="D600" s="40" t="str">
        <f aca="false">IF(B600="","",IFERROR(INDEX('CLM &amp; IM Mapping'!$C$2:$C$270,MATCH(TRIM(B600),'CLM &amp; IM Mapping'!$A$2:$A$270,0)),"Not Mapped"))</f>
        <v>Not Mapped</v>
      </c>
      <c r="E600" s="41" t="n">
        <v>3534</v>
      </c>
      <c r="F600" s="41" t="n">
        <v>3534</v>
      </c>
      <c r="G600" s="41" t="n">
        <v>0</v>
      </c>
      <c r="H600" s="41" t="n">
        <v>0</v>
      </c>
      <c r="I600" s="41" t="n">
        <v>0</v>
      </c>
      <c r="J600" s="41" t="n">
        <v>0</v>
      </c>
      <c r="K600" s="41" t="n">
        <v>0</v>
      </c>
      <c r="L600" s="41" t="n">
        <v>0</v>
      </c>
    </row>
    <row r="601" customFormat="false" ht="15.75" hidden="false" customHeight="false" outlineLevel="0" collapsed="false">
      <c r="B601" s="39" t="s">
        <v>752</v>
      </c>
      <c r="C601" s="40" t="str">
        <f aca="false">IF(B601="","",IFERROR(INDEX('CLM &amp; IM Mapping'!$B$2:$B$270,MATCH(TRIM(B601),'CLM &amp; IM Mapping'!$A$2:$A$270,0)),"Not Mapped"))</f>
        <v>Not Mapped</v>
      </c>
      <c r="D601" s="40" t="str">
        <f aca="false">IF(B601="","",IFERROR(INDEX('CLM &amp; IM Mapping'!$C$2:$C$270,MATCH(TRIM(B601),'CLM &amp; IM Mapping'!$A$2:$A$270,0)),"Not Mapped"))</f>
        <v>Not Mapped</v>
      </c>
      <c r="E601" s="41" t="n">
        <v>5427</v>
      </c>
      <c r="F601" s="41" t="n">
        <v>3351</v>
      </c>
      <c r="G601" s="41" t="n">
        <v>0</v>
      </c>
      <c r="H601" s="41" t="n">
        <v>0</v>
      </c>
      <c r="I601" s="41" t="n">
        <v>1865</v>
      </c>
      <c r="J601" s="41" t="n">
        <v>0</v>
      </c>
      <c r="K601" s="41" t="n">
        <v>211</v>
      </c>
      <c r="L601" s="41" t="n">
        <v>2076</v>
      </c>
    </row>
    <row r="602" customFormat="false" ht="15.75" hidden="false" customHeight="false" outlineLevel="0" collapsed="false">
      <c r="B602" s="39" t="s">
        <v>753</v>
      </c>
      <c r="C602" s="40" t="str">
        <f aca="false">IF(B602="","",IFERROR(INDEX('CLM &amp; IM Mapping'!$B$2:$B$270,MATCH(TRIM(B602),'CLM &amp; IM Mapping'!$A$2:$A$270,0)),"Not Mapped"))</f>
        <v>Not Mapped</v>
      </c>
      <c r="D602" s="40" t="str">
        <f aca="false">IF(B602="","",IFERROR(INDEX('CLM &amp; IM Mapping'!$C$2:$C$270,MATCH(TRIM(B602),'CLM &amp; IM Mapping'!$A$2:$A$270,0)),"Not Mapped"))</f>
        <v>Not Mapped</v>
      </c>
      <c r="E602" s="41" t="n">
        <v>8776</v>
      </c>
      <c r="F602" s="41" t="n">
        <v>7880</v>
      </c>
      <c r="G602" s="41" t="n">
        <v>0</v>
      </c>
      <c r="H602" s="41" t="n">
        <v>569</v>
      </c>
      <c r="I602" s="41" t="n">
        <v>300</v>
      </c>
      <c r="J602" s="41" t="n">
        <v>27</v>
      </c>
      <c r="K602" s="41" t="n">
        <v>0</v>
      </c>
      <c r="L602" s="41" t="n">
        <v>896</v>
      </c>
    </row>
    <row r="603" customFormat="false" ht="15.75" hidden="false" customHeight="false" outlineLevel="0" collapsed="false">
      <c r="B603" s="39" t="s">
        <v>754</v>
      </c>
      <c r="C603" s="40" t="str">
        <f aca="false">IF(B603="","",IFERROR(INDEX('CLM &amp; IM Mapping'!$B$2:$B$270,MATCH(TRIM(B603),'CLM &amp; IM Mapping'!$A$2:$A$270,0)),"Not Mapped"))</f>
        <v>Not Mapped</v>
      </c>
      <c r="D603" s="40" t="str">
        <f aca="false">IF(B603="","",IFERROR(INDEX('CLM &amp; IM Mapping'!$C$2:$C$270,MATCH(TRIM(B603),'CLM &amp; IM Mapping'!$A$2:$A$270,0)),"Not Mapped"))</f>
        <v>Not Mapped</v>
      </c>
      <c r="E603" s="41" t="n">
        <v>6346</v>
      </c>
      <c r="F603" s="41" t="n">
        <v>6341</v>
      </c>
      <c r="G603" s="41" t="n">
        <v>0</v>
      </c>
      <c r="H603" s="41" t="n">
        <v>0</v>
      </c>
      <c r="I603" s="41" t="n">
        <v>0</v>
      </c>
      <c r="J603" s="41" t="n">
        <v>0</v>
      </c>
      <c r="K603" s="41" t="n">
        <v>5</v>
      </c>
      <c r="L603" s="41" t="n">
        <v>5</v>
      </c>
    </row>
    <row r="604" customFormat="false" ht="15.75" hidden="false" customHeight="false" outlineLevel="0" collapsed="false">
      <c r="B604" s="39" t="s">
        <v>755</v>
      </c>
      <c r="C604" s="40" t="str">
        <f aca="false">IF(B604="","",IFERROR(INDEX('CLM &amp; IM Mapping'!$B$2:$B$270,MATCH(TRIM(B604),'CLM &amp; IM Mapping'!$A$2:$A$270,0)),"Not Mapped"))</f>
        <v>Not Mapped</v>
      </c>
      <c r="D604" s="40" t="str">
        <f aca="false">IF(B604="","",IFERROR(INDEX('CLM &amp; IM Mapping'!$C$2:$C$270,MATCH(TRIM(B604),'CLM &amp; IM Mapping'!$A$2:$A$270,0)),"Not Mapped"))</f>
        <v>Not Mapped</v>
      </c>
      <c r="E604" s="41" t="n">
        <v>1434</v>
      </c>
      <c r="F604" s="41" t="n">
        <v>0</v>
      </c>
      <c r="G604" s="41" t="n">
        <v>0</v>
      </c>
      <c r="H604" s="41" t="n">
        <v>1434</v>
      </c>
      <c r="I604" s="41" t="n">
        <v>0</v>
      </c>
      <c r="J604" s="41" t="n">
        <v>0</v>
      </c>
      <c r="K604" s="41" t="n">
        <v>0</v>
      </c>
      <c r="L604" s="41" t="n">
        <v>1434</v>
      </c>
    </row>
    <row r="605" customFormat="false" ht="15.75" hidden="false" customHeight="false" outlineLevel="0" collapsed="false">
      <c r="B605" s="39" t="s">
        <v>756</v>
      </c>
      <c r="C605" s="40" t="str">
        <f aca="false">IF(B605="","",IFERROR(INDEX('CLM &amp; IM Mapping'!$B$2:$B$270,MATCH(TRIM(B605),'CLM &amp; IM Mapping'!$A$2:$A$270,0)),"Not Mapped"))</f>
        <v>Not Mapped</v>
      </c>
      <c r="D605" s="40" t="str">
        <f aca="false">IF(B605="","",IFERROR(INDEX('CLM &amp; IM Mapping'!$C$2:$C$270,MATCH(TRIM(B605),'CLM &amp; IM Mapping'!$A$2:$A$270,0)),"Not Mapped"))</f>
        <v>Not Mapped</v>
      </c>
      <c r="E605" s="41" t="n">
        <v>8094</v>
      </c>
      <c r="F605" s="41" t="n">
        <v>3828</v>
      </c>
      <c r="G605" s="41" t="n">
        <v>0</v>
      </c>
      <c r="H605" s="41" t="n">
        <v>571</v>
      </c>
      <c r="I605" s="41" t="n">
        <v>2753</v>
      </c>
      <c r="J605" s="41" t="n">
        <v>931</v>
      </c>
      <c r="K605" s="41" t="n">
        <v>11</v>
      </c>
      <c r="L605" s="41" t="n">
        <v>4266</v>
      </c>
    </row>
    <row r="606" customFormat="false" ht="15.75" hidden="false" customHeight="false" outlineLevel="0" collapsed="false">
      <c r="B606" s="39" t="s">
        <v>757</v>
      </c>
      <c r="C606" s="40" t="str">
        <f aca="false">IF(B606="","",IFERROR(INDEX('CLM &amp; IM Mapping'!$B$2:$B$270,MATCH(TRIM(B606),'CLM &amp; IM Mapping'!$A$2:$A$270,0)),"Not Mapped"))</f>
        <v>Not Mapped</v>
      </c>
      <c r="D606" s="40" t="str">
        <f aca="false">IF(B606="","",IFERROR(INDEX('CLM &amp; IM Mapping'!$C$2:$C$270,MATCH(TRIM(B606),'CLM &amp; IM Mapping'!$A$2:$A$270,0)),"Not Mapped"))</f>
        <v>Not Mapped</v>
      </c>
      <c r="E606" s="41" t="n">
        <v>648</v>
      </c>
      <c r="F606" s="41" t="n">
        <v>144</v>
      </c>
      <c r="G606" s="41" t="n">
        <v>122</v>
      </c>
      <c r="H606" s="41" t="n">
        <v>382</v>
      </c>
      <c r="I606" s="41" t="n">
        <v>0</v>
      </c>
      <c r="J606" s="41" t="n">
        <v>0</v>
      </c>
      <c r="K606" s="41" t="n">
        <v>0</v>
      </c>
      <c r="L606" s="41" t="n">
        <v>382</v>
      </c>
    </row>
    <row r="607" customFormat="false" ht="15.75" hidden="false" customHeight="false" outlineLevel="0" collapsed="false">
      <c r="B607" s="39" t="s">
        <v>758</v>
      </c>
      <c r="C607" s="40" t="str">
        <f aca="false">IF(B607="","",IFERROR(INDEX('CLM &amp; IM Mapping'!$B$2:$B$270,MATCH(TRIM(B607),'CLM &amp; IM Mapping'!$A$2:$A$270,0)),"Not Mapped"))</f>
        <v>Not Mapped</v>
      </c>
      <c r="D607" s="40" t="str">
        <f aca="false">IF(B607="","",IFERROR(INDEX('CLM &amp; IM Mapping'!$C$2:$C$270,MATCH(TRIM(B607),'CLM &amp; IM Mapping'!$A$2:$A$270,0)),"Not Mapped"))</f>
        <v>Not Mapped</v>
      </c>
      <c r="E607" s="41" t="n">
        <v>1975</v>
      </c>
      <c r="F607" s="41" t="n">
        <v>781</v>
      </c>
      <c r="G607" s="41" t="n">
        <v>0</v>
      </c>
      <c r="H607" s="41" t="n">
        <v>0</v>
      </c>
      <c r="I607" s="41" t="n">
        <v>1188</v>
      </c>
      <c r="J607" s="41" t="n">
        <v>0</v>
      </c>
      <c r="K607" s="41" t="n">
        <v>6</v>
      </c>
      <c r="L607" s="41" t="n">
        <v>1194</v>
      </c>
    </row>
    <row r="608" customFormat="false" ht="15.75" hidden="false" customHeight="false" outlineLevel="0" collapsed="false">
      <c r="B608" s="39" t="s">
        <v>759</v>
      </c>
      <c r="C608" s="40" t="str">
        <f aca="false">IF(B608="","",IFERROR(INDEX('CLM &amp; IM Mapping'!$B$2:$B$270,MATCH(TRIM(B608),'CLM &amp; IM Mapping'!$A$2:$A$270,0)),"Not Mapped"))</f>
        <v>Not Mapped</v>
      </c>
      <c r="D608" s="40" t="str">
        <f aca="false">IF(B608="","",IFERROR(INDEX('CLM &amp; IM Mapping'!$C$2:$C$270,MATCH(TRIM(B608),'CLM &amp; IM Mapping'!$A$2:$A$270,0)),"Not Mapped"))</f>
        <v>Not Mapped</v>
      </c>
      <c r="E608" s="41" t="n">
        <v>2467</v>
      </c>
      <c r="F608" s="41" t="n">
        <v>2426</v>
      </c>
      <c r="G608" s="41" t="n">
        <v>0</v>
      </c>
      <c r="H608" s="41" t="n">
        <v>0</v>
      </c>
      <c r="I608" s="41" t="n">
        <v>0</v>
      </c>
      <c r="J608" s="41" t="n">
        <v>0</v>
      </c>
      <c r="K608" s="41" t="n">
        <v>41</v>
      </c>
      <c r="L608" s="41" t="n">
        <v>41</v>
      </c>
    </row>
    <row r="609" customFormat="false" ht="15.75" hidden="false" customHeight="false" outlineLevel="0" collapsed="false">
      <c r="B609" s="39" t="s">
        <v>760</v>
      </c>
      <c r="C609" s="40" t="str">
        <f aca="false">IF(B609="","",IFERROR(INDEX('CLM &amp; IM Mapping'!$B$2:$B$270,MATCH(TRIM(B609),'CLM &amp; IM Mapping'!$A$2:$A$270,0)),"Not Mapped"))</f>
        <v>Not Mapped</v>
      </c>
      <c r="D609" s="40" t="str">
        <f aca="false">IF(B609="","",IFERROR(INDEX('CLM &amp; IM Mapping'!$C$2:$C$270,MATCH(TRIM(B609),'CLM &amp; IM Mapping'!$A$2:$A$270,0)),"Not Mapped"))</f>
        <v>Not Mapped</v>
      </c>
      <c r="E609" s="41" t="n">
        <v>1368</v>
      </c>
      <c r="F609" s="41" t="n">
        <v>0</v>
      </c>
      <c r="G609" s="41" t="n">
        <v>1368</v>
      </c>
      <c r="H609" s="41" t="n">
        <v>0</v>
      </c>
      <c r="I609" s="41" t="n">
        <v>0</v>
      </c>
      <c r="J609" s="41" t="n">
        <v>0</v>
      </c>
      <c r="K609" s="41" t="n">
        <v>0</v>
      </c>
      <c r="L609" s="41" t="n">
        <v>0</v>
      </c>
    </row>
    <row r="610" customFormat="false" ht="15.75" hidden="false" customHeight="false" outlineLevel="0" collapsed="false">
      <c r="B610" s="39" t="s">
        <v>761</v>
      </c>
      <c r="C610" s="40" t="str">
        <f aca="false">IF(B610="","",IFERROR(INDEX('CLM &amp; IM Mapping'!$B$2:$B$270,MATCH(TRIM(B610),'CLM &amp; IM Mapping'!$A$2:$A$270,0)),"Not Mapped"))</f>
        <v>Not Mapped</v>
      </c>
      <c r="D610" s="40" t="str">
        <f aca="false">IF(B610="","",IFERROR(INDEX('CLM &amp; IM Mapping'!$C$2:$C$270,MATCH(TRIM(B610),'CLM &amp; IM Mapping'!$A$2:$A$270,0)),"Not Mapped"))</f>
        <v>Not Mapped</v>
      </c>
      <c r="E610" s="41" t="n">
        <v>872</v>
      </c>
      <c r="F610" s="41" t="n">
        <v>69</v>
      </c>
      <c r="G610" s="41" t="n">
        <v>0</v>
      </c>
      <c r="H610" s="41" t="n">
        <v>78</v>
      </c>
      <c r="I610" s="41" t="n">
        <v>259</v>
      </c>
      <c r="J610" s="41" t="n">
        <v>0</v>
      </c>
      <c r="K610" s="41" t="n">
        <v>466</v>
      </c>
      <c r="L610" s="41" t="n">
        <v>803</v>
      </c>
    </row>
    <row r="611" customFormat="false" ht="15.75" hidden="false" customHeight="false" outlineLevel="0" collapsed="false">
      <c r="B611" s="39" t="s">
        <v>762</v>
      </c>
      <c r="C611" s="40" t="str">
        <f aca="false">IF(B611="","",IFERROR(INDEX('CLM &amp; IM Mapping'!$B$2:$B$270,MATCH(TRIM(B611),'CLM &amp; IM Mapping'!$A$2:$A$270,0)),"Not Mapped"))</f>
        <v>Not Mapped</v>
      </c>
      <c r="D611" s="40" t="str">
        <f aca="false">IF(B611="","",IFERROR(INDEX('CLM &amp; IM Mapping'!$C$2:$C$270,MATCH(TRIM(B611),'CLM &amp; IM Mapping'!$A$2:$A$270,0)),"Not Mapped"))</f>
        <v>Not Mapped</v>
      </c>
      <c r="E611" s="41" t="n">
        <v>134</v>
      </c>
      <c r="F611" s="41" t="n">
        <v>0</v>
      </c>
      <c r="G611" s="41" t="n">
        <v>0</v>
      </c>
      <c r="H611" s="41" t="n">
        <v>109</v>
      </c>
      <c r="I611" s="41" t="n">
        <v>0</v>
      </c>
      <c r="J611" s="41" t="n">
        <v>25</v>
      </c>
      <c r="K611" s="41" t="n">
        <v>0</v>
      </c>
      <c r="L611" s="41" t="n">
        <v>134</v>
      </c>
    </row>
    <row r="612" customFormat="false" ht="15.75" hidden="false" customHeight="false" outlineLevel="0" collapsed="false">
      <c r="B612" s="39" t="s">
        <v>763</v>
      </c>
      <c r="C612" s="40" t="str">
        <f aca="false">IF(B612="","",IFERROR(INDEX('CLM &amp; IM Mapping'!$B$2:$B$270,MATCH(TRIM(B612),'CLM &amp; IM Mapping'!$A$2:$A$270,0)),"Not Mapped"))</f>
        <v>Not Mapped</v>
      </c>
      <c r="D612" s="40" t="str">
        <f aca="false">IF(B612="","",IFERROR(INDEX('CLM &amp; IM Mapping'!$C$2:$C$270,MATCH(TRIM(B612),'CLM &amp; IM Mapping'!$A$2:$A$270,0)),"Not Mapped"))</f>
        <v>Not Mapped</v>
      </c>
      <c r="E612" s="41" t="n">
        <v>2930</v>
      </c>
      <c r="F612" s="41" t="n">
        <v>762</v>
      </c>
      <c r="G612" s="41" t="n">
        <v>2168</v>
      </c>
      <c r="H612" s="41" t="n">
        <v>0</v>
      </c>
      <c r="I612" s="41" t="n">
        <v>0</v>
      </c>
      <c r="J612" s="41" t="n">
        <v>0</v>
      </c>
      <c r="K612" s="41" t="n">
        <v>0</v>
      </c>
      <c r="L612" s="41" t="n">
        <v>0</v>
      </c>
    </row>
    <row r="613" customFormat="false" ht="15.75" hidden="false" customHeight="false" outlineLevel="0" collapsed="false">
      <c r="B613" s="39" t="s">
        <v>764</v>
      </c>
      <c r="C613" s="40" t="str">
        <f aca="false">IF(B613="","",IFERROR(INDEX('CLM &amp; IM Mapping'!$B$2:$B$270,MATCH(TRIM(B613),'CLM &amp; IM Mapping'!$A$2:$A$270,0)),"Not Mapped"))</f>
        <v>Not Mapped</v>
      </c>
      <c r="D613" s="40" t="str">
        <f aca="false">IF(B613="","",IFERROR(INDEX('CLM &amp; IM Mapping'!$C$2:$C$270,MATCH(TRIM(B613),'CLM &amp; IM Mapping'!$A$2:$A$270,0)),"Not Mapped"))</f>
        <v>Not Mapped</v>
      </c>
      <c r="E613" s="41" t="n">
        <v>944</v>
      </c>
      <c r="F613" s="41" t="n">
        <v>0</v>
      </c>
      <c r="G613" s="41" t="n">
        <v>714</v>
      </c>
      <c r="H613" s="41" t="n">
        <v>0</v>
      </c>
      <c r="I613" s="41" t="n">
        <v>81</v>
      </c>
      <c r="J613" s="41" t="n">
        <v>0</v>
      </c>
      <c r="K613" s="41" t="n">
        <v>149</v>
      </c>
      <c r="L613" s="41" t="n">
        <v>230</v>
      </c>
    </row>
    <row r="614" customFormat="false" ht="15.75" hidden="false" customHeight="false" outlineLevel="0" collapsed="false">
      <c r="B614" s="39" t="s">
        <v>765</v>
      </c>
      <c r="C614" s="40" t="str">
        <f aca="false">IF(B614="","",IFERROR(INDEX('CLM &amp; IM Mapping'!$B$2:$B$270,MATCH(TRIM(B614),'CLM &amp; IM Mapping'!$A$2:$A$270,0)),"Not Mapped"))</f>
        <v>Not Mapped</v>
      </c>
      <c r="D614" s="40" t="str">
        <f aca="false">IF(B614="","",IFERROR(INDEX('CLM &amp; IM Mapping'!$C$2:$C$270,MATCH(TRIM(B614),'CLM &amp; IM Mapping'!$A$2:$A$270,0)),"Not Mapped"))</f>
        <v>Not Mapped</v>
      </c>
      <c r="E614" s="41" t="n">
        <v>2361</v>
      </c>
      <c r="F614" s="41" t="n">
        <v>201</v>
      </c>
      <c r="G614" s="41" t="n">
        <v>2160</v>
      </c>
      <c r="H614" s="41" t="n">
        <v>0</v>
      </c>
      <c r="I614" s="41" t="n">
        <v>0</v>
      </c>
      <c r="J614" s="41" t="n">
        <v>0</v>
      </c>
      <c r="K614" s="41" t="n">
        <v>0</v>
      </c>
      <c r="L614" s="41" t="n">
        <v>0</v>
      </c>
    </row>
    <row r="615" customFormat="false" ht="15.75" hidden="false" customHeight="false" outlineLevel="0" collapsed="false">
      <c r="B615" s="39" t="s">
        <v>766</v>
      </c>
      <c r="C615" s="40" t="str">
        <f aca="false">IF(B615="","",IFERROR(INDEX('CLM &amp; IM Mapping'!$B$2:$B$270,MATCH(TRIM(B615),'CLM &amp; IM Mapping'!$A$2:$A$270,0)),"Not Mapped"))</f>
        <v>Not Mapped</v>
      </c>
      <c r="D615" s="40" t="str">
        <f aca="false">IF(B615="","",IFERROR(INDEX('CLM &amp; IM Mapping'!$C$2:$C$270,MATCH(TRIM(B615),'CLM &amp; IM Mapping'!$A$2:$A$270,0)),"Not Mapped"))</f>
        <v>Not Mapped</v>
      </c>
      <c r="E615" s="41" t="n">
        <v>3715</v>
      </c>
      <c r="F615" s="41" t="n">
        <v>2568</v>
      </c>
      <c r="G615" s="41" t="n">
        <v>1147</v>
      </c>
      <c r="H615" s="41" t="n">
        <v>0</v>
      </c>
      <c r="I615" s="41" t="n">
        <v>0</v>
      </c>
      <c r="J615" s="41" t="n">
        <v>0</v>
      </c>
      <c r="K615" s="41" t="n">
        <v>0</v>
      </c>
      <c r="L615" s="41" t="n">
        <v>0</v>
      </c>
    </row>
    <row r="616" customFormat="false" ht="15.75" hidden="false" customHeight="false" outlineLevel="0" collapsed="false">
      <c r="B616" s="39" t="s">
        <v>767</v>
      </c>
      <c r="C616" s="40" t="str">
        <f aca="false">IF(B616="","",IFERROR(INDEX('CLM &amp; IM Mapping'!$B$2:$B$270,MATCH(TRIM(B616),'CLM &amp; IM Mapping'!$A$2:$A$270,0)),"Not Mapped"))</f>
        <v>Not Mapped</v>
      </c>
      <c r="D616" s="40" t="str">
        <f aca="false">IF(B616="","",IFERROR(INDEX('CLM &amp; IM Mapping'!$C$2:$C$270,MATCH(TRIM(B616),'CLM &amp; IM Mapping'!$A$2:$A$270,0)),"Not Mapped"))</f>
        <v>Not Mapped</v>
      </c>
      <c r="E616" s="41" t="n">
        <v>2902</v>
      </c>
      <c r="F616" s="41" t="n">
        <v>391</v>
      </c>
      <c r="G616" s="41" t="n">
        <v>2511</v>
      </c>
      <c r="H616" s="41" t="n">
        <v>0</v>
      </c>
      <c r="I616" s="41" t="n">
        <v>0</v>
      </c>
      <c r="J616" s="41" t="n">
        <v>0</v>
      </c>
      <c r="K616" s="41" t="n">
        <v>0</v>
      </c>
      <c r="L616" s="41" t="n">
        <v>0</v>
      </c>
    </row>
    <row r="617" customFormat="false" ht="15.75" hidden="false" customHeight="false" outlineLevel="0" collapsed="false">
      <c r="B617" s="39" t="s">
        <v>768</v>
      </c>
      <c r="C617" s="40" t="str">
        <f aca="false">IF(B617="","",IFERROR(INDEX('CLM &amp; IM Mapping'!$B$2:$B$270,MATCH(TRIM(B617),'CLM &amp; IM Mapping'!$A$2:$A$270,0)),"Not Mapped"))</f>
        <v>Not Mapped</v>
      </c>
      <c r="D617" s="40" t="str">
        <f aca="false">IF(B617="","",IFERROR(INDEX('CLM &amp; IM Mapping'!$C$2:$C$270,MATCH(TRIM(B617),'CLM &amp; IM Mapping'!$A$2:$A$270,0)),"Not Mapped"))</f>
        <v>Not Mapped</v>
      </c>
      <c r="E617" s="41" t="n">
        <v>2026</v>
      </c>
      <c r="F617" s="41" t="n">
        <v>0</v>
      </c>
      <c r="G617" s="41" t="n">
        <v>2026</v>
      </c>
      <c r="H617" s="41" t="n">
        <v>0</v>
      </c>
      <c r="I617" s="41" t="n">
        <v>0</v>
      </c>
      <c r="J617" s="41" t="n">
        <v>0</v>
      </c>
      <c r="K617" s="41" t="n">
        <v>0</v>
      </c>
      <c r="L617" s="41" t="n">
        <v>0</v>
      </c>
    </row>
    <row r="618" customFormat="false" ht="15.75" hidden="false" customHeight="false" outlineLevel="0" collapsed="false">
      <c r="B618" s="39" t="s">
        <v>769</v>
      </c>
      <c r="C618" s="40" t="str">
        <f aca="false">IF(B618="","",IFERROR(INDEX('CLM &amp; IM Mapping'!$B$2:$B$270,MATCH(TRIM(B618),'CLM &amp; IM Mapping'!$A$2:$A$270,0)),"Not Mapped"))</f>
        <v>Not Mapped</v>
      </c>
      <c r="D618" s="40" t="str">
        <f aca="false">IF(B618="","",IFERROR(INDEX('CLM &amp; IM Mapping'!$C$2:$C$270,MATCH(TRIM(B618),'CLM &amp; IM Mapping'!$A$2:$A$270,0)),"Not Mapped"))</f>
        <v>Not Mapped</v>
      </c>
      <c r="E618" s="41" t="n">
        <v>8297</v>
      </c>
      <c r="F618" s="41" t="n">
        <v>0</v>
      </c>
      <c r="G618" s="41" t="n">
        <v>0</v>
      </c>
      <c r="H618" s="41" t="n">
        <v>8297</v>
      </c>
      <c r="I618" s="41" t="n">
        <v>0</v>
      </c>
      <c r="J618" s="41" t="n">
        <v>0</v>
      </c>
      <c r="K618" s="41" t="n">
        <v>0</v>
      </c>
      <c r="L618" s="41" t="n">
        <v>8297</v>
      </c>
    </row>
    <row r="619" customFormat="false" ht="15.75" hidden="false" customHeight="false" outlineLevel="0" collapsed="false">
      <c r="B619" s="39" t="s">
        <v>770</v>
      </c>
      <c r="C619" s="40" t="str">
        <f aca="false">IF(B619="","",IFERROR(INDEX('CLM &amp; IM Mapping'!$B$2:$B$270,MATCH(TRIM(B619),'CLM &amp; IM Mapping'!$A$2:$A$270,0)),"Not Mapped"))</f>
        <v>Not Mapped</v>
      </c>
      <c r="D619" s="40" t="str">
        <f aca="false">IF(B619="","",IFERROR(INDEX('CLM &amp; IM Mapping'!$C$2:$C$270,MATCH(TRIM(B619),'CLM &amp; IM Mapping'!$A$2:$A$270,0)),"Not Mapped"))</f>
        <v>Not Mapped</v>
      </c>
      <c r="E619" s="41" t="n">
        <v>6761</v>
      </c>
      <c r="F619" s="41" t="n">
        <v>252</v>
      </c>
      <c r="G619" s="41" t="n">
        <v>6509</v>
      </c>
      <c r="H619" s="41" t="n">
        <v>0</v>
      </c>
      <c r="I619" s="41" t="n">
        <v>0</v>
      </c>
      <c r="J619" s="41" t="n">
        <v>0</v>
      </c>
      <c r="K619" s="41" t="n">
        <v>0</v>
      </c>
      <c r="L619" s="41" t="n">
        <v>0</v>
      </c>
    </row>
    <row r="620" customFormat="false" ht="15.75" hidden="false" customHeight="false" outlineLevel="0" collapsed="false">
      <c r="B620" s="39" t="s">
        <v>771</v>
      </c>
      <c r="C620" s="40" t="str">
        <f aca="false">IF(B620="","",IFERROR(INDEX('CLM &amp; IM Mapping'!$B$2:$B$270,MATCH(TRIM(B620),'CLM &amp; IM Mapping'!$A$2:$A$270,0)),"Not Mapped"))</f>
        <v>Not Mapped</v>
      </c>
      <c r="D620" s="40" t="str">
        <f aca="false">IF(B620="","",IFERROR(INDEX('CLM &amp; IM Mapping'!$C$2:$C$270,MATCH(TRIM(B620),'CLM &amp; IM Mapping'!$A$2:$A$270,0)),"Not Mapped"))</f>
        <v>Not Mapped</v>
      </c>
      <c r="E620" s="41" t="n">
        <v>6314</v>
      </c>
      <c r="F620" s="41" t="n">
        <v>737</v>
      </c>
      <c r="G620" s="41" t="n">
        <v>4144</v>
      </c>
      <c r="H620" s="41" t="n">
        <v>0</v>
      </c>
      <c r="I620" s="41" t="n">
        <v>1433</v>
      </c>
      <c r="J620" s="41" t="n">
        <v>0</v>
      </c>
      <c r="K620" s="41" t="n">
        <v>0</v>
      </c>
      <c r="L620" s="41" t="n">
        <v>1433</v>
      </c>
    </row>
    <row r="621" customFormat="false" ht="15.75" hidden="false" customHeight="false" outlineLevel="0" collapsed="false">
      <c r="B621" s="23" t="s">
        <v>772</v>
      </c>
      <c r="C621" s="44" t="str">
        <f aca="false">IF(B621="","",IFERROR(INDEX('CLM &amp; IM Mapping'!$B$2:$B$270,MATCH(TRIM(B621),'CLM &amp; IM Mapping'!$A$2:$A$270,0)),"Not Mapped"))</f>
        <v>Not Mapped</v>
      </c>
      <c r="D621" s="44" t="str">
        <f aca="false">IF(B621="","",IFERROR(INDEX('CLM &amp; IM Mapping'!$C$2:$C$270,MATCH(TRIM(B621),'CLM &amp; IM Mapping'!$A$2:$A$270,0)),"Not Mapped"))</f>
        <v>Not Mapped</v>
      </c>
      <c r="E621" s="41" t="n">
        <v>1593</v>
      </c>
      <c r="F621" s="41" t="n">
        <v>1593</v>
      </c>
      <c r="G621" s="41" t="n">
        <v>0</v>
      </c>
      <c r="H621" s="41" t="n">
        <v>0</v>
      </c>
      <c r="I621" s="41" t="n">
        <v>0</v>
      </c>
      <c r="J621" s="41" t="n">
        <v>0</v>
      </c>
      <c r="K621" s="41" t="n">
        <v>0</v>
      </c>
      <c r="L621" s="41" t="n">
        <v>0</v>
      </c>
    </row>
    <row r="622" customFormat="false" ht="15.75" hidden="false" customHeight="false" outlineLevel="0" collapsed="false">
      <c r="B622" s="39" t="s">
        <v>773</v>
      </c>
      <c r="C622" s="40" t="str">
        <f aca="false">IF(B622="","",IFERROR(INDEX('CLM &amp; IM Mapping'!$B$2:$B$270,MATCH(TRIM(B622),'CLM &amp; IM Mapping'!$A$2:$A$270,0)),"Not Mapped"))</f>
        <v>Not Mapped</v>
      </c>
      <c r="D622" s="40" t="str">
        <f aca="false">IF(B622="","",IFERROR(INDEX('CLM &amp; IM Mapping'!$C$2:$C$270,MATCH(TRIM(B622),'CLM &amp; IM Mapping'!$A$2:$A$270,0)),"Not Mapped"))</f>
        <v>Not Mapped</v>
      </c>
      <c r="E622" s="41" t="n">
        <v>2575</v>
      </c>
      <c r="F622" s="41" t="n">
        <v>2575</v>
      </c>
      <c r="G622" s="41" t="n">
        <v>0</v>
      </c>
      <c r="H622" s="41" t="n">
        <v>0</v>
      </c>
      <c r="I622" s="41" t="n">
        <v>0</v>
      </c>
      <c r="J622" s="41" t="n">
        <v>0</v>
      </c>
      <c r="K622" s="41" t="n">
        <v>0</v>
      </c>
      <c r="L622" s="41" t="n">
        <v>0</v>
      </c>
    </row>
    <row r="623" customFormat="false" ht="15.75" hidden="false" customHeight="false" outlineLevel="0" collapsed="false">
      <c r="B623" s="39" t="s">
        <v>774</v>
      </c>
      <c r="C623" s="40" t="str">
        <f aca="false">IF(B623="","",IFERROR(INDEX('CLM &amp; IM Mapping'!$B$2:$B$270,MATCH(TRIM(B623),'CLM &amp; IM Mapping'!$A$2:$A$270,0)),"Not Mapped"))</f>
        <v>Not Mapped</v>
      </c>
      <c r="D623" s="40" t="str">
        <f aca="false">IF(B623="","",IFERROR(INDEX('CLM &amp; IM Mapping'!$C$2:$C$270,MATCH(TRIM(B623),'CLM &amp; IM Mapping'!$A$2:$A$270,0)),"Not Mapped"))</f>
        <v>Not Mapped</v>
      </c>
      <c r="E623" s="41" t="n">
        <v>5949</v>
      </c>
      <c r="F623" s="41" t="n">
        <v>5949</v>
      </c>
      <c r="G623" s="41" t="n">
        <v>0</v>
      </c>
      <c r="H623" s="41" t="n">
        <v>0</v>
      </c>
      <c r="I623" s="41" t="n">
        <v>0</v>
      </c>
      <c r="J623" s="41" t="n">
        <v>0</v>
      </c>
      <c r="K623" s="41" t="n">
        <v>0</v>
      </c>
      <c r="L623" s="41" t="n">
        <v>0</v>
      </c>
    </row>
    <row r="624" customFormat="false" ht="15.75" hidden="false" customHeight="false" outlineLevel="0" collapsed="false">
      <c r="B624" s="39" t="s">
        <v>775</v>
      </c>
      <c r="C624" s="40" t="str">
        <f aca="false">IF(B624="","",IFERROR(INDEX('CLM &amp; IM Mapping'!$B$2:$B$270,MATCH(TRIM(B624),'CLM &amp; IM Mapping'!$A$2:$A$270,0)),"Not Mapped"))</f>
        <v>Not Mapped</v>
      </c>
      <c r="D624" s="40" t="str">
        <f aca="false">IF(B624="","",IFERROR(INDEX('CLM &amp; IM Mapping'!$C$2:$C$270,MATCH(TRIM(B624),'CLM &amp; IM Mapping'!$A$2:$A$270,0)),"Not Mapped"))</f>
        <v>Not Mapped</v>
      </c>
      <c r="E624" s="41" t="n">
        <v>3381</v>
      </c>
      <c r="F624" s="41" t="n">
        <v>0</v>
      </c>
      <c r="G624" s="41" t="n">
        <v>1225</v>
      </c>
      <c r="H624" s="41" t="n">
        <v>1104</v>
      </c>
      <c r="I624" s="41" t="n">
        <v>0</v>
      </c>
      <c r="J624" s="41" t="n">
        <v>176</v>
      </c>
      <c r="K624" s="41" t="n">
        <v>876</v>
      </c>
      <c r="L624" s="41" t="n">
        <v>1052</v>
      </c>
    </row>
    <row r="625" customFormat="false" ht="15.75" hidden="false" customHeight="false" outlineLevel="0" collapsed="false">
      <c r="B625" s="39" t="s">
        <v>776</v>
      </c>
      <c r="C625" s="40" t="str">
        <f aca="false">IF(B625="","",IFERROR(INDEX('CLM &amp; IM Mapping'!$B$2:$B$270,MATCH(TRIM(B625),'CLM &amp; IM Mapping'!$A$2:$A$270,0)),"Not Mapped"))</f>
        <v>Not Mapped</v>
      </c>
      <c r="D625" s="40" t="str">
        <f aca="false">IF(B625="","",IFERROR(INDEX('CLM &amp; IM Mapping'!$C$2:$C$270,MATCH(TRIM(B625),'CLM &amp; IM Mapping'!$A$2:$A$270,0)),"Not Mapped"))</f>
        <v>Not Mapped</v>
      </c>
      <c r="E625" s="41" t="n">
        <v>768</v>
      </c>
      <c r="F625" s="41" t="n">
        <v>0</v>
      </c>
      <c r="G625" s="41" t="n">
        <v>40</v>
      </c>
      <c r="H625" s="41" t="n">
        <v>728</v>
      </c>
      <c r="I625" s="41" t="n">
        <v>0</v>
      </c>
      <c r="J625" s="41" t="n">
        <v>0</v>
      </c>
      <c r="K625" s="41" t="n">
        <v>0</v>
      </c>
      <c r="L625" s="41" t="n">
        <v>0</v>
      </c>
    </row>
    <row r="626" customFormat="false" ht="15.75" hidden="false" customHeight="false" outlineLevel="0" collapsed="false">
      <c r="B626" s="39" t="s">
        <v>777</v>
      </c>
      <c r="C626" s="40" t="str">
        <f aca="false">IF(B626="","",IFERROR(INDEX('CLM &amp; IM Mapping'!$B$2:$B$270,MATCH(TRIM(B626),'CLM &amp; IM Mapping'!$A$2:$A$270,0)),"Not Mapped"))</f>
        <v>Not Mapped</v>
      </c>
      <c r="D626" s="40" t="str">
        <f aca="false">IF(B626="","",IFERROR(INDEX('CLM &amp; IM Mapping'!$C$2:$C$270,MATCH(TRIM(B626),'CLM &amp; IM Mapping'!$A$2:$A$270,0)),"Not Mapped"))</f>
        <v>Not Mapped</v>
      </c>
      <c r="E626" s="41" t="n">
        <v>435</v>
      </c>
      <c r="F626" s="41" t="n">
        <v>0</v>
      </c>
      <c r="G626" s="41" t="n">
        <v>0</v>
      </c>
      <c r="H626" s="41" t="n">
        <v>0</v>
      </c>
      <c r="I626" s="41" t="n">
        <v>0</v>
      </c>
      <c r="J626" s="41" t="n">
        <v>435</v>
      </c>
      <c r="K626" s="41" t="n">
        <v>0</v>
      </c>
      <c r="L626" s="41" t="n">
        <v>435</v>
      </c>
    </row>
    <row r="627" customFormat="false" ht="15.75" hidden="false" customHeight="false" outlineLevel="0" collapsed="false">
      <c r="B627" s="39" t="s">
        <v>778</v>
      </c>
      <c r="C627" s="40" t="str">
        <f aca="false">IF(B627="","",IFERROR(INDEX('CLM &amp; IM Mapping'!$B$2:$B$270,MATCH(TRIM(B627),'CLM &amp; IM Mapping'!$A$2:$A$270,0)),"Not Mapped"))</f>
        <v>Not Mapped</v>
      </c>
      <c r="D627" s="40" t="str">
        <f aca="false">IF(B627="","",IFERROR(INDEX('CLM &amp; IM Mapping'!$C$2:$C$270,MATCH(TRIM(B627),'CLM &amp; IM Mapping'!$A$2:$A$270,0)),"Not Mapped"))</f>
        <v>Not Mapped</v>
      </c>
      <c r="E627" s="41" t="n">
        <v>2562</v>
      </c>
      <c r="F627" s="41" t="n">
        <v>1592</v>
      </c>
      <c r="G627" s="41" t="n">
        <v>970</v>
      </c>
      <c r="H627" s="41" t="n">
        <v>0</v>
      </c>
      <c r="I627" s="41" t="n">
        <v>0</v>
      </c>
      <c r="J627" s="41" t="n">
        <v>0</v>
      </c>
      <c r="K627" s="41" t="n">
        <v>0</v>
      </c>
      <c r="L627" s="41" t="n">
        <v>0</v>
      </c>
    </row>
    <row r="628" customFormat="false" ht="15.75" hidden="false" customHeight="false" outlineLevel="0" collapsed="false">
      <c r="B628" s="39" t="s">
        <v>779</v>
      </c>
      <c r="C628" s="40" t="str">
        <f aca="false">IF(B628="","",IFERROR(INDEX('CLM &amp; IM Mapping'!$B$2:$B$270,MATCH(TRIM(B628),'CLM &amp; IM Mapping'!$A$2:$A$270,0)),"Not Mapped"))</f>
        <v>Not Mapped</v>
      </c>
      <c r="D628" s="40" t="str">
        <f aca="false">IF(B628="","",IFERROR(INDEX('CLM &amp; IM Mapping'!$C$2:$C$270,MATCH(TRIM(B628),'CLM &amp; IM Mapping'!$A$2:$A$270,0)),"Not Mapped"))</f>
        <v>Not Mapped</v>
      </c>
      <c r="E628" s="41" t="n">
        <v>61</v>
      </c>
      <c r="F628" s="41" t="n">
        <v>0</v>
      </c>
      <c r="G628" s="41" t="n">
        <v>0</v>
      </c>
      <c r="H628" s="41" t="n">
        <v>0</v>
      </c>
      <c r="I628" s="41" t="n">
        <v>0</v>
      </c>
      <c r="J628" s="41" t="n">
        <v>0</v>
      </c>
      <c r="K628" s="41" t="n">
        <v>61</v>
      </c>
      <c r="L628" s="41" t="n">
        <v>61</v>
      </c>
    </row>
    <row r="629" customFormat="false" ht="15.75" hidden="false" customHeight="false" outlineLevel="0" collapsed="false">
      <c r="B629" s="39" t="s">
        <v>780</v>
      </c>
      <c r="C629" s="40" t="str">
        <f aca="false">IF(B629="","",IFERROR(INDEX('CLM &amp; IM Mapping'!$B$2:$B$270,MATCH(TRIM(B629),'CLM &amp; IM Mapping'!$A$2:$A$270,0)),"Not Mapped"))</f>
        <v>Not Mapped</v>
      </c>
      <c r="D629" s="40" t="str">
        <f aca="false">IF(B629="","",IFERROR(INDEX('CLM &amp; IM Mapping'!$C$2:$C$270,MATCH(TRIM(B629),'CLM &amp; IM Mapping'!$A$2:$A$270,0)),"Not Mapped"))</f>
        <v>Not Mapped</v>
      </c>
      <c r="E629" s="41" t="n">
        <v>11</v>
      </c>
      <c r="F629" s="41" t="n">
        <v>11</v>
      </c>
      <c r="G629" s="41" t="n">
        <v>0</v>
      </c>
      <c r="H629" s="41" t="n">
        <v>0</v>
      </c>
      <c r="I629" s="41" t="n">
        <v>0</v>
      </c>
      <c r="J629" s="41" t="n">
        <v>0</v>
      </c>
      <c r="K629" s="41" t="n">
        <v>0</v>
      </c>
      <c r="L629" s="41" t="n">
        <v>0</v>
      </c>
    </row>
    <row r="630" customFormat="false" ht="15.75" hidden="false" customHeight="false" outlineLevel="0" collapsed="false">
      <c r="B630" s="39" t="s">
        <v>781</v>
      </c>
      <c r="C630" s="40" t="str">
        <f aca="false">IF(B630="","",IFERROR(INDEX('CLM &amp; IM Mapping'!$B$2:$B$270,MATCH(TRIM(B630),'CLM &amp; IM Mapping'!$A$2:$A$270,0)),"Not Mapped"))</f>
        <v>Not Mapped</v>
      </c>
      <c r="D630" s="40" t="str">
        <f aca="false">IF(B630="","",IFERROR(INDEX('CLM &amp; IM Mapping'!$C$2:$C$270,MATCH(TRIM(B630),'CLM &amp; IM Mapping'!$A$2:$A$270,0)),"Not Mapped"))</f>
        <v>Not Mapped</v>
      </c>
      <c r="E630" s="41" t="n">
        <v>3519</v>
      </c>
      <c r="F630" s="41" t="n">
        <v>3513</v>
      </c>
      <c r="G630" s="41" t="n">
        <v>0</v>
      </c>
      <c r="H630" s="41" t="n">
        <v>6</v>
      </c>
      <c r="I630" s="41" t="n">
        <v>0</v>
      </c>
      <c r="J630" s="41" t="n">
        <v>0</v>
      </c>
      <c r="K630" s="41" t="n">
        <v>0</v>
      </c>
      <c r="L630" s="41" t="n">
        <v>6</v>
      </c>
    </row>
    <row r="631" customFormat="false" ht="15.75" hidden="false" customHeight="false" outlineLevel="0" collapsed="false">
      <c r="B631" s="39" t="s">
        <v>782</v>
      </c>
      <c r="C631" s="40" t="str">
        <f aca="false">IF(B631="","",IFERROR(INDEX('CLM &amp; IM Mapping'!$B$2:$B$270,MATCH(TRIM(B631),'CLM &amp; IM Mapping'!$A$2:$A$270,0)),"Not Mapped"))</f>
        <v>Not Mapped</v>
      </c>
      <c r="D631" s="40" t="str">
        <f aca="false">IF(B631="","",IFERROR(INDEX('CLM &amp; IM Mapping'!$C$2:$C$270,MATCH(TRIM(B631),'CLM &amp; IM Mapping'!$A$2:$A$270,0)),"Not Mapped"))</f>
        <v>Not Mapped</v>
      </c>
      <c r="E631" s="41" t="n">
        <v>0</v>
      </c>
      <c r="F631" s="41" t="n">
        <v>0</v>
      </c>
      <c r="G631" s="41" t="n">
        <v>0</v>
      </c>
      <c r="H631" s="41" t="n">
        <v>0</v>
      </c>
      <c r="I631" s="41" t="n">
        <v>0</v>
      </c>
      <c r="J631" s="41" t="n">
        <v>0</v>
      </c>
      <c r="K631" s="41" t="n">
        <v>0</v>
      </c>
      <c r="L631" s="41" t="n">
        <v>0</v>
      </c>
    </row>
    <row r="632" customFormat="false" ht="15.75" hidden="false" customHeight="false" outlineLevel="0" collapsed="false">
      <c r="B632" s="50" t="s">
        <v>783</v>
      </c>
      <c r="C632" s="40" t="str">
        <f aca="false">IF(B632="","",IFERROR(INDEX('CLM &amp; IM Mapping'!$B$2:$B$270,MATCH(TRIM(B632),'CLM &amp; IM Mapping'!$A$2:$A$270,0)),"Not Mapped"))</f>
        <v>Not Mapped</v>
      </c>
      <c r="D632" s="40" t="str">
        <f aca="false">IF(B632="","",IFERROR(INDEX('CLM &amp; IM Mapping'!$C$2:$C$270,MATCH(TRIM(B632),'CLM &amp; IM Mapping'!$A$2:$A$270,0)),"Not Mapped"))</f>
        <v>Not Mapped</v>
      </c>
      <c r="E632" s="41" t="n">
        <v>1886</v>
      </c>
      <c r="F632" s="41" t="n">
        <v>11</v>
      </c>
      <c r="G632" s="41" t="n">
        <v>1875</v>
      </c>
      <c r="H632" s="41" t="n">
        <v>0</v>
      </c>
      <c r="I632" s="41" t="n">
        <v>0</v>
      </c>
      <c r="J632" s="41" t="n">
        <v>0</v>
      </c>
      <c r="K632" s="41" t="n">
        <v>0</v>
      </c>
      <c r="L632" s="41" t="n">
        <v>0</v>
      </c>
    </row>
    <row r="633" customFormat="false" ht="15.75" hidden="false" customHeight="false" outlineLevel="0" collapsed="false">
      <c r="B633" s="39" t="s">
        <v>784</v>
      </c>
      <c r="C633" s="40" t="str">
        <f aca="false">IF(B633="","",IFERROR(INDEX('CLM &amp; IM Mapping'!$B$2:$B$270,MATCH(TRIM(B633),'CLM &amp; IM Mapping'!$A$2:$A$270,0)),"Not Mapped"))</f>
        <v>Not Mapped</v>
      </c>
      <c r="D633" s="40" t="str">
        <f aca="false">IF(B633="","",IFERROR(INDEX('CLM &amp; IM Mapping'!$C$2:$C$270,MATCH(TRIM(B633),'CLM &amp; IM Mapping'!$A$2:$A$270,0)),"Not Mapped"))</f>
        <v>Not Mapped</v>
      </c>
      <c r="E633" s="41" t="n">
        <v>0</v>
      </c>
      <c r="F633" s="41" t="n">
        <v>0</v>
      </c>
      <c r="G633" s="41" t="n">
        <v>0</v>
      </c>
      <c r="H633" s="41" t="n">
        <v>0</v>
      </c>
      <c r="I633" s="41" t="n">
        <v>0</v>
      </c>
      <c r="J633" s="41" t="n">
        <v>0</v>
      </c>
      <c r="K633" s="41" t="n">
        <v>0</v>
      </c>
      <c r="L633" s="41" t="n">
        <v>0</v>
      </c>
    </row>
    <row r="634" customFormat="false" ht="15.75" hidden="false" customHeight="false" outlineLevel="0" collapsed="false">
      <c r="B634" s="39" t="s">
        <v>785</v>
      </c>
      <c r="C634" s="40" t="str">
        <f aca="false">IF(B634="","",IFERROR(INDEX('CLM &amp; IM Mapping'!$B$2:$B$270,MATCH(TRIM(B634),'CLM &amp; IM Mapping'!$A$2:$A$270,0)),"Not Mapped"))</f>
        <v>Not Mapped</v>
      </c>
      <c r="D634" s="40" t="str">
        <f aca="false">IF(B634="","",IFERROR(INDEX('CLM &amp; IM Mapping'!$C$2:$C$270,MATCH(TRIM(B634),'CLM &amp; IM Mapping'!$A$2:$A$270,0)),"Not Mapped"))</f>
        <v>Not Mapped</v>
      </c>
      <c r="E634" s="41" t="n">
        <v>0</v>
      </c>
      <c r="F634" s="41" t="n">
        <v>0</v>
      </c>
      <c r="G634" s="41" t="n">
        <v>0</v>
      </c>
      <c r="H634" s="41" t="n">
        <v>0</v>
      </c>
      <c r="I634" s="41" t="n">
        <v>0</v>
      </c>
      <c r="J634" s="41" t="n">
        <v>0</v>
      </c>
      <c r="K634" s="41" t="n">
        <v>0</v>
      </c>
      <c r="L634" s="41" t="n">
        <v>0</v>
      </c>
    </row>
    <row r="635" customFormat="false" ht="15.75" hidden="false" customHeight="false" outlineLevel="0" collapsed="false">
      <c r="B635" s="39" t="s">
        <v>786</v>
      </c>
      <c r="C635" s="40" t="str">
        <f aca="false">IF(B635="","",IFERROR(INDEX('CLM &amp; IM Mapping'!$B$2:$B$270,MATCH(TRIM(B635),'CLM &amp; IM Mapping'!$A$2:$A$270,0)),"Not Mapped"))</f>
        <v>Not Mapped</v>
      </c>
      <c r="D635" s="40" t="str">
        <f aca="false">IF(B635="","",IFERROR(INDEX('CLM &amp; IM Mapping'!$C$2:$C$270,MATCH(TRIM(B635),'CLM &amp; IM Mapping'!$A$2:$A$270,0)),"Not Mapped"))</f>
        <v>Not Mapped</v>
      </c>
      <c r="E635" s="41" t="n">
        <v>1874</v>
      </c>
      <c r="F635" s="41" t="n">
        <v>0</v>
      </c>
      <c r="G635" s="41" t="n">
        <v>0</v>
      </c>
      <c r="H635" s="41" t="n">
        <v>1320</v>
      </c>
      <c r="I635" s="41" t="n">
        <v>0</v>
      </c>
      <c r="J635" s="41" t="n">
        <v>554</v>
      </c>
      <c r="K635" s="41" t="n">
        <v>0</v>
      </c>
      <c r="L635" s="41" t="n">
        <v>554</v>
      </c>
    </row>
    <row r="636" customFormat="false" ht="15.75" hidden="false" customHeight="false" outlineLevel="0" collapsed="false">
      <c r="B636" s="39" t="s">
        <v>787</v>
      </c>
      <c r="C636" s="40" t="str">
        <f aca="false">IF(B636="","",IFERROR(INDEX('CLM &amp; IM Mapping'!$B$2:$B$270,MATCH(TRIM(B636),'CLM &amp; IM Mapping'!$A$2:$A$270,0)),"Not Mapped"))</f>
        <v>Not Mapped</v>
      </c>
      <c r="D636" s="40" t="str">
        <f aca="false">IF(B636="","",IFERROR(INDEX('CLM &amp; IM Mapping'!$C$2:$C$270,MATCH(TRIM(B636),'CLM &amp; IM Mapping'!$A$2:$A$270,0)),"Not Mapped"))</f>
        <v>Not Mapped</v>
      </c>
      <c r="E636" s="41" t="n">
        <v>3185</v>
      </c>
      <c r="F636" s="41" t="n">
        <v>0</v>
      </c>
      <c r="G636" s="41" t="n">
        <v>2961</v>
      </c>
      <c r="H636" s="41" t="n">
        <v>172</v>
      </c>
      <c r="I636" s="41" t="n">
        <v>0</v>
      </c>
      <c r="J636" s="41" t="n">
        <v>52</v>
      </c>
      <c r="K636" s="41" t="n">
        <v>0</v>
      </c>
      <c r="L636" s="41" t="n">
        <v>224</v>
      </c>
    </row>
    <row r="637" customFormat="false" ht="15.75" hidden="false" customHeight="false" outlineLevel="0" collapsed="false">
      <c r="B637" s="39" t="s">
        <v>788</v>
      </c>
      <c r="C637" s="40" t="str">
        <f aca="false">IF(B637="","",IFERROR(INDEX('CLM &amp; IM Mapping'!$B$2:$B$270,MATCH(TRIM(B637),'CLM &amp; IM Mapping'!$A$2:$A$270,0)),"Not Mapped"))</f>
        <v>Not Mapped</v>
      </c>
      <c r="D637" s="40" t="str">
        <f aca="false">IF(B637="","",IFERROR(INDEX('CLM &amp; IM Mapping'!$C$2:$C$270,MATCH(TRIM(B637),'CLM &amp; IM Mapping'!$A$2:$A$270,0)),"Not Mapped"))</f>
        <v>Not Mapped</v>
      </c>
      <c r="E637" s="41" t="n">
        <v>6925</v>
      </c>
      <c r="F637" s="41" t="n">
        <v>6924</v>
      </c>
      <c r="G637" s="41" t="n">
        <v>0</v>
      </c>
      <c r="H637" s="41" t="n">
        <v>1</v>
      </c>
      <c r="I637" s="41" t="n">
        <v>0</v>
      </c>
      <c r="J637" s="41" t="n">
        <v>0</v>
      </c>
      <c r="K637" s="41" t="n">
        <v>0</v>
      </c>
      <c r="L637" s="41" t="n">
        <v>1</v>
      </c>
    </row>
    <row r="638" customFormat="false" ht="15.75" hidden="false" customHeight="false" outlineLevel="0" collapsed="false">
      <c r="B638" s="39" t="s">
        <v>789</v>
      </c>
      <c r="C638" s="40" t="str">
        <f aca="false">IF(B638="","",IFERROR(INDEX('CLM &amp; IM Mapping'!$B$2:$B$270,MATCH(TRIM(B638),'CLM &amp; IM Mapping'!$A$2:$A$270,0)),"Not Mapped"))</f>
        <v>Not Mapped</v>
      </c>
      <c r="D638" s="40" t="str">
        <f aca="false">IF(B638="","",IFERROR(INDEX('CLM &amp; IM Mapping'!$C$2:$C$270,MATCH(TRIM(B638),'CLM &amp; IM Mapping'!$A$2:$A$270,0)),"Not Mapped"))</f>
        <v>Not Mapped</v>
      </c>
      <c r="E638" s="41" t="n">
        <v>2331</v>
      </c>
      <c r="F638" s="41" t="n">
        <v>0</v>
      </c>
      <c r="G638" s="41" t="n">
        <v>0</v>
      </c>
      <c r="H638" s="41" t="n">
        <v>2331</v>
      </c>
      <c r="I638" s="41" t="n">
        <v>0</v>
      </c>
      <c r="J638" s="41" t="n">
        <v>0</v>
      </c>
      <c r="K638" s="41" t="n">
        <v>0</v>
      </c>
      <c r="L638" s="41" t="n">
        <v>2331</v>
      </c>
    </row>
    <row r="639" customFormat="false" ht="15.75" hidden="false" customHeight="false" outlineLevel="0" collapsed="false">
      <c r="B639" s="39" t="s">
        <v>790</v>
      </c>
      <c r="C639" s="40" t="str">
        <f aca="false">IF(B639="","",IFERROR(INDEX('CLM &amp; IM Mapping'!$B$2:$B$270,MATCH(TRIM(B639),'CLM &amp; IM Mapping'!$A$2:$A$270,0)),"Not Mapped"))</f>
        <v>Not Mapped</v>
      </c>
      <c r="D639" s="40" t="str">
        <f aca="false">IF(B639="","",IFERROR(INDEX('CLM &amp; IM Mapping'!$C$2:$C$270,MATCH(TRIM(B639),'CLM &amp; IM Mapping'!$A$2:$A$270,0)),"Not Mapped"))</f>
        <v>Not Mapped</v>
      </c>
      <c r="E639" s="41" t="n">
        <v>1673</v>
      </c>
      <c r="F639" s="41" t="n">
        <v>10</v>
      </c>
      <c r="G639" s="41" t="n">
        <v>1663</v>
      </c>
      <c r="H639" s="41" t="n">
        <v>0</v>
      </c>
      <c r="I639" s="41" t="n">
        <v>0</v>
      </c>
      <c r="J639" s="41" t="n">
        <v>0</v>
      </c>
      <c r="K639" s="41" t="n">
        <v>0</v>
      </c>
      <c r="L639" s="41" t="n">
        <v>0</v>
      </c>
    </row>
    <row r="640" customFormat="false" ht="15.75" hidden="false" customHeight="false" outlineLevel="0" collapsed="false">
      <c r="B640" s="39" t="s">
        <v>791</v>
      </c>
      <c r="C640" s="40" t="str">
        <f aca="false">IF(B640="","",IFERROR(INDEX('CLM &amp; IM Mapping'!$B$2:$B$270,MATCH(TRIM(B640),'CLM &amp; IM Mapping'!$A$2:$A$270,0)),"Not Mapped"))</f>
        <v>Not Mapped</v>
      </c>
      <c r="D640" s="40" t="str">
        <f aca="false">IF(B640="","",IFERROR(INDEX('CLM &amp; IM Mapping'!$C$2:$C$270,MATCH(TRIM(B640),'CLM &amp; IM Mapping'!$A$2:$A$270,0)),"Not Mapped"))</f>
        <v>Not Mapped</v>
      </c>
      <c r="E640" s="41" t="n">
        <v>233</v>
      </c>
      <c r="F640" s="41" t="n">
        <v>4</v>
      </c>
      <c r="G640" s="41" t="n">
        <v>229</v>
      </c>
      <c r="H640" s="41" t="n">
        <v>0</v>
      </c>
      <c r="I640" s="41" t="n">
        <v>0</v>
      </c>
      <c r="J640" s="41" t="n">
        <v>0</v>
      </c>
      <c r="K640" s="41" t="n">
        <v>0</v>
      </c>
      <c r="L640" s="41" t="n">
        <v>0</v>
      </c>
    </row>
    <row r="641" customFormat="false" ht="15.75" hidden="false" customHeight="false" outlineLevel="0" collapsed="false">
      <c r="B641" s="39" t="s">
        <v>792</v>
      </c>
      <c r="C641" s="40" t="str">
        <f aca="false">IF(B641="","",IFERROR(INDEX('CLM &amp; IM Mapping'!$B$2:$B$270,MATCH(TRIM(B641),'CLM &amp; IM Mapping'!$A$2:$A$270,0)),"Not Mapped"))</f>
        <v>Not Mapped</v>
      </c>
      <c r="D641" s="40" t="str">
        <f aca="false">IF(B641="","",IFERROR(INDEX('CLM &amp; IM Mapping'!$C$2:$C$270,MATCH(TRIM(B641),'CLM &amp; IM Mapping'!$A$2:$A$270,0)),"Not Mapped"))</f>
        <v>Not Mapped</v>
      </c>
      <c r="E641" s="41" t="n">
        <v>0</v>
      </c>
      <c r="F641" s="41" t="n">
        <v>0</v>
      </c>
      <c r="G641" s="41" t="n">
        <v>0</v>
      </c>
      <c r="H641" s="41" t="n">
        <v>0</v>
      </c>
      <c r="I641" s="41" t="n">
        <v>0</v>
      </c>
      <c r="J641" s="41" t="n">
        <v>0</v>
      </c>
      <c r="K641" s="41" t="n">
        <v>0</v>
      </c>
      <c r="L641" s="41" t="n">
        <v>0</v>
      </c>
    </row>
    <row r="642" customFormat="false" ht="15.75" hidden="false" customHeight="false" outlineLevel="0" collapsed="false">
      <c r="B642" s="39" t="s">
        <v>793</v>
      </c>
      <c r="C642" s="40" t="str">
        <f aca="false">IF(B642="","",IFERROR(INDEX('CLM &amp; IM Mapping'!$B$2:$B$270,MATCH(TRIM(B642),'CLM &amp; IM Mapping'!$A$2:$A$270,0)),"Not Mapped"))</f>
        <v>Not Mapped</v>
      </c>
      <c r="D642" s="40" t="str">
        <f aca="false">IF(B642="","",IFERROR(INDEX('CLM &amp; IM Mapping'!$C$2:$C$270,MATCH(TRIM(B642),'CLM &amp; IM Mapping'!$A$2:$A$270,0)),"Not Mapped"))</f>
        <v>Not Mapped</v>
      </c>
      <c r="E642" s="41" t="n">
        <v>2679</v>
      </c>
      <c r="F642" s="41" t="n">
        <v>2679</v>
      </c>
      <c r="G642" s="41" t="n">
        <v>0</v>
      </c>
      <c r="H642" s="41" t="n">
        <v>0</v>
      </c>
      <c r="I642" s="41" t="n">
        <v>0</v>
      </c>
      <c r="J642" s="41" t="n">
        <v>0</v>
      </c>
      <c r="K642" s="41" t="n">
        <v>0</v>
      </c>
      <c r="L642" s="41" t="n">
        <v>0</v>
      </c>
    </row>
    <row r="643" customFormat="false" ht="15.75" hidden="false" customHeight="false" outlineLevel="0" collapsed="false">
      <c r="B643" s="39" t="s">
        <v>794</v>
      </c>
      <c r="C643" s="40" t="str">
        <f aca="false">IF(B643="","",IFERROR(INDEX('CLM &amp; IM Mapping'!$B$2:$B$270,MATCH(TRIM(B643),'CLM &amp; IM Mapping'!$A$2:$A$270,0)),"Not Mapped"))</f>
        <v>Not Mapped</v>
      </c>
      <c r="D643" s="40" t="str">
        <f aca="false">IF(B643="","",IFERROR(INDEX('CLM &amp; IM Mapping'!$C$2:$C$270,MATCH(TRIM(B643),'CLM &amp; IM Mapping'!$A$2:$A$270,0)),"Not Mapped"))</f>
        <v>Not Mapped</v>
      </c>
      <c r="E643" s="41" t="n">
        <v>0</v>
      </c>
      <c r="F643" s="41" t="n">
        <v>0</v>
      </c>
      <c r="G643" s="41" t="n">
        <v>0</v>
      </c>
      <c r="H643" s="41" t="n">
        <v>0</v>
      </c>
      <c r="I643" s="41" t="n">
        <v>0</v>
      </c>
      <c r="J643" s="41" t="n">
        <v>0</v>
      </c>
      <c r="K643" s="41" t="n">
        <v>0</v>
      </c>
      <c r="L643" s="41" t="n">
        <v>0</v>
      </c>
    </row>
    <row r="644" customFormat="false" ht="15.75" hidden="false" customHeight="false" outlineLevel="0" collapsed="false">
      <c r="B644" s="39" t="s">
        <v>795</v>
      </c>
      <c r="C644" s="40" t="str">
        <f aca="false">IF(B644="","",IFERROR(INDEX('CLM &amp; IM Mapping'!$B$2:$B$270,MATCH(TRIM(B644),'CLM &amp; IM Mapping'!$A$2:$A$270,0)),"Not Mapped"))</f>
        <v>Not Mapped</v>
      </c>
      <c r="D644" s="40" t="str">
        <f aca="false">IF(B644="","",IFERROR(INDEX('CLM &amp; IM Mapping'!$C$2:$C$270,MATCH(TRIM(B644),'CLM &amp; IM Mapping'!$A$2:$A$270,0)),"Not Mapped"))</f>
        <v>Not Mapped</v>
      </c>
      <c r="E644" s="41" t="n">
        <v>0</v>
      </c>
      <c r="F644" s="41" t="n">
        <v>0</v>
      </c>
      <c r="G644" s="41" t="n">
        <v>0</v>
      </c>
      <c r="H644" s="41" t="n">
        <v>0</v>
      </c>
      <c r="I644" s="41" t="n">
        <v>0</v>
      </c>
      <c r="J644" s="41" t="n">
        <v>0</v>
      </c>
      <c r="K644" s="41" t="n">
        <v>0</v>
      </c>
      <c r="L644" s="41" t="n">
        <v>0</v>
      </c>
    </row>
    <row r="645" customFormat="false" ht="15.75" hidden="false" customHeight="false" outlineLevel="0" collapsed="false">
      <c r="B645" s="39" t="s">
        <v>796</v>
      </c>
      <c r="C645" s="40" t="str">
        <f aca="false">IF(B645="","",IFERROR(INDEX('CLM &amp; IM Mapping'!$B$2:$B$270,MATCH(TRIM(B645),'CLM &amp; IM Mapping'!$A$2:$A$270,0)),"Not Mapped"))</f>
        <v>Not Mapped</v>
      </c>
      <c r="D645" s="40" t="str">
        <f aca="false">IF(B645="","",IFERROR(INDEX('CLM &amp; IM Mapping'!$C$2:$C$270,MATCH(TRIM(B645),'CLM &amp; IM Mapping'!$A$2:$A$270,0)),"Not Mapped"))</f>
        <v>Not Mapped</v>
      </c>
      <c r="E645" s="41" t="n">
        <v>396</v>
      </c>
      <c r="F645" s="41" t="n">
        <v>0</v>
      </c>
      <c r="G645" s="41" t="n">
        <v>0</v>
      </c>
      <c r="H645" s="41" t="n">
        <v>381</v>
      </c>
      <c r="I645" s="41" t="n">
        <v>0</v>
      </c>
      <c r="J645" s="41" t="n">
        <v>14</v>
      </c>
      <c r="K645" s="41" t="n">
        <v>1</v>
      </c>
      <c r="L645" s="41" t="n">
        <v>396</v>
      </c>
    </row>
    <row r="646" customFormat="false" ht="15.75" hidden="false" customHeight="false" outlineLevel="0" collapsed="false">
      <c r="B646" s="39" t="s">
        <v>797</v>
      </c>
      <c r="C646" s="40" t="str">
        <f aca="false">IF(B646="","",IFERROR(INDEX('CLM &amp; IM Mapping'!$B$2:$B$270,MATCH(TRIM(B646),'CLM &amp; IM Mapping'!$A$2:$A$270,0)),"Not Mapped"))</f>
        <v>Not Mapped</v>
      </c>
      <c r="D646" s="40" t="str">
        <f aca="false">IF(B646="","",IFERROR(INDEX('CLM &amp; IM Mapping'!$C$2:$C$270,MATCH(TRIM(B646),'CLM &amp; IM Mapping'!$A$2:$A$270,0)),"Not Mapped"))</f>
        <v>Not Mapped</v>
      </c>
      <c r="E646" s="41" t="n">
        <v>197</v>
      </c>
      <c r="F646" s="41" t="n">
        <v>0</v>
      </c>
      <c r="G646" s="41" t="n">
        <v>0</v>
      </c>
      <c r="H646" s="41" t="n">
        <v>197</v>
      </c>
      <c r="I646" s="41" t="n">
        <v>0</v>
      </c>
      <c r="J646" s="41" t="n">
        <v>0</v>
      </c>
      <c r="K646" s="41" t="n">
        <v>0</v>
      </c>
      <c r="L646" s="41" t="n">
        <v>197</v>
      </c>
    </row>
    <row r="647" customFormat="false" ht="15.75" hidden="false" customHeight="false" outlineLevel="0" collapsed="false">
      <c r="B647" s="39" t="s">
        <v>798</v>
      </c>
      <c r="C647" s="40" t="str">
        <f aca="false">IF(B647="","",IFERROR(INDEX('CLM &amp; IM Mapping'!$B$2:$B$270,MATCH(TRIM(B647),'CLM &amp; IM Mapping'!$A$2:$A$270,0)),"Not Mapped"))</f>
        <v>Not Mapped</v>
      </c>
      <c r="D647" s="40" t="str">
        <f aca="false">IF(B647="","",IFERROR(INDEX('CLM &amp; IM Mapping'!$C$2:$C$270,MATCH(TRIM(B647),'CLM &amp; IM Mapping'!$A$2:$A$270,0)),"Not Mapped"))</f>
        <v>Not Mapped</v>
      </c>
      <c r="E647" s="41" t="n">
        <v>8502</v>
      </c>
      <c r="F647" s="41" t="n">
        <v>6439</v>
      </c>
      <c r="G647" s="41" t="n">
        <v>0</v>
      </c>
      <c r="H647" s="41" t="n">
        <v>195</v>
      </c>
      <c r="I647" s="41" t="n">
        <v>1816</v>
      </c>
      <c r="J647" s="41" t="n">
        <v>0</v>
      </c>
      <c r="K647" s="41" t="n">
        <v>52</v>
      </c>
      <c r="L647" s="41" t="n">
        <v>2063</v>
      </c>
    </row>
    <row r="648" customFormat="false" ht="15.75" hidden="false" customHeight="false" outlineLevel="0" collapsed="false">
      <c r="B648" s="39" t="s">
        <v>799</v>
      </c>
      <c r="C648" s="40" t="str">
        <f aca="false">IF(B648="","",IFERROR(INDEX('CLM &amp; IM Mapping'!$B$2:$B$270,MATCH(TRIM(B648),'CLM &amp; IM Mapping'!$A$2:$A$270,0)),"Not Mapped"))</f>
        <v>Not Mapped</v>
      </c>
      <c r="D648" s="40" t="str">
        <f aca="false">IF(B648="","",IFERROR(INDEX('CLM &amp; IM Mapping'!$C$2:$C$270,MATCH(TRIM(B648),'CLM &amp; IM Mapping'!$A$2:$A$270,0)),"Not Mapped"))</f>
        <v>Not Mapped</v>
      </c>
      <c r="E648" s="41" t="n">
        <v>820</v>
      </c>
      <c r="F648" s="41" t="n">
        <v>752</v>
      </c>
      <c r="G648" s="41" t="n">
        <v>68</v>
      </c>
      <c r="H648" s="41" t="n">
        <v>0</v>
      </c>
      <c r="I648" s="41" t="n">
        <v>0</v>
      </c>
      <c r="J648" s="41" t="n">
        <v>0</v>
      </c>
      <c r="K648" s="41" t="n">
        <v>0</v>
      </c>
      <c r="L648" s="41" t="n">
        <v>0</v>
      </c>
    </row>
    <row r="649" customFormat="false" ht="15.75" hidden="false" customHeight="false" outlineLevel="0" collapsed="false">
      <c r="B649" s="39" t="s">
        <v>800</v>
      </c>
      <c r="C649" s="40" t="str">
        <f aca="false">IF(B649="","",IFERROR(INDEX('CLM &amp; IM Mapping'!$B$2:$B$270,MATCH(TRIM(B649),'CLM &amp; IM Mapping'!$A$2:$A$270,0)),"Not Mapped"))</f>
        <v>Not Mapped</v>
      </c>
      <c r="D649" s="40" t="str">
        <f aca="false">IF(B649="","",IFERROR(INDEX('CLM &amp; IM Mapping'!$C$2:$C$270,MATCH(TRIM(B649),'CLM &amp; IM Mapping'!$A$2:$A$270,0)),"Not Mapped"))</f>
        <v>Not Mapped</v>
      </c>
      <c r="E649" s="41" t="n">
        <v>0</v>
      </c>
      <c r="F649" s="41" t="n">
        <v>0</v>
      </c>
      <c r="G649" s="41" t="n">
        <v>0</v>
      </c>
      <c r="H649" s="41" t="n">
        <v>0</v>
      </c>
      <c r="I649" s="41" t="n">
        <v>0</v>
      </c>
      <c r="J649" s="41" t="n">
        <v>0</v>
      </c>
      <c r="K649" s="41" t="n">
        <v>0</v>
      </c>
      <c r="L649" s="41" t="n">
        <v>0</v>
      </c>
    </row>
    <row r="650" customFormat="false" ht="15.75" hidden="false" customHeight="false" outlineLevel="0" collapsed="false">
      <c r="B650" s="39" t="s">
        <v>801</v>
      </c>
      <c r="C650" s="40" t="str">
        <f aca="false">IF(B650="","",IFERROR(INDEX('CLM &amp; IM Mapping'!$B$2:$B$270,MATCH(TRIM(B650),'CLM &amp; IM Mapping'!$A$2:$A$270,0)),"Not Mapped"))</f>
        <v>Not Mapped</v>
      </c>
      <c r="D650" s="40" t="str">
        <f aca="false">IF(B650="","",IFERROR(INDEX('CLM &amp; IM Mapping'!$C$2:$C$270,MATCH(TRIM(B650),'CLM &amp; IM Mapping'!$A$2:$A$270,0)),"Not Mapped"))</f>
        <v>Not Mapped</v>
      </c>
      <c r="E650" s="41" t="n">
        <v>7061</v>
      </c>
      <c r="F650" s="41" t="n">
        <v>7051</v>
      </c>
      <c r="G650" s="41" t="n">
        <v>0</v>
      </c>
      <c r="H650" s="41" t="n">
        <v>0</v>
      </c>
      <c r="I650" s="41" t="n">
        <v>10</v>
      </c>
      <c r="J650" s="41" t="n">
        <v>0</v>
      </c>
      <c r="K650" s="41" t="n">
        <v>0</v>
      </c>
      <c r="L650" s="41" t="n">
        <v>10</v>
      </c>
    </row>
    <row r="651" customFormat="false" ht="15.75" hidden="false" customHeight="false" outlineLevel="0" collapsed="false">
      <c r="B651" s="39" t="s">
        <v>802</v>
      </c>
      <c r="C651" s="40" t="str">
        <f aca="false">IF(B651="","",IFERROR(INDEX('CLM &amp; IM Mapping'!$B$2:$B$270,MATCH(TRIM(B651),'CLM &amp; IM Mapping'!$A$2:$A$270,0)),"Not Mapped"))</f>
        <v>Not Mapped</v>
      </c>
      <c r="D651" s="40" t="str">
        <f aca="false">IF(B651="","",IFERROR(INDEX('CLM &amp; IM Mapping'!$C$2:$C$270,MATCH(TRIM(B651),'CLM &amp; IM Mapping'!$A$2:$A$270,0)),"Not Mapped"))</f>
        <v>Not Mapped</v>
      </c>
      <c r="E651" s="41" t="n">
        <v>9507</v>
      </c>
      <c r="F651" s="41" t="n">
        <v>1049</v>
      </c>
      <c r="G651" s="41" t="n">
        <v>0</v>
      </c>
      <c r="H651" s="41" t="n">
        <v>0</v>
      </c>
      <c r="I651" s="41" t="n">
        <v>134</v>
      </c>
      <c r="J651" s="41" t="n">
        <v>5395</v>
      </c>
      <c r="K651" s="41" t="n">
        <v>2929</v>
      </c>
      <c r="L651" s="41" t="n">
        <v>8458</v>
      </c>
    </row>
    <row r="652" customFormat="false" ht="15.75" hidden="false" customHeight="false" outlineLevel="0" collapsed="false">
      <c r="B652" s="39" t="s">
        <v>803</v>
      </c>
      <c r="C652" s="40" t="str">
        <f aca="false">IF(B652="","",IFERROR(INDEX('CLM &amp; IM Mapping'!$B$2:$B$270,MATCH(TRIM(B652),'CLM &amp; IM Mapping'!$A$2:$A$270,0)),"Not Mapped"))</f>
        <v>Not Mapped</v>
      </c>
      <c r="D652" s="40" t="str">
        <f aca="false">IF(B652="","",IFERROR(INDEX('CLM &amp; IM Mapping'!$C$2:$C$270,MATCH(TRIM(B652),'CLM &amp; IM Mapping'!$A$2:$A$270,0)),"Not Mapped"))</f>
        <v>Not Mapped</v>
      </c>
      <c r="E652" s="41" t="n">
        <v>1744</v>
      </c>
      <c r="F652" s="41" t="n">
        <v>151</v>
      </c>
      <c r="G652" s="41" t="n">
        <v>1593</v>
      </c>
      <c r="H652" s="41" t="n">
        <v>0</v>
      </c>
      <c r="I652" s="41" t="n">
        <v>0</v>
      </c>
      <c r="J652" s="41" t="n">
        <v>0</v>
      </c>
      <c r="K652" s="41" t="n">
        <v>0</v>
      </c>
      <c r="L652" s="41" t="n">
        <v>0</v>
      </c>
    </row>
    <row r="653" customFormat="false" ht="15.75" hidden="false" customHeight="false" outlineLevel="0" collapsed="false">
      <c r="B653" s="39" t="s">
        <v>804</v>
      </c>
      <c r="C653" s="40" t="str">
        <f aca="false">IF(B653="","",IFERROR(INDEX('CLM &amp; IM Mapping'!$B$2:$B$270,MATCH(TRIM(B653),'CLM &amp; IM Mapping'!$A$2:$A$270,0)),"Not Mapped"))</f>
        <v>Not Mapped</v>
      </c>
      <c r="D653" s="40" t="str">
        <f aca="false">IF(B653="","",IFERROR(INDEX('CLM &amp; IM Mapping'!$C$2:$C$270,MATCH(TRIM(B653),'CLM &amp; IM Mapping'!$A$2:$A$270,0)),"Not Mapped"))</f>
        <v>Not Mapped</v>
      </c>
      <c r="E653" s="41" t="n">
        <v>787</v>
      </c>
      <c r="F653" s="41" t="n">
        <v>598</v>
      </c>
      <c r="G653" s="41" t="n">
        <v>0</v>
      </c>
      <c r="H653" s="41" t="n">
        <v>189</v>
      </c>
      <c r="I653" s="41" t="n">
        <v>0</v>
      </c>
      <c r="J653" s="41" t="n">
        <v>0</v>
      </c>
      <c r="K653" s="41" t="n">
        <v>0</v>
      </c>
      <c r="L653" s="41" t="n">
        <v>189</v>
      </c>
    </row>
    <row r="654" customFormat="false" ht="15.75" hidden="false" customHeight="false" outlineLevel="0" collapsed="false">
      <c r="B654" s="39" t="s">
        <v>805</v>
      </c>
      <c r="C654" s="40" t="str">
        <f aca="false">IF(B654="","",IFERROR(INDEX('CLM &amp; IM Mapping'!$B$2:$B$270,MATCH(TRIM(B654),'CLM &amp; IM Mapping'!$A$2:$A$270,0)),"Not Mapped"))</f>
        <v>Not Mapped</v>
      </c>
      <c r="D654" s="40" t="str">
        <f aca="false">IF(B654="","",IFERROR(INDEX('CLM &amp; IM Mapping'!$C$2:$C$270,MATCH(TRIM(B654),'CLM &amp; IM Mapping'!$A$2:$A$270,0)),"Not Mapped"))</f>
        <v>Not Mapped</v>
      </c>
      <c r="E654" s="41" t="n">
        <v>318</v>
      </c>
      <c r="F654" s="41" t="n">
        <v>0</v>
      </c>
      <c r="G654" s="41" t="n">
        <v>0</v>
      </c>
      <c r="H654" s="41" t="n">
        <v>318</v>
      </c>
      <c r="I654" s="41" t="n">
        <v>0</v>
      </c>
      <c r="J654" s="41" t="n">
        <v>0</v>
      </c>
      <c r="K654" s="41" t="n">
        <v>0</v>
      </c>
      <c r="L654" s="41" t="n">
        <v>318</v>
      </c>
    </row>
    <row r="655" customFormat="false" ht="15.75" hidden="false" customHeight="false" outlineLevel="0" collapsed="false">
      <c r="B655" s="39" t="s">
        <v>806</v>
      </c>
      <c r="C655" s="40" t="str">
        <f aca="false">IF(B655="","",IFERROR(INDEX('CLM &amp; IM Mapping'!$B$2:$B$270,MATCH(TRIM(B655),'CLM &amp; IM Mapping'!$A$2:$A$270,0)),"Not Mapped"))</f>
        <v>Not Mapped</v>
      </c>
      <c r="D655" s="40" t="str">
        <f aca="false">IF(B655="","",IFERROR(INDEX('CLM &amp; IM Mapping'!$C$2:$C$270,MATCH(TRIM(B655),'CLM &amp; IM Mapping'!$A$2:$A$270,0)),"Not Mapped"))</f>
        <v>Not Mapped</v>
      </c>
      <c r="E655" s="41" t="n">
        <v>7653</v>
      </c>
      <c r="F655" s="41" t="n">
        <v>2607</v>
      </c>
      <c r="G655" s="41" t="n">
        <v>1089</v>
      </c>
      <c r="H655" s="41" t="n">
        <v>0</v>
      </c>
      <c r="I655" s="41" t="n">
        <v>0</v>
      </c>
      <c r="J655" s="41" t="n">
        <v>3739</v>
      </c>
      <c r="K655" s="41" t="n">
        <v>218</v>
      </c>
      <c r="L655" s="41" t="n">
        <v>3957</v>
      </c>
    </row>
    <row r="656" customFormat="false" ht="15.75" hidden="false" customHeight="false" outlineLevel="0" collapsed="false">
      <c r="B656" s="39" t="s">
        <v>807</v>
      </c>
      <c r="C656" s="40" t="str">
        <f aca="false">IF(B656="","",IFERROR(INDEX('CLM &amp; IM Mapping'!$B$2:$B$270,MATCH(TRIM(B656),'CLM &amp; IM Mapping'!$A$2:$A$270,0)),"Not Mapped"))</f>
        <v>Not Mapped</v>
      </c>
      <c r="D656" s="40" t="str">
        <f aca="false">IF(B656="","",IFERROR(INDEX('CLM &amp; IM Mapping'!$C$2:$C$270,MATCH(TRIM(B656),'CLM &amp; IM Mapping'!$A$2:$A$270,0)),"Not Mapped"))</f>
        <v>Not Mapped</v>
      </c>
      <c r="E656" s="41" t="n">
        <v>2362</v>
      </c>
      <c r="F656" s="41" t="n">
        <v>2362</v>
      </c>
      <c r="G656" s="41" t="n">
        <v>0</v>
      </c>
      <c r="H656" s="41" t="n">
        <v>0</v>
      </c>
      <c r="I656" s="41" t="n">
        <v>0</v>
      </c>
      <c r="J656" s="41" t="n">
        <v>0</v>
      </c>
      <c r="K656" s="41" t="n">
        <v>0</v>
      </c>
      <c r="L656" s="41" t="n">
        <v>0</v>
      </c>
    </row>
    <row r="657" customFormat="false" ht="15.75" hidden="false" customHeight="false" outlineLevel="0" collapsed="false">
      <c r="B657" s="39" t="s">
        <v>808</v>
      </c>
      <c r="C657" s="40" t="str">
        <f aca="false">IF(B657="","",IFERROR(INDEX('CLM &amp; IM Mapping'!$B$2:$B$270,MATCH(TRIM(B657),'CLM &amp; IM Mapping'!$A$2:$A$270,0)),"Not Mapped"))</f>
        <v>Not Mapped</v>
      </c>
      <c r="D657" s="40" t="str">
        <f aca="false">IF(B657="","",IFERROR(INDEX('CLM &amp; IM Mapping'!$C$2:$C$270,MATCH(TRIM(B657),'CLM &amp; IM Mapping'!$A$2:$A$270,0)),"Not Mapped"))</f>
        <v>Not Mapped</v>
      </c>
      <c r="E657" s="41" t="n">
        <v>23</v>
      </c>
      <c r="F657" s="41" t="n">
        <v>23</v>
      </c>
      <c r="G657" s="41" t="n">
        <v>0</v>
      </c>
      <c r="H657" s="41" t="n">
        <v>0</v>
      </c>
      <c r="I657" s="41" t="n">
        <v>0</v>
      </c>
      <c r="J657" s="41" t="n">
        <v>0</v>
      </c>
      <c r="K657" s="41" t="n">
        <v>0</v>
      </c>
      <c r="L657" s="41" t="n">
        <v>0</v>
      </c>
    </row>
    <row r="658" customFormat="false" ht="15.75" hidden="false" customHeight="false" outlineLevel="0" collapsed="false">
      <c r="B658" s="39" t="s">
        <v>809</v>
      </c>
      <c r="C658" s="40" t="str">
        <f aca="false">IF(B658="","",IFERROR(INDEX('CLM &amp; IM Mapping'!$B$2:$B$270,MATCH(TRIM(B658),'CLM &amp; IM Mapping'!$A$2:$A$270,0)),"Not Mapped"))</f>
        <v>Not Mapped</v>
      </c>
      <c r="D658" s="40" t="str">
        <f aca="false">IF(B658="","",IFERROR(INDEX('CLM &amp; IM Mapping'!$C$2:$C$270,MATCH(TRIM(B658),'CLM &amp; IM Mapping'!$A$2:$A$270,0)),"Not Mapped"))</f>
        <v>Not Mapped</v>
      </c>
      <c r="E658" s="41" t="n">
        <v>2999</v>
      </c>
      <c r="F658" s="41" t="n">
        <v>0</v>
      </c>
      <c r="G658" s="41" t="n">
        <v>0</v>
      </c>
      <c r="H658" s="41" t="n">
        <v>2982</v>
      </c>
      <c r="I658" s="41" t="n">
        <v>0</v>
      </c>
      <c r="J658" s="41" t="n">
        <v>0</v>
      </c>
      <c r="K658" s="41" t="n">
        <v>17</v>
      </c>
      <c r="L658" s="41" t="n">
        <v>2999</v>
      </c>
    </row>
    <row r="659" customFormat="false" ht="15.75" hidden="false" customHeight="false" outlineLevel="0" collapsed="false">
      <c r="B659" s="39" t="s">
        <v>810</v>
      </c>
      <c r="C659" s="40" t="str">
        <f aca="false">IF(B659="","",IFERROR(INDEX('CLM &amp; IM Mapping'!$B$2:$B$270,MATCH(TRIM(B659),'CLM &amp; IM Mapping'!$A$2:$A$270,0)),"Not Mapped"))</f>
        <v>Not Mapped</v>
      </c>
      <c r="D659" s="40" t="str">
        <f aca="false">IF(B659="","",IFERROR(INDEX('CLM &amp; IM Mapping'!$C$2:$C$270,MATCH(TRIM(B659),'CLM &amp; IM Mapping'!$A$2:$A$270,0)),"Not Mapped"))</f>
        <v>Not Mapped</v>
      </c>
      <c r="E659" s="41" t="n">
        <v>1</v>
      </c>
      <c r="F659" s="41" t="n">
        <v>1</v>
      </c>
      <c r="G659" s="41" t="n">
        <v>0</v>
      </c>
      <c r="H659" s="41" t="n">
        <v>0</v>
      </c>
      <c r="I659" s="41" t="n">
        <v>0</v>
      </c>
      <c r="J659" s="41" t="n">
        <v>0</v>
      </c>
      <c r="K659" s="41" t="n">
        <v>0</v>
      </c>
      <c r="L659" s="41" t="n">
        <v>0</v>
      </c>
    </row>
    <row r="660" customFormat="false" ht="15.75" hidden="false" customHeight="false" outlineLevel="0" collapsed="false">
      <c r="B660" s="39" t="s">
        <v>811</v>
      </c>
      <c r="C660" s="40" t="str">
        <f aca="false">IF(B660="","",IFERROR(INDEX('CLM &amp; IM Mapping'!$B$2:$B$270,MATCH(TRIM(B660),'CLM &amp; IM Mapping'!$A$2:$A$270,0)),"Not Mapped"))</f>
        <v>Not Mapped</v>
      </c>
      <c r="D660" s="40" t="str">
        <f aca="false">IF(B660="","",IFERROR(INDEX('CLM &amp; IM Mapping'!$C$2:$C$270,MATCH(TRIM(B660),'CLM &amp; IM Mapping'!$A$2:$A$270,0)),"Not Mapped"))</f>
        <v>Not Mapped</v>
      </c>
      <c r="E660" s="41" t="n">
        <v>0</v>
      </c>
      <c r="F660" s="41" t="n">
        <v>0</v>
      </c>
      <c r="G660" s="41" t="n">
        <v>0</v>
      </c>
      <c r="H660" s="41" t="n">
        <v>0</v>
      </c>
      <c r="I660" s="41" t="n">
        <v>0</v>
      </c>
      <c r="J660" s="41" t="n">
        <v>0</v>
      </c>
      <c r="K660" s="41" t="n">
        <v>0</v>
      </c>
      <c r="L660" s="41" t="n">
        <v>0</v>
      </c>
    </row>
    <row r="661" customFormat="false" ht="15.75" hidden="false" customHeight="false" outlineLevel="0" collapsed="false">
      <c r="B661" s="39" t="s">
        <v>812</v>
      </c>
      <c r="C661" s="40" t="str">
        <f aca="false">IF(B661="","",IFERROR(INDEX('CLM &amp; IM Mapping'!$B$2:$B$270,MATCH(TRIM(B661),'CLM &amp; IM Mapping'!$A$2:$A$270,0)),"Not Mapped"))</f>
        <v>Not Mapped</v>
      </c>
      <c r="D661" s="40" t="str">
        <f aca="false">IF(B661="","",IFERROR(INDEX('CLM &amp; IM Mapping'!$C$2:$C$270,MATCH(TRIM(B661),'CLM &amp; IM Mapping'!$A$2:$A$270,0)),"Not Mapped"))</f>
        <v>Not Mapped</v>
      </c>
      <c r="E661" s="41" t="n">
        <v>0</v>
      </c>
      <c r="F661" s="41" t="n">
        <v>0</v>
      </c>
      <c r="G661" s="41" t="n">
        <v>0</v>
      </c>
      <c r="H661" s="41" t="n">
        <v>0</v>
      </c>
      <c r="I661" s="41" t="n">
        <v>0</v>
      </c>
      <c r="J661" s="41" t="n">
        <v>0</v>
      </c>
      <c r="K661" s="41" t="n">
        <v>0</v>
      </c>
      <c r="L661" s="41" t="n">
        <v>0</v>
      </c>
    </row>
    <row r="662" customFormat="false" ht="15.75" hidden="false" customHeight="false" outlineLevel="0" collapsed="false">
      <c r="B662" s="39" t="s">
        <v>813</v>
      </c>
      <c r="C662" s="40" t="str">
        <f aca="false">IF(B662="","",IFERROR(INDEX('CLM &amp; IM Mapping'!$B$2:$B$270,MATCH(TRIM(B662),'CLM &amp; IM Mapping'!$A$2:$A$270,0)),"Not Mapped"))</f>
        <v>Not Mapped</v>
      </c>
      <c r="D662" s="40" t="str">
        <f aca="false">IF(B662="","",IFERROR(INDEX('CLM &amp; IM Mapping'!$C$2:$C$270,MATCH(TRIM(B662),'CLM &amp; IM Mapping'!$A$2:$A$270,0)),"Not Mapped"))</f>
        <v>Not Mapped</v>
      </c>
      <c r="E662" s="41" t="n">
        <v>720</v>
      </c>
      <c r="F662" s="41" t="n">
        <v>0</v>
      </c>
      <c r="G662" s="41" t="n">
        <v>0</v>
      </c>
      <c r="H662" s="41" t="n">
        <v>720</v>
      </c>
      <c r="I662" s="41" t="n">
        <v>0</v>
      </c>
      <c r="J662" s="41" t="n">
        <v>0</v>
      </c>
      <c r="K662" s="41" t="n">
        <v>0</v>
      </c>
      <c r="L662" s="41" t="n">
        <v>720</v>
      </c>
    </row>
    <row r="663" customFormat="false" ht="15.75" hidden="false" customHeight="false" outlineLevel="0" collapsed="false">
      <c r="B663" s="39" t="s">
        <v>814</v>
      </c>
      <c r="C663" s="40" t="str">
        <f aca="false">IF(B663="","",IFERROR(INDEX('CLM &amp; IM Mapping'!$B$2:$B$270,MATCH(TRIM(B663),'CLM &amp; IM Mapping'!$A$2:$A$270,0)),"Not Mapped"))</f>
        <v>Not Mapped</v>
      </c>
      <c r="D663" s="40" t="str">
        <f aca="false">IF(B663="","",IFERROR(INDEX('CLM &amp; IM Mapping'!$C$2:$C$270,MATCH(TRIM(B663),'CLM &amp; IM Mapping'!$A$2:$A$270,0)),"Not Mapped"))</f>
        <v>Not Mapped</v>
      </c>
      <c r="E663" s="41" t="n">
        <v>1640</v>
      </c>
      <c r="F663" s="41" t="n">
        <v>0</v>
      </c>
      <c r="G663" s="41" t="n">
        <v>1640</v>
      </c>
      <c r="H663" s="41" t="n">
        <v>0</v>
      </c>
      <c r="I663" s="41" t="n">
        <v>0</v>
      </c>
      <c r="J663" s="41" t="n">
        <v>0</v>
      </c>
      <c r="K663" s="41" t="n">
        <v>0</v>
      </c>
      <c r="L663" s="41" t="n">
        <v>0</v>
      </c>
    </row>
    <row r="664" customFormat="false" ht="15.75" hidden="false" customHeight="false" outlineLevel="0" collapsed="false">
      <c r="B664" s="39" t="s">
        <v>815</v>
      </c>
      <c r="C664" s="40" t="str">
        <f aca="false">IF(B664="","",IFERROR(INDEX('CLM &amp; IM Mapping'!$B$2:$B$270,MATCH(TRIM(B664),'CLM &amp; IM Mapping'!$A$2:$A$270,0)),"Not Mapped"))</f>
        <v>Not Mapped</v>
      </c>
      <c r="D664" s="40" t="str">
        <f aca="false">IF(B664="","",IFERROR(INDEX('CLM &amp; IM Mapping'!$C$2:$C$270,MATCH(TRIM(B664),'CLM &amp; IM Mapping'!$A$2:$A$270,0)),"Not Mapped"))</f>
        <v>Not Mapped</v>
      </c>
      <c r="E664" s="41" t="n">
        <v>12860</v>
      </c>
      <c r="F664" s="41" t="n">
        <v>12860</v>
      </c>
      <c r="G664" s="41" t="n">
        <v>0</v>
      </c>
      <c r="H664" s="41" t="n">
        <v>0</v>
      </c>
      <c r="I664" s="41" t="n">
        <v>0</v>
      </c>
      <c r="J664" s="41" t="n">
        <v>0</v>
      </c>
      <c r="K664" s="41" t="n">
        <v>0</v>
      </c>
      <c r="L664" s="41" t="n">
        <v>0</v>
      </c>
    </row>
    <row r="665" customFormat="false" ht="15.75" hidden="false" customHeight="false" outlineLevel="0" collapsed="false">
      <c r="B665" s="39" t="s">
        <v>816</v>
      </c>
      <c r="C665" s="40" t="str">
        <f aca="false">IF(B665="","",IFERROR(INDEX('CLM &amp; IM Mapping'!$B$2:$B$270,MATCH(TRIM(B665),'CLM &amp; IM Mapping'!$A$2:$A$270,0)),"Not Mapped"))</f>
        <v>Not Mapped</v>
      </c>
      <c r="D665" s="40" t="str">
        <f aca="false">IF(B665="","",IFERROR(INDEX('CLM &amp; IM Mapping'!$C$2:$C$270,MATCH(TRIM(B665),'CLM &amp; IM Mapping'!$A$2:$A$270,0)),"Not Mapped"))</f>
        <v>Not Mapped</v>
      </c>
      <c r="E665" s="41" t="n">
        <v>4280</v>
      </c>
      <c r="F665" s="41" t="n">
        <v>0</v>
      </c>
      <c r="G665" s="41" t="n">
        <v>0</v>
      </c>
      <c r="H665" s="41" t="n">
        <v>3736</v>
      </c>
      <c r="I665" s="41" t="n">
        <v>0</v>
      </c>
      <c r="J665" s="41" t="n">
        <v>538</v>
      </c>
      <c r="K665" s="41" t="n">
        <v>6</v>
      </c>
      <c r="L665" s="41" t="n">
        <v>544</v>
      </c>
    </row>
    <row r="666" customFormat="false" ht="15.75" hidden="false" customHeight="false" outlineLevel="0" collapsed="false">
      <c r="B666" s="39" t="s">
        <v>817</v>
      </c>
      <c r="C666" s="40" t="str">
        <f aca="false">IF(B666="","",IFERROR(INDEX('CLM &amp; IM Mapping'!$B$2:$B$270,MATCH(TRIM(B666),'CLM &amp; IM Mapping'!$A$2:$A$270,0)),"Not Mapped"))</f>
        <v>Not Mapped</v>
      </c>
      <c r="D666" s="40" t="str">
        <f aca="false">IF(B666="","",IFERROR(INDEX('CLM &amp; IM Mapping'!$C$2:$C$270,MATCH(TRIM(B666),'CLM &amp; IM Mapping'!$A$2:$A$270,0)),"Not Mapped"))</f>
        <v>Not Mapped</v>
      </c>
      <c r="E666" s="41" t="n">
        <v>1453</v>
      </c>
      <c r="F666" s="41" t="n">
        <v>0</v>
      </c>
      <c r="G666" s="41" t="n">
        <v>0</v>
      </c>
      <c r="H666" s="41" t="n">
        <v>1453</v>
      </c>
      <c r="I666" s="41" t="n">
        <v>0</v>
      </c>
      <c r="J666" s="41" t="n">
        <v>0</v>
      </c>
      <c r="K666" s="41" t="n">
        <v>0</v>
      </c>
      <c r="L666" s="41" t="n">
        <v>1453</v>
      </c>
    </row>
    <row r="667" customFormat="false" ht="15.75" hidden="false" customHeight="false" outlineLevel="0" collapsed="false">
      <c r="B667" s="39" t="s">
        <v>818</v>
      </c>
      <c r="C667" s="40" t="str">
        <f aca="false">IF(B667="","",IFERROR(INDEX('CLM &amp; IM Mapping'!$B$2:$B$270,MATCH(TRIM(B667),'CLM &amp; IM Mapping'!$A$2:$A$270,0)),"Not Mapped"))</f>
        <v>Not Mapped</v>
      </c>
      <c r="D667" s="40" t="str">
        <f aca="false">IF(B667="","",IFERROR(INDEX('CLM &amp; IM Mapping'!$C$2:$C$270,MATCH(TRIM(B667),'CLM &amp; IM Mapping'!$A$2:$A$270,0)),"Not Mapped"))</f>
        <v>Not Mapped</v>
      </c>
      <c r="E667" s="41" t="n">
        <v>1644</v>
      </c>
      <c r="F667" s="41" t="n">
        <v>1644</v>
      </c>
      <c r="G667" s="41" t="n">
        <v>0</v>
      </c>
      <c r="H667" s="41" t="n">
        <v>0</v>
      </c>
      <c r="I667" s="41" t="n">
        <v>0</v>
      </c>
      <c r="J667" s="41" t="n">
        <v>0</v>
      </c>
      <c r="K667" s="41" t="n">
        <v>0</v>
      </c>
      <c r="L667" s="41" t="n">
        <v>0</v>
      </c>
    </row>
    <row r="668" customFormat="false" ht="15.75" hidden="false" customHeight="false" outlineLevel="0" collapsed="false">
      <c r="B668" s="39" t="s">
        <v>819</v>
      </c>
      <c r="C668" s="40" t="str">
        <f aca="false">IF(B668="","",IFERROR(INDEX('CLM &amp; IM Mapping'!$B$2:$B$270,MATCH(TRIM(B668),'CLM &amp; IM Mapping'!$A$2:$A$270,0)),"Not Mapped"))</f>
        <v>Not Mapped</v>
      </c>
      <c r="D668" s="40" t="str">
        <f aca="false">IF(B668="","",IFERROR(INDEX('CLM &amp; IM Mapping'!$C$2:$C$270,MATCH(TRIM(B668),'CLM &amp; IM Mapping'!$A$2:$A$270,0)),"Not Mapped"))</f>
        <v>Not Mapped</v>
      </c>
      <c r="E668" s="41" t="n">
        <v>1000</v>
      </c>
      <c r="F668" s="41" t="n">
        <v>0</v>
      </c>
      <c r="G668" s="41" t="n">
        <v>0</v>
      </c>
      <c r="H668" s="41" t="n">
        <v>1000</v>
      </c>
      <c r="I668" s="41" t="n">
        <v>0</v>
      </c>
      <c r="J668" s="41" t="n">
        <v>0</v>
      </c>
      <c r="K668" s="41" t="n">
        <v>0</v>
      </c>
      <c r="L668" s="41" t="n">
        <v>0</v>
      </c>
    </row>
    <row r="669" customFormat="false" ht="15.75" hidden="false" customHeight="false" outlineLevel="0" collapsed="false">
      <c r="B669" s="39" t="s">
        <v>820</v>
      </c>
      <c r="C669" s="40" t="str">
        <f aca="false">IF(B669="","",IFERROR(INDEX('CLM &amp; IM Mapping'!$B$2:$B$270,MATCH(TRIM(B669),'CLM &amp; IM Mapping'!$A$2:$A$270,0)),"Not Mapped"))</f>
        <v>Not Mapped</v>
      </c>
      <c r="D669" s="40" t="str">
        <f aca="false">IF(B669="","",IFERROR(INDEX('CLM &amp; IM Mapping'!$C$2:$C$270,MATCH(TRIM(B669),'CLM &amp; IM Mapping'!$A$2:$A$270,0)),"Not Mapped"))</f>
        <v>Not Mapped</v>
      </c>
      <c r="E669" s="41" t="n">
        <v>20</v>
      </c>
      <c r="F669" s="41" t="n">
        <v>20</v>
      </c>
      <c r="G669" s="41" t="n">
        <v>0</v>
      </c>
      <c r="H669" s="41" t="n">
        <v>0</v>
      </c>
      <c r="I669" s="41" t="n">
        <v>0</v>
      </c>
      <c r="J669" s="41" t="n">
        <v>0</v>
      </c>
      <c r="K669" s="41" t="n">
        <v>0</v>
      </c>
      <c r="L669" s="41" t="n">
        <v>0</v>
      </c>
    </row>
    <row r="670" customFormat="false" ht="15.75" hidden="false" customHeight="false" outlineLevel="0" collapsed="false">
      <c r="B670" s="39" t="s">
        <v>821</v>
      </c>
      <c r="C670" s="40" t="str">
        <f aca="false">IF(B670="","",IFERROR(INDEX('CLM &amp; IM Mapping'!$B$2:$B$270,MATCH(TRIM(B670),'CLM &amp; IM Mapping'!$A$2:$A$270,0)),"Not Mapped"))</f>
        <v>Not Mapped</v>
      </c>
      <c r="D670" s="40" t="str">
        <f aca="false">IF(B670="","",IFERROR(INDEX('CLM &amp; IM Mapping'!$C$2:$C$270,MATCH(TRIM(B670),'CLM &amp; IM Mapping'!$A$2:$A$270,0)),"Not Mapped"))</f>
        <v>Not Mapped</v>
      </c>
      <c r="E670" s="41" t="n">
        <v>1151</v>
      </c>
      <c r="F670" s="41" t="n">
        <v>0</v>
      </c>
      <c r="G670" s="41" t="n">
        <v>0</v>
      </c>
      <c r="H670" s="41" t="n">
        <v>1151</v>
      </c>
      <c r="I670" s="41" t="n">
        <v>0</v>
      </c>
      <c r="J670" s="41" t="n">
        <v>0</v>
      </c>
      <c r="K670" s="41" t="n">
        <v>0</v>
      </c>
      <c r="L670" s="41" t="n">
        <v>0</v>
      </c>
    </row>
    <row r="671" customFormat="false" ht="15.75" hidden="false" customHeight="false" outlineLevel="0" collapsed="false">
      <c r="B671" s="39" t="s">
        <v>822</v>
      </c>
      <c r="C671" s="40" t="str">
        <f aca="false">IF(B671="","",IFERROR(INDEX('CLM &amp; IM Mapping'!$B$2:$B$270,MATCH(TRIM(B671),'CLM &amp; IM Mapping'!$A$2:$A$270,0)),"Not Mapped"))</f>
        <v>Not Mapped</v>
      </c>
      <c r="D671" s="40" t="str">
        <f aca="false">IF(B671="","",IFERROR(INDEX('CLM &amp; IM Mapping'!$C$2:$C$270,MATCH(TRIM(B671),'CLM &amp; IM Mapping'!$A$2:$A$270,0)),"Not Mapped"))</f>
        <v>Not Mapped</v>
      </c>
      <c r="E671" s="41" t="n">
        <v>2937</v>
      </c>
      <c r="F671" s="41" t="n">
        <v>0</v>
      </c>
      <c r="G671" s="41" t="n">
        <v>0</v>
      </c>
      <c r="H671" s="41" t="n">
        <v>2909</v>
      </c>
      <c r="I671" s="41" t="n">
        <v>0</v>
      </c>
      <c r="J671" s="41" t="n">
        <v>28</v>
      </c>
      <c r="K671" s="41" t="n">
        <v>0</v>
      </c>
      <c r="L671" s="41" t="n">
        <v>2937</v>
      </c>
    </row>
    <row r="672" customFormat="false" ht="15.75" hidden="false" customHeight="false" outlineLevel="0" collapsed="false">
      <c r="B672" s="39" t="s">
        <v>823</v>
      </c>
      <c r="C672" s="40" t="str">
        <f aca="false">IF(B672="","",IFERROR(INDEX('CLM &amp; IM Mapping'!$B$2:$B$270,MATCH(TRIM(B672),'CLM &amp; IM Mapping'!$A$2:$A$270,0)),"Not Mapped"))</f>
        <v>Not Mapped</v>
      </c>
      <c r="D672" s="40" t="str">
        <f aca="false">IF(B672="","",IFERROR(INDEX('CLM &amp; IM Mapping'!$C$2:$C$270,MATCH(TRIM(B672),'CLM &amp; IM Mapping'!$A$2:$A$270,0)),"Not Mapped"))</f>
        <v>Not Mapped</v>
      </c>
      <c r="E672" s="41" t="n">
        <v>4919</v>
      </c>
      <c r="F672" s="41" t="n">
        <v>3716</v>
      </c>
      <c r="G672" s="41" t="n">
        <v>0</v>
      </c>
      <c r="H672" s="41" t="n">
        <v>0</v>
      </c>
      <c r="I672" s="41" t="n">
        <v>842</v>
      </c>
      <c r="J672" s="41" t="n">
        <v>0</v>
      </c>
      <c r="K672" s="41" t="n">
        <v>361</v>
      </c>
      <c r="L672" s="41" t="n">
        <v>1203</v>
      </c>
    </row>
    <row r="673" customFormat="false" ht="15.75" hidden="false" customHeight="false" outlineLevel="0" collapsed="false">
      <c r="B673" s="39" t="s">
        <v>824</v>
      </c>
      <c r="C673" s="40" t="str">
        <f aca="false">IF(B673="","",IFERROR(INDEX('CLM &amp; IM Mapping'!$B$2:$B$270,MATCH(TRIM(B673),'CLM &amp; IM Mapping'!$A$2:$A$270,0)),"Not Mapped"))</f>
        <v>Not Mapped</v>
      </c>
      <c r="D673" s="40" t="str">
        <f aca="false">IF(B673="","",IFERROR(INDEX('CLM &amp; IM Mapping'!$C$2:$C$270,MATCH(TRIM(B673),'CLM &amp; IM Mapping'!$A$2:$A$270,0)),"Not Mapped"))</f>
        <v>Not Mapped</v>
      </c>
      <c r="E673" s="41" t="n">
        <v>6885</v>
      </c>
      <c r="F673" s="41" t="n">
        <v>0</v>
      </c>
      <c r="G673" s="41" t="n">
        <v>112</v>
      </c>
      <c r="H673" s="41" t="n">
        <v>2560</v>
      </c>
      <c r="I673" s="41" t="n">
        <v>10</v>
      </c>
      <c r="J673" s="41" t="n">
        <v>2909</v>
      </c>
      <c r="K673" s="41" t="n">
        <v>1294</v>
      </c>
      <c r="L673" s="41" t="n">
        <v>6773</v>
      </c>
    </row>
    <row r="674" customFormat="false" ht="15.75" hidden="false" customHeight="false" outlineLevel="0" collapsed="false">
      <c r="B674" s="39" t="s">
        <v>825</v>
      </c>
      <c r="C674" s="40" t="str">
        <f aca="false">IF(B674="","",IFERROR(INDEX('CLM &amp; IM Mapping'!$B$2:$B$270,MATCH(TRIM(B674),'CLM &amp; IM Mapping'!$A$2:$A$270,0)),"Not Mapped"))</f>
        <v>Not Mapped</v>
      </c>
      <c r="D674" s="40" t="str">
        <f aca="false">IF(B674="","",IFERROR(INDEX('CLM &amp; IM Mapping'!$C$2:$C$270,MATCH(TRIM(B674),'CLM &amp; IM Mapping'!$A$2:$A$270,0)),"Not Mapped"))</f>
        <v>Not Mapped</v>
      </c>
      <c r="E674" s="41" t="n">
        <v>0</v>
      </c>
      <c r="F674" s="41" t="n">
        <v>0</v>
      </c>
      <c r="G674" s="41" t="n">
        <v>0</v>
      </c>
      <c r="H674" s="41" t="n">
        <v>0</v>
      </c>
      <c r="I674" s="41" t="n">
        <v>0</v>
      </c>
      <c r="J674" s="41" t="n">
        <v>0</v>
      </c>
      <c r="K674" s="41" t="n">
        <v>0</v>
      </c>
      <c r="L674" s="41" t="n">
        <v>0</v>
      </c>
    </row>
    <row r="675" customFormat="false" ht="15.75" hidden="false" customHeight="false" outlineLevel="0" collapsed="false">
      <c r="B675" s="39" t="s">
        <v>826</v>
      </c>
      <c r="C675" s="40" t="str">
        <f aca="false">IF(B675="","",IFERROR(INDEX('CLM &amp; IM Mapping'!$B$2:$B$270,MATCH(TRIM(B675),'CLM &amp; IM Mapping'!$A$2:$A$270,0)),"Not Mapped"))</f>
        <v>Not Mapped</v>
      </c>
      <c r="D675" s="40" t="str">
        <f aca="false">IF(B675="","",IFERROR(INDEX('CLM &amp; IM Mapping'!$C$2:$C$270,MATCH(TRIM(B675),'CLM &amp; IM Mapping'!$A$2:$A$270,0)),"Not Mapped"))</f>
        <v>Not Mapped</v>
      </c>
      <c r="E675" s="41" t="n">
        <v>4149</v>
      </c>
      <c r="F675" s="41" t="n">
        <v>696</v>
      </c>
      <c r="G675" s="41" t="n">
        <v>1405</v>
      </c>
      <c r="H675" s="41" t="n">
        <v>1637</v>
      </c>
      <c r="I675" s="41" t="n">
        <v>89</v>
      </c>
      <c r="J675" s="41" t="n">
        <v>0</v>
      </c>
      <c r="K675" s="41" t="n">
        <v>322</v>
      </c>
      <c r="L675" s="41" t="n">
        <v>2048</v>
      </c>
    </row>
    <row r="676" customFormat="false" ht="15.75" hidden="false" customHeight="false" outlineLevel="0" collapsed="false">
      <c r="B676" s="39" t="s">
        <v>827</v>
      </c>
      <c r="C676" s="40" t="str">
        <f aca="false">IF(B676="","",IFERROR(INDEX('CLM &amp; IM Mapping'!$B$2:$B$270,MATCH(TRIM(B676),'CLM &amp; IM Mapping'!$A$2:$A$270,0)),"Not Mapped"))</f>
        <v>Not Mapped</v>
      </c>
      <c r="D676" s="40" t="str">
        <f aca="false">IF(B676="","",IFERROR(INDEX('CLM &amp; IM Mapping'!$C$2:$C$270,MATCH(TRIM(B676),'CLM &amp; IM Mapping'!$A$2:$A$270,0)),"Not Mapped"))</f>
        <v>Not Mapped</v>
      </c>
      <c r="E676" s="41" t="n">
        <v>0</v>
      </c>
      <c r="F676" s="41" t="n">
        <v>0</v>
      </c>
      <c r="G676" s="41" t="n">
        <v>0</v>
      </c>
      <c r="H676" s="41" t="n">
        <v>0</v>
      </c>
      <c r="I676" s="41" t="n">
        <v>0</v>
      </c>
      <c r="J676" s="41" t="n">
        <v>0</v>
      </c>
      <c r="K676" s="41" t="n">
        <v>0</v>
      </c>
      <c r="L676" s="41" t="n">
        <v>0</v>
      </c>
    </row>
    <row r="677" customFormat="false" ht="15.75" hidden="false" customHeight="false" outlineLevel="0" collapsed="false">
      <c r="B677" s="39" t="s">
        <v>828</v>
      </c>
      <c r="C677" s="40" t="str">
        <f aca="false">IF(B677="","",IFERROR(INDEX('CLM &amp; IM Mapping'!$B$2:$B$270,MATCH(TRIM(B677),'CLM &amp; IM Mapping'!$A$2:$A$270,0)),"Not Mapped"))</f>
        <v>Not Mapped</v>
      </c>
      <c r="D677" s="40" t="str">
        <f aca="false">IF(B677="","",IFERROR(INDEX('CLM &amp; IM Mapping'!$C$2:$C$270,MATCH(TRIM(B677),'CLM &amp; IM Mapping'!$A$2:$A$270,0)),"Not Mapped"))</f>
        <v>Not Mapped</v>
      </c>
      <c r="E677" s="41" t="n">
        <v>0</v>
      </c>
      <c r="F677" s="41" t="n">
        <v>0</v>
      </c>
      <c r="G677" s="41" t="n">
        <v>0</v>
      </c>
      <c r="H677" s="41" t="n">
        <v>0</v>
      </c>
      <c r="I677" s="41" t="n">
        <v>0</v>
      </c>
      <c r="J677" s="41" t="n">
        <v>0</v>
      </c>
      <c r="K677" s="41" t="n">
        <v>0</v>
      </c>
      <c r="L677" s="41" t="n">
        <v>0</v>
      </c>
    </row>
    <row r="678" customFormat="false" ht="15.75" hidden="false" customHeight="false" outlineLevel="0" collapsed="false">
      <c r="B678" s="39" t="s">
        <v>829</v>
      </c>
      <c r="C678" s="40" t="str">
        <f aca="false">IF(B678="","",IFERROR(INDEX('CLM &amp; IM Mapping'!$B$2:$B$270,MATCH(TRIM(B678),'CLM &amp; IM Mapping'!$A$2:$A$270,0)),"Not Mapped"))</f>
        <v>Not Mapped</v>
      </c>
      <c r="D678" s="40" t="str">
        <f aca="false">IF(B678="","",IFERROR(INDEX('CLM &amp; IM Mapping'!$C$2:$C$270,MATCH(TRIM(B678),'CLM &amp; IM Mapping'!$A$2:$A$270,0)),"Not Mapped"))</f>
        <v>Not Mapped</v>
      </c>
      <c r="E678" s="41" t="n">
        <v>0</v>
      </c>
      <c r="F678" s="41" t="n">
        <v>0</v>
      </c>
      <c r="G678" s="41" t="n">
        <v>0</v>
      </c>
      <c r="H678" s="41" t="n">
        <v>0</v>
      </c>
      <c r="I678" s="41" t="n">
        <v>0</v>
      </c>
      <c r="J678" s="41" t="n">
        <v>0</v>
      </c>
      <c r="K678" s="41" t="n">
        <v>0</v>
      </c>
      <c r="L678" s="41" t="n">
        <v>0</v>
      </c>
    </row>
    <row r="679" customFormat="false" ht="15.75" hidden="false" customHeight="false" outlineLevel="0" collapsed="false">
      <c r="B679" s="39" t="s">
        <v>830</v>
      </c>
      <c r="C679" s="40" t="str">
        <f aca="false">IF(B679="","",IFERROR(INDEX('CLM &amp; IM Mapping'!$B$2:$B$270,MATCH(TRIM(B679),'CLM &amp; IM Mapping'!$A$2:$A$270,0)),"Not Mapped"))</f>
        <v>Not Mapped</v>
      </c>
      <c r="D679" s="40" t="str">
        <f aca="false">IF(B679="","",IFERROR(INDEX('CLM &amp; IM Mapping'!$C$2:$C$270,MATCH(TRIM(B679),'CLM &amp; IM Mapping'!$A$2:$A$270,0)),"Not Mapped"))</f>
        <v>Not Mapped</v>
      </c>
      <c r="E679" s="41" t="n">
        <v>4029</v>
      </c>
      <c r="F679" s="41" t="n">
        <v>30</v>
      </c>
      <c r="G679" s="41" t="n">
        <v>3999</v>
      </c>
      <c r="H679" s="41" t="n">
        <v>0</v>
      </c>
      <c r="I679" s="41" t="n">
        <v>0</v>
      </c>
      <c r="J679" s="41" t="n">
        <v>0</v>
      </c>
      <c r="K679" s="41" t="n">
        <v>0</v>
      </c>
      <c r="L679" s="41" t="n">
        <v>0</v>
      </c>
    </row>
    <row r="680" customFormat="false" ht="15.75" hidden="false" customHeight="false" outlineLevel="0" collapsed="false">
      <c r="B680" s="39" t="s">
        <v>831</v>
      </c>
      <c r="C680" s="40" t="str">
        <f aca="false">IF(B680="","",IFERROR(INDEX('CLM &amp; IM Mapping'!$B$2:$B$270,MATCH(TRIM(B680),'CLM &amp; IM Mapping'!$A$2:$A$270,0)),"Not Mapped"))</f>
        <v>Not Mapped</v>
      </c>
      <c r="D680" s="40" t="str">
        <f aca="false">IF(B680="","",IFERROR(INDEX('CLM &amp; IM Mapping'!$C$2:$C$270,MATCH(TRIM(B680),'CLM &amp; IM Mapping'!$A$2:$A$270,0)),"Not Mapped"))</f>
        <v>Not Mapped</v>
      </c>
      <c r="E680" s="41" t="n">
        <v>1046</v>
      </c>
      <c r="F680" s="41" t="n">
        <v>0</v>
      </c>
      <c r="G680" s="41" t="n">
        <v>0</v>
      </c>
      <c r="H680" s="41" t="n">
        <v>714</v>
      </c>
      <c r="I680" s="41" t="n">
        <v>0</v>
      </c>
      <c r="J680" s="41" t="n">
        <v>332</v>
      </c>
      <c r="K680" s="41" t="n">
        <v>0</v>
      </c>
      <c r="L680" s="41" t="n">
        <v>332</v>
      </c>
    </row>
    <row r="681" customFormat="false" ht="15.75" hidden="false" customHeight="false" outlineLevel="0" collapsed="false">
      <c r="B681" s="39" t="s">
        <v>832</v>
      </c>
      <c r="C681" s="40" t="str">
        <f aca="false">IF(B681="","",IFERROR(INDEX('CLM &amp; IM Mapping'!$B$2:$B$270,MATCH(TRIM(B681),'CLM &amp; IM Mapping'!$A$2:$A$270,0)),"Not Mapped"))</f>
        <v>Not Mapped</v>
      </c>
      <c r="D681" s="40" t="str">
        <f aca="false">IF(B681="","",IFERROR(INDEX('CLM &amp; IM Mapping'!$C$2:$C$270,MATCH(TRIM(B681),'CLM &amp; IM Mapping'!$A$2:$A$270,0)),"Not Mapped"))</f>
        <v>Not Mapped</v>
      </c>
      <c r="E681" s="41" t="n">
        <v>46</v>
      </c>
      <c r="F681" s="41" t="n">
        <v>24</v>
      </c>
      <c r="G681" s="41" t="n">
        <v>0</v>
      </c>
      <c r="H681" s="41" t="n">
        <v>9</v>
      </c>
      <c r="I681" s="41" t="n">
        <v>0</v>
      </c>
      <c r="J681" s="41" t="n">
        <v>0</v>
      </c>
      <c r="K681" s="41" t="n">
        <v>13</v>
      </c>
      <c r="L681" s="41" t="n">
        <v>22</v>
      </c>
    </row>
    <row r="682" customFormat="false" ht="15.75" hidden="false" customHeight="false" outlineLevel="0" collapsed="false">
      <c r="B682" s="39" t="s">
        <v>833</v>
      </c>
      <c r="C682" s="40" t="str">
        <f aca="false">IF(B682="","",IFERROR(INDEX('CLM &amp; IM Mapping'!$B$2:$B$270,MATCH(TRIM(B682),'CLM &amp; IM Mapping'!$A$2:$A$270,0)),"Not Mapped"))</f>
        <v>Not Mapped</v>
      </c>
      <c r="D682" s="40" t="str">
        <f aca="false">IF(B682="","",IFERROR(INDEX('CLM &amp; IM Mapping'!$C$2:$C$270,MATCH(TRIM(B682),'CLM &amp; IM Mapping'!$A$2:$A$270,0)),"Not Mapped"))</f>
        <v>Not Mapped</v>
      </c>
      <c r="E682" s="41" t="n">
        <v>2200</v>
      </c>
      <c r="F682" s="41" t="n">
        <v>4</v>
      </c>
      <c r="G682" s="41" t="n">
        <v>2196</v>
      </c>
      <c r="H682" s="41" t="n">
        <v>0</v>
      </c>
      <c r="I682" s="41" t="n">
        <v>0</v>
      </c>
      <c r="J682" s="41" t="n">
        <v>0</v>
      </c>
      <c r="K682" s="41" t="n">
        <v>0</v>
      </c>
      <c r="L682" s="41" t="n">
        <v>0</v>
      </c>
    </row>
    <row r="683" customFormat="false" ht="15.75" hidden="false" customHeight="false" outlineLevel="0" collapsed="false">
      <c r="B683" s="39" t="s">
        <v>834</v>
      </c>
      <c r="C683" s="40" t="str">
        <f aca="false">IF(B683="","",IFERROR(INDEX('CLM &amp; IM Mapping'!$B$2:$B$270,MATCH(TRIM(B683),'CLM &amp; IM Mapping'!$A$2:$A$270,0)),"Not Mapped"))</f>
        <v>Not Mapped</v>
      </c>
      <c r="D683" s="40" t="str">
        <f aca="false">IF(B683="","",IFERROR(INDEX('CLM &amp; IM Mapping'!$C$2:$C$270,MATCH(TRIM(B683),'CLM &amp; IM Mapping'!$A$2:$A$270,0)),"Not Mapped"))</f>
        <v>Not Mapped</v>
      </c>
      <c r="E683" s="41" t="n">
        <v>1878</v>
      </c>
      <c r="F683" s="41" t="n">
        <v>1878</v>
      </c>
      <c r="G683" s="41" t="n">
        <v>0</v>
      </c>
      <c r="H683" s="41" t="n">
        <v>0</v>
      </c>
      <c r="I683" s="41" t="n">
        <v>0</v>
      </c>
      <c r="J683" s="41" t="n">
        <v>0</v>
      </c>
      <c r="K683" s="41" t="n">
        <v>0</v>
      </c>
      <c r="L683" s="41" t="n">
        <v>0</v>
      </c>
    </row>
    <row r="684" customFormat="false" ht="15.75" hidden="false" customHeight="false" outlineLevel="0" collapsed="false">
      <c r="B684" s="39" t="s">
        <v>835</v>
      </c>
      <c r="C684" s="40" t="str">
        <f aca="false">IF(B684="","",IFERROR(INDEX('CLM &amp; IM Mapping'!$B$2:$B$270,MATCH(TRIM(B684),'CLM &amp; IM Mapping'!$A$2:$A$270,0)),"Not Mapped"))</f>
        <v>Not Mapped</v>
      </c>
      <c r="D684" s="40" t="str">
        <f aca="false">IF(B684="","",IFERROR(INDEX('CLM &amp; IM Mapping'!$C$2:$C$270,MATCH(TRIM(B684),'CLM &amp; IM Mapping'!$A$2:$A$270,0)),"Not Mapped"))</f>
        <v>Not Mapped</v>
      </c>
      <c r="E684" s="41" t="n">
        <v>7197</v>
      </c>
      <c r="F684" s="41" t="n">
        <v>0</v>
      </c>
      <c r="G684" s="41" t="n">
        <v>9</v>
      </c>
      <c r="H684" s="41" t="n">
        <v>2240</v>
      </c>
      <c r="I684" s="41" t="n">
        <v>0</v>
      </c>
      <c r="J684" s="41" t="n">
        <v>2542</v>
      </c>
      <c r="K684" s="41" t="n">
        <v>2406</v>
      </c>
      <c r="L684" s="41" t="n">
        <v>4948</v>
      </c>
    </row>
    <row r="685" customFormat="false" ht="15.75" hidden="false" customHeight="false" outlineLevel="0" collapsed="false">
      <c r="B685" s="39" t="s">
        <v>836</v>
      </c>
      <c r="C685" s="40" t="str">
        <f aca="false">IF(B685="","",IFERROR(INDEX('CLM &amp; IM Mapping'!$B$2:$B$270,MATCH(TRIM(B685),'CLM &amp; IM Mapping'!$A$2:$A$270,0)),"Not Mapped"))</f>
        <v>Not Mapped</v>
      </c>
      <c r="D685" s="40" t="str">
        <f aca="false">IF(B685="","",IFERROR(INDEX('CLM &amp; IM Mapping'!$C$2:$C$270,MATCH(TRIM(B685),'CLM &amp; IM Mapping'!$A$2:$A$270,0)),"Not Mapped"))</f>
        <v>Not Mapped</v>
      </c>
      <c r="E685" s="41" t="n">
        <v>2563</v>
      </c>
      <c r="F685" s="41" t="n">
        <v>1027</v>
      </c>
      <c r="G685" s="41" t="n">
        <v>1528</v>
      </c>
      <c r="H685" s="41" t="n">
        <v>0</v>
      </c>
      <c r="I685" s="41" t="n">
        <v>0</v>
      </c>
      <c r="J685" s="41" t="n">
        <v>0</v>
      </c>
      <c r="K685" s="41" t="n">
        <v>8</v>
      </c>
      <c r="L685" s="41" t="n">
        <v>8</v>
      </c>
    </row>
    <row r="686" customFormat="false" ht="15.75" hidden="false" customHeight="false" outlineLevel="0" collapsed="false">
      <c r="B686" s="39" t="s">
        <v>837</v>
      </c>
      <c r="C686" s="40" t="str">
        <f aca="false">IF(B686="","",IFERROR(INDEX('CLM &amp; IM Mapping'!$B$2:$B$270,MATCH(TRIM(B686),'CLM &amp; IM Mapping'!$A$2:$A$270,0)),"Not Mapped"))</f>
        <v>Not Mapped</v>
      </c>
      <c r="D686" s="40" t="str">
        <f aca="false">IF(B686="","",IFERROR(INDEX('CLM &amp; IM Mapping'!$C$2:$C$270,MATCH(TRIM(B686),'CLM &amp; IM Mapping'!$A$2:$A$270,0)),"Not Mapped"))</f>
        <v>Not Mapped</v>
      </c>
      <c r="E686" s="41" t="n">
        <v>458</v>
      </c>
      <c r="F686" s="41" t="n">
        <v>458</v>
      </c>
      <c r="G686" s="41" t="n">
        <v>0</v>
      </c>
      <c r="H686" s="41" t="n">
        <v>0</v>
      </c>
      <c r="I686" s="41" t="n">
        <v>0</v>
      </c>
      <c r="J686" s="41" t="n">
        <v>0</v>
      </c>
      <c r="K686" s="41" t="n">
        <v>0</v>
      </c>
      <c r="L686" s="41" t="n">
        <v>0</v>
      </c>
    </row>
    <row r="687" customFormat="false" ht="15.75" hidden="false" customHeight="false" outlineLevel="0" collapsed="false">
      <c r="B687" s="39" t="s">
        <v>838</v>
      </c>
      <c r="C687" s="40" t="str">
        <f aca="false">IF(B687="","",IFERROR(INDEX('CLM &amp; IM Mapping'!$B$2:$B$270,MATCH(TRIM(B687),'CLM &amp; IM Mapping'!$A$2:$A$270,0)),"Not Mapped"))</f>
        <v>Not Mapped</v>
      </c>
      <c r="D687" s="40" t="str">
        <f aca="false">IF(B687="","",IFERROR(INDEX('CLM &amp; IM Mapping'!$C$2:$C$270,MATCH(TRIM(B687),'CLM &amp; IM Mapping'!$A$2:$A$270,0)),"Not Mapped"))</f>
        <v>Not Mapped</v>
      </c>
      <c r="E687" s="41" t="n">
        <v>0</v>
      </c>
      <c r="F687" s="41" t="n">
        <v>0</v>
      </c>
      <c r="G687" s="41" t="n">
        <v>0</v>
      </c>
      <c r="H687" s="41" t="n">
        <v>0</v>
      </c>
      <c r="I687" s="41" t="n">
        <v>0</v>
      </c>
      <c r="J687" s="41" t="n">
        <v>0</v>
      </c>
      <c r="K687" s="41" t="n">
        <v>0</v>
      </c>
      <c r="L687" s="41" t="n">
        <v>0</v>
      </c>
    </row>
    <row r="688" customFormat="false" ht="15.75" hidden="false" customHeight="false" outlineLevel="0" collapsed="false">
      <c r="B688" s="39" t="s">
        <v>839</v>
      </c>
      <c r="C688" s="40" t="str">
        <f aca="false">IF(B688="","",IFERROR(INDEX('CLM &amp; IM Mapping'!$B$2:$B$270,MATCH(TRIM(B688),'CLM &amp; IM Mapping'!$A$2:$A$270,0)),"Not Mapped"))</f>
        <v>Not Mapped</v>
      </c>
      <c r="D688" s="40" t="str">
        <f aca="false">IF(B688="","",IFERROR(INDEX('CLM &amp; IM Mapping'!$C$2:$C$270,MATCH(TRIM(B688),'CLM &amp; IM Mapping'!$A$2:$A$270,0)),"Not Mapped"))</f>
        <v>Not Mapped</v>
      </c>
      <c r="E688" s="41" t="n">
        <v>3327</v>
      </c>
      <c r="F688" s="41" t="n">
        <v>11</v>
      </c>
      <c r="G688" s="41" t="n">
        <v>1871</v>
      </c>
      <c r="H688" s="41" t="n">
        <v>0</v>
      </c>
      <c r="I688" s="41" t="n">
        <v>1401</v>
      </c>
      <c r="J688" s="41" t="n">
        <v>0</v>
      </c>
      <c r="K688" s="41" t="n">
        <v>44</v>
      </c>
      <c r="L688" s="41" t="n">
        <v>1445</v>
      </c>
    </row>
    <row r="689" customFormat="false" ht="15.75" hidden="false" customHeight="false" outlineLevel="0" collapsed="false">
      <c r="B689" s="39" t="s">
        <v>840</v>
      </c>
      <c r="C689" s="40" t="str">
        <f aca="false">IF(B689="","",IFERROR(INDEX('CLM &amp; IM Mapping'!$B$2:$B$270,MATCH(TRIM(B689),'CLM &amp; IM Mapping'!$A$2:$A$270,0)),"Not Mapped"))</f>
        <v>Not Mapped</v>
      </c>
      <c r="D689" s="40" t="str">
        <f aca="false">IF(B689="","",IFERROR(INDEX('CLM &amp; IM Mapping'!$C$2:$C$270,MATCH(TRIM(B689),'CLM &amp; IM Mapping'!$A$2:$A$270,0)),"Not Mapped"))</f>
        <v>Not Mapped</v>
      </c>
      <c r="E689" s="41" t="n">
        <v>3336</v>
      </c>
      <c r="F689" s="41" t="n">
        <v>3336</v>
      </c>
      <c r="G689" s="41" t="n">
        <v>0</v>
      </c>
      <c r="H689" s="41" t="n">
        <v>0</v>
      </c>
      <c r="I689" s="41" t="n">
        <v>0</v>
      </c>
      <c r="J689" s="41" t="n">
        <v>0</v>
      </c>
      <c r="K689" s="41" t="n">
        <v>0</v>
      </c>
      <c r="L689" s="41" t="n">
        <v>0</v>
      </c>
    </row>
    <row r="690" customFormat="false" ht="15.75" hidden="false" customHeight="false" outlineLevel="0" collapsed="false">
      <c r="B690" s="39" t="s">
        <v>841</v>
      </c>
      <c r="C690" s="40" t="str">
        <f aca="false">IF(B690="","",IFERROR(INDEX('CLM &amp; IM Mapping'!$B$2:$B$270,MATCH(TRIM(B690),'CLM &amp; IM Mapping'!$A$2:$A$270,0)),"Not Mapped"))</f>
        <v>Not Mapped</v>
      </c>
      <c r="D690" s="40" t="str">
        <f aca="false">IF(B690="","",IFERROR(INDEX('CLM &amp; IM Mapping'!$C$2:$C$270,MATCH(TRIM(B690),'CLM &amp; IM Mapping'!$A$2:$A$270,0)),"Not Mapped"))</f>
        <v>Not Mapped</v>
      </c>
      <c r="E690" s="41" t="n">
        <v>2730</v>
      </c>
      <c r="F690" s="41" t="n">
        <v>2730</v>
      </c>
      <c r="G690" s="41" t="n">
        <v>0</v>
      </c>
      <c r="H690" s="41" t="n">
        <v>0</v>
      </c>
      <c r="I690" s="41" t="n">
        <v>0</v>
      </c>
      <c r="J690" s="41" t="n">
        <v>0</v>
      </c>
      <c r="K690" s="41" t="n">
        <v>0</v>
      </c>
      <c r="L690" s="41" t="n">
        <v>0</v>
      </c>
    </row>
    <row r="691" customFormat="false" ht="15.75" hidden="false" customHeight="false" outlineLevel="0" collapsed="false">
      <c r="B691" s="39" t="s">
        <v>842</v>
      </c>
      <c r="C691" s="40" t="str">
        <f aca="false">IF(B691="","",IFERROR(INDEX('CLM &amp; IM Mapping'!$B$2:$B$270,MATCH(TRIM(B691),'CLM &amp; IM Mapping'!$A$2:$A$270,0)),"Not Mapped"))</f>
        <v>Not Mapped</v>
      </c>
      <c r="D691" s="40" t="str">
        <f aca="false">IF(B691="","",IFERROR(INDEX('CLM &amp; IM Mapping'!$C$2:$C$270,MATCH(TRIM(B691),'CLM &amp; IM Mapping'!$A$2:$A$270,0)),"Not Mapped"))</f>
        <v>Not Mapped</v>
      </c>
      <c r="E691" s="41" t="n">
        <v>1056</v>
      </c>
      <c r="F691" s="41" t="n">
        <v>152</v>
      </c>
      <c r="G691" s="41" t="n">
        <v>904</v>
      </c>
      <c r="H691" s="41" t="n">
        <v>0</v>
      </c>
      <c r="I691" s="41" t="n">
        <v>0</v>
      </c>
      <c r="J691" s="41" t="n">
        <v>0</v>
      </c>
      <c r="K691" s="41" t="n">
        <v>0</v>
      </c>
      <c r="L691" s="41" t="n">
        <v>0</v>
      </c>
    </row>
    <row r="692" customFormat="false" ht="15.75" hidden="false" customHeight="false" outlineLevel="0" collapsed="false">
      <c r="B692" s="39" t="s">
        <v>843</v>
      </c>
      <c r="C692" s="40" t="str">
        <f aca="false">IF(B692="","",IFERROR(INDEX('CLM &amp; IM Mapping'!$B$2:$B$270,MATCH(TRIM(B692),'CLM &amp; IM Mapping'!$A$2:$A$270,0)),"Not Mapped"))</f>
        <v>Not Mapped</v>
      </c>
      <c r="D692" s="40" t="str">
        <f aca="false">IF(B692="","",IFERROR(INDEX('CLM &amp; IM Mapping'!$C$2:$C$270,MATCH(TRIM(B692),'CLM &amp; IM Mapping'!$A$2:$A$270,0)),"Not Mapped"))</f>
        <v>Not Mapped</v>
      </c>
      <c r="E692" s="41" t="n">
        <v>6443</v>
      </c>
      <c r="F692" s="41" t="n">
        <v>4952</v>
      </c>
      <c r="G692" s="41" t="n">
        <v>0</v>
      </c>
      <c r="H692" s="41" t="n">
        <v>0</v>
      </c>
      <c r="I692" s="41" t="n">
        <v>1491</v>
      </c>
      <c r="J692" s="41" t="n">
        <v>0</v>
      </c>
      <c r="K692" s="41" t="n">
        <v>0</v>
      </c>
      <c r="L692" s="41" t="n">
        <v>1491</v>
      </c>
    </row>
    <row r="693" customFormat="false" ht="15.75" hidden="false" customHeight="false" outlineLevel="0" collapsed="false">
      <c r="B693" s="39" t="s">
        <v>844</v>
      </c>
      <c r="C693" s="40" t="str">
        <f aca="false">IF(B693="","",IFERROR(INDEX('CLM &amp; IM Mapping'!$B$2:$B$270,MATCH(TRIM(B693),'CLM &amp; IM Mapping'!$A$2:$A$270,0)),"Not Mapped"))</f>
        <v>Not Mapped</v>
      </c>
      <c r="D693" s="40" t="str">
        <f aca="false">IF(B693="","",IFERROR(INDEX('CLM &amp; IM Mapping'!$C$2:$C$270,MATCH(TRIM(B693),'CLM &amp; IM Mapping'!$A$2:$A$270,0)),"Not Mapped"))</f>
        <v>Not Mapped</v>
      </c>
      <c r="E693" s="41" t="n">
        <v>0</v>
      </c>
      <c r="F693" s="41" t="n">
        <v>0</v>
      </c>
      <c r="G693" s="41" t="n">
        <v>0</v>
      </c>
      <c r="H693" s="41" t="n">
        <v>0</v>
      </c>
      <c r="I693" s="41" t="n">
        <v>0</v>
      </c>
      <c r="J693" s="41" t="n">
        <v>0</v>
      </c>
      <c r="K693" s="41" t="n">
        <v>0</v>
      </c>
      <c r="L693" s="41" t="n">
        <v>0</v>
      </c>
    </row>
    <row r="694" customFormat="false" ht="15.75" hidden="false" customHeight="false" outlineLevel="0" collapsed="false">
      <c r="B694" s="39" t="s">
        <v>845</v>
      </c>
      <c r="C694" s="40" t="str">
        <f aca="false">IF(B694="","",IFERROR(INDEX('CLM &amp; IM Mapping'!$B$2:$B$270,MATCH(TRIM(B694),'CLM &amp; IM Mapping'!$A$2:$A$270,0)),"Not Mapped"))</f>
        <v>Not Mapped</v>
      </c>
      <c r="D694" s="40" t="str">
        <f aca="false">IF(B694="","",IFERROR(INDEX('CLM &amp; IM Mapping'!$C$2:$C$270,MATCH(TRIM(B694),'CLM &amp; IM Mapping'!$A$2:$A$270,0)),"Not Mapped"))</f>
        <v>Not Mapped</v>
      </c>
      <c r="E694" s="41" t="n">
        <v>5644</v>
      </c>
      <c r="F694" s="41" t="n">
        <v>1250</v>
      </c>
      <c r="G694" s="41" t="n">
        <v>3705</v>
      </c>
      <c r="H694" s="41" t="n">
        <v>0</v>
      </c>
      <c r="I694" s="41" t="n">
        <v>689</v>
      </c>
      <c r="J694" s="41" t="n">
        <v>0</v>
      </c>
      <c r="K694" s="41" t="n">
        <v>0</v>
      </c>
      <c r="L694" s="41" t="n">
        <v>689</v>
      </c>
    </row>
    <row r="695" customFormat="false" ht="15.75" hidden="false" customHeight="false" outlineLevel="0" collapsed="false">
      <c r="B695" s="39" t="s">
        <v>261</v>
      </c>
      <c r="C695" s="40" t="str">
        <f aca="false">IF(B695="","",IFERROR(INDEX('CLM &amp; IM Mapping'!$B$2:$B$270,MATCH(TRIM(B695),'CLM &amp; IM Mapping'!$A$2:$A$270,0)),"Not Mapped"))</f>
        <v>Balaji G</v>
      </c>
      <c r="D695" s="40" t="str">
        <f aca="false">IF(B695="","",IFERROR(INDEX('CLM &amp; IM Mapping'!$C$2:$C$270,MATCH(TRIM(B695),'CLM &amp; IM Mapping'!$A$2:$A$270,0)),"Not Mapped"))</f>
        <v>Mohammed Akbar</v>
      </c>
      <c r="E695" s="41" t="n">
        <v>5334</v>
      </c>
      <c r="F695" s="41" t="n">
        <v>5120</v>
      </c>
      <c r="G695" s="41" t="n">
        <v>0</v>
      </c>
      <c r="H695" s="41" t="n">
        <v>0</v>
      </c>
      <c r="I695" s="41" t="n">
        <v>214</v>
      </c>
      <c r="J695" s="41" t="n">
        <v>0</v>
      </c>
      <c r="K695" s="41" t="n">
        <v>0</v>
      </c>
      <c r="L695" s="41" t="n">
        <v>214</v>
      </c>
    </row>
    <row r="696" customFormat="false" ht="15.75" hidden="false" customHeight="false" outlineLevel="0" collapsed="false">
      <c r="B696" s="39" t="s">
        <v>208</v>
      </c>
      <c r="C696" s="40" t="str">
        <f aca="false">IF(B696="","",IFERROR(INDEX('CLM &amp; IM Mapping'!$B$2:$B$270,MATCH(TRIM(B696),'CLM &amp; IM Mapping'!$A$2:$A$270,0)),"Not Mapped"))</f>
        <v>Bangareppa CS</v>
      </c>
      <c r="D696" s="40" t="str">
        <f aca="false">IF(B696="","",IFERROR(INDEX('CLM &amp; IM Mapping'!$C$2:$C$270,MATCH(TRIM(B696),'CLM &amp; IM Mapping'!$A$2:$A$270,0)),"Not Mapped"))</f>
        <v>Kishor K</v>
      </c>
      <c r="E696" s="41" t="n">
        <v>787</v>
      </c>
      <c r="F696" s="41" t="n">
        <v>8</v>
      </c>
      <c r="G696" s="41" t="n">
        <v>779</v>
      </c>
      <c r="H696" s="41" t="n">
        <v>0</v>
      </c>
      <c r="I696" s="41" t="n">
        <v>0</v>
      </c>
      <c r="J696" s="41" t="n">
        <v>0</v>
      </c>
      <c r="K696" s="41" t="n">
        <v>0</v>
      </c>
      <c r="L696" s="41" t="n">
        <v>0</v>
      </c>
    </row>
    <row r="697" customFormat="false" ht="15.75" hidden="false" customHeight="false" outlineLevel="0" collapsed="false">
      <c r="B697" s="39" t="s">
        <v>93</v>
      </c>
      <c r="C697" s="40" t="str">
        <f aca="false">IF(B697="","",IFERROR(INDEX('CLM &amp; IM Mapping'!$B$2:$B$270,MATCH(TRIM(B697),'CLM &amp; IM Mapping'!$A$2:$A$270,0)),"Not Mapped"))</f>
        <v>Bangareppa CS</v>
      </c>
      <c r="D697" s="40" t="str">
        <f aca="false">IF(B697="","",IFERROR(INDEX('CLM &amp; IM Mapping'!$C$2:$C$270,MATCH(TRIM(B697),'CLM &amp; IM Mapping'!$A$2:$A$270,0)),"Not Mapped"))</f>
        <v>Kishor K</v>
      </c>
      <c r="E697" s="41" t="n">
        <v>20</v>
      </c>
      <c r="F697" s="41" t="n">
        <v>0</v>
      </c>
      <c r="G697" s="41" t="n">
        <v>20</v>
      </c>
      <c r="H697" s="41" t="n">
        <v>0</v>
      </c>
      <c r="I697" s="41" t="n">
        <v>0</v>
      </c>
      <c r="J697" s="41" t="n">
        <v>0</v>
      </c>
      <c r="K697" s="41" t="n">
        <v>0</v>
      </c>
      <c r="L697" s="41" t="n">
        <v>0</v>
      </c>
    </row>
    <row r="698" customFormat="false" ht="15.75" hidden="false" customHeight="false" outlineLevel="0" collapsed="false">
      <c r="B698" s="39" t="s">
        <v>115</v>
      </c>
      <c r="C698" s="40" t="str">
        <f aca="false">IF(B698="","",IFERROR(INDEX('CLM &amp; IM Mapping'!$B$2:$B$270,MATCH(TRIM(B698),'CLM &amp; IM Mapping'!$A$2:$A$270,0)),"Not Mapped"))</f>
        <v>Bangareppa CS</v>
      </c>
      <c r="D698" s="40" t="str">
        <f aca="false">IF(B698="","",IFERROR(INDEX('CLM &amp; IM Mapping'!$C$2:$C$270,MATCH(TRIM(B698),'CLM &amp; IM Mapping'!$A$2:$A$270,0)),"Not Mapped"))</f>
        <v>Kishor K</v>
      </c>
      <c r="E698" s="41" t="n">
        <v>167</v>
      </c>
      <c r="F698" s="41" t="n">
        <v>0</v>
      </c>
      <c r="G698" s="41" t="n">
        <v>167</v>
      </c>
      <c r="H698" s="41" t="n">
        <v>0</v>
      </c>
      <c r="I698" s="41" t="n">
        <v>0</v>
      </c>
      <c r="J698" s="41" t="n">
        <v>0</v>
      </c>
      <c r="K698" s="41" t="n">
        <v>0</v>
      </c>
      <c r="L698" s="41" t="n">
        <v>0</v>
      </c>
    </row>
    <row r="699" customFormat="false" ht="15.75" hidden="false" customHeight="false" outlineLevel="0" collapsed="false">
      <c r="B699" s="39" t="s">
        <v>106</v>
      </c>
      <c r="C699" s="40" t="str">
        <f aca="false">IF(B699="","",IFERROR(INDEX('CLM &amp; IM Mapping'!$B$2:$B$270,MATCH(TRIM(B699),'CLM &amp; IM Mapping'!$A$2:$A$270,0)),"Not Mapped"))</f>
        <v>Bangareppa CS</v>
      </c>
      <c r="D699" s="40" t="str">
        <f aca="false">IF(B699="","",IFERROR(INDEX('CLM &amp; IM Mapping'!$C$2:$C$270,MATCH(TRIM(B699),'CLM &amp; IM Mapping'!$A$2:$A$270,0)),"Not Mapped"))</f>
        <v>Kishor K</v>
      </c>
      <c r="E699" s="41" t="n">
        <v>0</v>
      </c>
      <c r="F699" s="41" t="n">
        <v>0</v>
      </c>
      <c r="G699" s="41" t="n">
        <v>0</v>
      </c>
      <c r="H699" s="41" t="n">
        <v>0</v>
      </c>
      <c r="I699" s="41" t="n">
        <v>0</v>
      </c>
      <c r="J699" s="41" t="n">
        <v>0</v>
      </c>
      <c r="K699" s="41" t="n">
        <v>0</v>
      </c>
      <c r="L699" s="41" t="n">
        <v>0</v>
      </c>
    </row>
    <row r="700" customFormat="false" ht="15.75" hidden="false" customHeight="false" outlineLevel="0" collapsed="false">
      <c r="B700" s="39" t="s">
        <v>846</v>
      </c>
      <c r="C700" s="40" t="str">
        <f aca="false">IF(B700="","",IFERROR(INDEX('CLM &amp; IM Mapping'!$B$2:$B$270,MATCH(TRIM(B700),'CLM &amp; IM Mapping'!$A$2:$A$270,0)),"Not Mapped"))</f>
        <v>Not Mapped</v>
      </c>
      <c r="D700" s="40" t="str">
        <f aca="false">IF(B700="","",IFERROR(INDEX('CLM &amp; IM Mapping'!$C$2:$C$270,MATCH(TRIM(B700),'CLM &amp; IM Mapping'!$A$2:$A$270,0)),"Not Mapped"))</f>
        <v>Not Mapped</v>
      </c>
      <c r="E700" s="41" t="n">
        <v>0</v>
      </c>
      <c r="F700" s="41" t="n">
        <v>0</v>
      </c>
      <c r="G700" s="41" t="n">
        <v>0</v>
      </c>
      <c r="H700" s="41" t="n">
        <v>0</v>
      </c>
      <c r="I700" s="41" t="n">
        <v>0</v>
      </c>
      <c r="J700" s="41" t="n">
        <v>0</v>
      </c>
      <c r="K700" s="41" t="n">
        <v>0</v>
      </c>
      <c r="L700" s="41" t="n">
        <v>0</v>
      </c>
    </row>
    <row r="701" customFormat="false" ht="15.75" hidden="false" customHeight="false" outlineLevel="0" collapsed="false">
      <c r="B701" s="39" t="s">
        <v>847</v>
      </c>
      <c r="C701" s="40" t="str">
        <f aca="false">IF(B701="","",IFERROR(INDEX('CLM &amp; IM Mapping'!$B$2:$B$270,MATCH(TRIM(B701),'CLM &amp; IM Mapping'!$A$2:$A$270,0)),"Not Mapped"))</f>
        <v>Not Mapped</v>
      </c>
      <c r="D701" s="40" t="str">
        <f aca="false">IF(B701="","",IFERROR(INDEX('CLM &amp; IM Mapping'!$C$2:$C$270,MATCH(TRIM(B701),'CLM &amp; IM Mapping'!$A$2:$A$270,0)),"Not Mapped"))</f>
        <v>Not Mapped</v>
      </c>
      <c r="E701" s="41" t="n">
        <v>780</v>
      </c>
      <c r="F701" s="41" t="n">
        <v>64</v>
      </c>
      <c r="G701" s="41" t="n">
        <v>716</v>
      </c>
      <c r="H701" s="41" t="n">
        <v>0</v>
      </c>
      <c r="I701" s="41" t="n">
        <v>0</v>
      </c>
      <c r="J701" s="41" t="n">
        <v>0</v>
      </c>
      <c r="K701" s="41" t="n">
        <v>0</v>
      </c>
      <c r="L701" s="41" t="n">
        <v>0</v>
      </c>
    </row>
    <row r="702" customFormat="false" ht="15.75" hidden="false" customHeight="false" outlineLevel="0" collapsed="false">
      <c r="B702" s="39" t="s">
        <v>848</v>
      </c>
      <c r="C702" s="40" t="str">
        <f aca="false">IF(B702="","",IFERROR(INDEX('CLM &amp; IM Mapping'!$B$2:$B$270,MATCH(TRIM(B702),'CLM &amp; IM Mapping'!$A$2:$A$270,0)),"Not Mapped"))</f>
        <v>Not Mapped</v>
      </c>
      <c r="D702" s="40" t="str">
        <f aca="false">IF(B702="","",IFERROR(INDEX('CLM &amp; IM Mapping'!$C$2:$C$270,MATCH(TRIM(B702),'CLM &amp; IM Mapping'!$A$2:$A$270,0)),"Not Mapped"))</f>
        <v>Not Mapped</v>
      </c>
      <c r="E702" s="41" t="n">
        <v>0</v>
      </c>
      <c r="F702" s="41" t="n">
        <v>0</v>
      </c>
      <c r="G702" s="41" t="n">
        <v>0</v>
      </c>
      <c r="H702" s="41" t="n">
        <v>0</v>
      </c>
      <c r="I702" s="41" t="n">
        <v>0</v>
      </c>
      <c r="J702" s="41" t="n">
        <v>0</v>
      </c>
      <c r="K702" s="41" t="n">
        <v>0</v>
      </c>
      <c r="L702" s="41" t="n">
        <v>0</v>
      </c>
    </row>
    <row r="703" customFormat="false" ht="15.75" hidden="false" customHeight="false" outlineLevel="0" collapsed="false">
      <c r="B703" s="39" t="s">
        <v>849</v>
      </c>
      <c r="C703" s="40" t="str">
        <f aca="false">IF(B703="","",IFERROR(INDEX('CLM &amp; IM Mapping'!$B$2:$B$270,MATCH(TRIM(B703),'CLM &amp; IM Mapping'!$A$2:$A$270,0)),"Not Mapped"))</f>
        <v>Not Mapped</v>
      </c>
      <c r="D703" s="40" t="str">
        <f aca="false">IF(B703="","",IFERROR(INDEX('CLM &amp; IM Mapping'!$C$2:$C$270,MATCH(TRIM(B703),'CLM &amp; IM Mapping'!$A$2:$A$270,0)),"Not Mapped"))</f>
        <v>Not Mapped</v>
      </c>
      <c r="E703" s="41" t="n">
        <v>1121</v>
      </c>
      <c r="F703" s="41" t="n">
        <v>82</v>
      </c>
      <c r="G703" s="41" t="n">
        <v>1039</v>
      </c>
      <c r="H703" s="41" t="n">
        <v>0</v>
      </c>
      <c r="I703" s="41" t="n">
        <v>0</v>
      </c>
      <c r="J703" s="41" t="n">
        <v>0</v>
      </c>
      <c r="K703" s="41" t="n">
        <v>0</v>
      </c>
      <c r="L703" s="41" t="n">
        <v>0</v>
      </c>
    </row>
    <row r="704" customFormat="false" ht="15.75" hidden="false" customHeight="false" outlineLevel="0" collapsed="false">
      <c r="B704" s="39" t="s">
        <v>850</v>
      </c>
      <c r="C704" s="40" t="str">
        <f aca="false">IF(B704="","",IFERROR(INDEX('CLM &amp; IM Mapping'!$B$2:$B$270,MATCH(TRIM(B704),'CLM &amp; IM Mapping'!$A$2:$A$270,0)),"Not Mapped"))</f>
        <v>Not Mapped</v>
      </c>
      <c r="D704" s="40" t="str">
        <f aca="false">IF(B704="","",IFERROR(INDEX('CLM &amp; IM Mapping'!$C$2:$C$270,MATCH(TRIM(B704),'CLM &amp; IM Mapping'!$A$2:$A$270,0)),"Not Mapped"))</f>
        <v>Not Mapped</v>
      </c>
      <c r="E704" s="41" t="n">
        <v>0</v>
      </c>
      <c r="F704" s="41" t="n">
        <v>0</v>
      </c>
      <c r="G704" s="41" t="n">
        <v>0</v>
      </c>
      <c r="H704" s="41" t="n">
        <v>0</v>
      </c>
      <c r="I704" s="41" t="n">
        <v>0</v>
      </c>
      <c r="J704" s="41" t="n">
        <v>0</v>
      </c>
      <c r="K704" s="41" t="n">
        <v>0</v>
      </c>
      <c r="L704" s="41" t="n">
        <v>0</v>
      </c>
    </row>
    <row r="705" customFormat="false" ht="15.75" hidden="false" customHeight="false" outlineLevel="0" collapsed="false">
      <c r="B705" s="39" t="s">
        <v>851</v>
      </c>
      <c r="C705" s="40" t="str">
        <f aca="false">IF(B705="","",IFERROR(INDEX('CLM &amp; IM Mapping'!$B$2:$B$270,MATCH(TRIM(B705),'CLM &amp; IM Mapping'!$A$2:$A$270,0)),"Not Mapped"))</f>
        <v>Not Mapped</v>
      </c>
      <c r="D705" s="40" t="str">
        <f aca="false">IF(B705="","",IFERROR(INDEX('CLM &amp; IM Mapping'!$C$2:$C$270,MATCH(TRIM(B705),'CLM &amp; IM Mapping'!$A$2:$A$270,0)),"Not Mapped"))</f>
        <v>Not Mapped</v>
      </c>
      <c r="E705" s="41" t="n">
        <v>8069</v>
      </c>
      <c r="F705" s="41" t="n">
        <v>2127</v>
      </c>
      <c r="G705" s="41" t="n">
        <v>0</v>
      </c>
      <c r="H705" s="41" t="n">
        <v>4716</v>
      </c>
      <c r="I705" s="41" t="n">
        <v>0</v>
      </c>
      <c r="J705" s="41" t="n">
        <v>1223</v>
      </c>
      <c r="K705" s="41" t="n">
        <v>3</v>
      </c>
      <c r="L705" s="41" t="n">
        <v>5942</v>
      </c>
    </row>
    <row r="706" customFormat="false" ht="15.75" hidden="false" customHeight="false" outlineLevel="0" collapsed="false">
      <c r="B706" s="39" t="s">
        <v>852</v>
      </c>
      <c r="C706" s="40" t="str">
        <f aca="false">IF(B706="","",IFERROR(INDEX('CLM &amp; IM Mapping'!$B$2:$B$270,MATCH(TRIM(B706),'CLM &amp; IM Mapping'!$A$2:$A$270,0)),"Not Mapped"))</f>
        <v>Not Mapped</v>
      </c>
      <c r="D706" s="40" t="str">
        <f aca="false">IF(B706="","",IFERROR(INDEX('CLM &amp; IM Mapping'!$C$2:$C$270,MATCH(TRIM(B706),'CLM &amp; IM Mapping'!$A$2:$A$270,0)),"Not Mapped"))</f>
        <v>Not Mapped</v>
      </c>
      <c r="E706" s="41" t="n">
        <v>6912</v>
      </c>
      <c r="F706" s="41" t="n">
        <v>36</v>
      </c>
      <c r="G706" s="41" t="n">
        <v>2375</v>
      </c>
      <c r="H706" s="41" t="n">
        <v>3937</v>
      </c>
      <c r="I706" s="41" t="n">
        <v>1</v>
      </c>
      <c r="J706" s="41" t="n">
        <v>338</v>
      </c>
      <c r="K706" s="41" t="n">
        <v>225</v>
      </c>
      <c r="L706" s="41" t="n">
        <v>4501</v>
      </c>
    </row>
    <row r="707" customFormat="false" ht="15.75" hidden="false" customHeight="false" outlineLevel="0" collapsed="false">
      <c r="B707" s="39" t="s">
        <v>853</v>
      </c>
      <c r="C707" s="40" t="str">
        <f aca="false">IF(B707="","",IFERROR(INDEX('CLM &amp; IM Mapping'!$B$2:$B$270,MATCH(TRIM(B707),'CLM &amp; IM Mapping'!$A$2:$A$270,0)),"Not Mapped"))</f>
        <v>Not Mapped</v>
      </c>
      <c r="D707" s="40" t="str">
        <f aca="false">IF(B707="","",IFERROR(INDEX('CLM &amp; IM Mapping'!$C$2:$C$270,MATCH(TRIM(B707),'CLM &amp; IM Mapping'!$A$2:$A$270,0)),"Not Mapped"))</f>
        <v>Not Mapped</v>
      </c>
      <c r="E707" s="41" t="n">
        <v>1881</v>
      </c>
      <c r="F707" s="41" t="n">
        <v>0</v>
      </c>
      <c r="G707" s="41" t="n">
        <v>1881</v>
      </c>
      <c r="H707" s="41" t="n">
        <v>0</v>
      </c>
      <c r="I707" s="41" t="n">
        <v>0</v>
      </c>
      <c r="J707" s="41" t="n">
        <v>0</v>
      </c>
      <c r="K707" s="41" t="n">
        <v>0</v>
      </c>
      <c r="L707" s="41" t="n">
        <v>0</v>
      </c>
    </row>
    <row r="708" customFormat="false" ht="15.75" hidden="false" customHeight="false" outlineLevel="0" collapsed="false">
      <c r="B708" s="39" t="s">
        <v>854</v>
      </c>
      <c r="C708" s="40" t="str">
        <f aca="false">IF(B708="","",IFERROR(INDEX('CLM &amp; IM Mapping'!$B$2:$B$270,MATCH(TRIM(B708),'CLM &amp; IM Mapping'!$A$2:$A$270,0)),"Not Mapped"))</f>
        <v>Not Mapped</v>
      </c>
      <c r="D708" s="40" t="str">
        <f aca="false">IF(B708="","",IFERROR(INDEX('CLM &amp; IM Mapping'!$C$2:$C$270,MATCH(TRIM(B708),'CLM &amp; IM Mapping'!$A$2:$A$270,0)),"Not Mapped"))</f>
        <v>Not Mapped</v>
      </c>
      <c r="E708" s="41" t="n">
        <v>0</v>
      </c>
      <c r="F708" s="41" t="n">
        <v>0</v>
      </c>
      <c r="G708" s="41" t="n">
        <v>0</v>
      </c>
      <c r="H708" s="41" t="n">
        <v>0</v>
      </c>
      <c r="I708" s="41" t="n">
        <v>0</v>
      </c>
      <c r="J708" s="41" t="n">
        <v>0</v>
      </c>
      <c r="K708" s="41" t="n">
        <v>0</v>
      </c>
      <c r="L708" s="41" t="n">
        <v>0</v>
      </c>
    </row>
    <row r="709" customFormat="false" ht="15.75" hidden="false" customHeight="false" outlineLevel="0" collapsed="false">
      <c r="B709" s="39" t="s">
        <v>855</v>
      </c>
      <c r="C709" s="40" t="str">
        <f aca="false">IF(B709="","",IFERROR(INDEX('CLM &amp; IM Mapping'!$B$2:$B$270,MATCH(TRIM(B709),'CLM &amp; IM Mapping'!$A$2:$A$270,0)),"Not Mapped"))</f>
        <v>Not Mapped</v>
      </c>
      <c r="D709" s="40" t="str">
        <f aca="false">IF(B709="","",IFERROR(INDEX('CLM &amp; IM Mapping'!$C$2:$C$270,MATCH(TRIM(B709),'CLM &amp; IM Mapping'!$A$2:$A$270,0)),"Not Mapped"))</f>
        <v>Not Mapped</v>
      </c>
      <c r="E709" s="41" t="n">
        <v>3273</v>
      </c>
      <c r="F709" s="41" t="n">
        <v>3273</v>
      </c>
      <c r="G709" s="41" t="n">
        <v>0</v>
      </c>
      <c r="H709" s="41" t="n">
        <v>0</v>
      </c>
      <c r="I709" s="41" t="n">
        <v>0</v>
      </c>
      <c r="J709" s="41" t="n">
        <v>0</v>
      </c>
      <c r="K709" s="41" t="n">
        <v>0</v>
      </c>
      <c r="L709" s="41" t="n">
        <v>0</v>
      </c>
    </row>
    <row r="710" customFormat="false" ht="15.75" hidden="false" customHeight="false" outlineLevel="0" collapsed="false">
      <c r="B710" s="39" t="s">
        <v>856</v>
      </c>
      <c r="C710" s="40" t="str">
        <f aca="false">IF(B710="","",IFERROR(INDEX('CLM &amp; IM Mapping'!$B$2:$B$270,MATCH(TRIM(B710),'CLM &amp; IM Mapping'!$A$2:$A$270,0)),"Not Mapped"))</f>
        <v>Not Mapped</v>
      </c>
      <c r="D710" s="40" t="str">
        <f aca="false">IF(B710="","",IFERROR(INDEX('CLM &amp; IM Mapping'!$C$2:$C$270,MATCH(TRIM(B710),'CLM &amp; IM Mapping'!$A$2:$A$270,0)),"Not Mapped"))</f>
        <v>Not Mapped</v>
      </c>
      <c r="E710" s="41" t="n">
        <v>5096</v>
      </c>
      <c r="F710" s="41" t="n">
        <v>3667</v>
      </c>
      <c r="G710" s="41" t="n">
        <v>229</v>
      </c>
      <c r="H710" s="41" t="n">
        <v>4</v>
      </c>
      <c r="I710" s="41" t="n">
        <v>589</v>
      </c>
      <c r="J710" s="41" t="n">
        <v>9</v>
      </c>
      <c r="K710" s="41" t="n">
        <v>598</v>
      </c>
      <c r="L710" s="41" t="n">
        <v>1200</v>
      </c>
    </row>
    <row r="711" customFormat="false" ht="15.75" hidden="false" customHeight="false" outlineLevel="0" collapsed="false">
      <c r="B711" s="39" t="s">
        <v>857</v>
      </c>
      <c r="C711" s="40" t="str">
        <f aca="false">IF(B711="","",IFERROR(INDEX('CLM &amp; IM Mapping'!$B$2:$B$270,MATCH(TRIM(B711),'CLM &amp; IM Mapping'!$A$2:$A$270,0)),"Not Mapped"))</f>
        <v>Not Mapped</v>
      </c>
      <c r="D711" s="40" t="str">
        <f aca="false">IF(B711="","",IFERROR(INDEX('CLM &amp; IM Mapping'!$C$2:$C$270,MATCH(TRIM(B711),'CLM &amp; IM Mapping'!$A$2:$A$270,0)),"Not Mapped"))</f>
        <v>Not Mapped</v>
      </c>
      <c r="E711" s="41" t="n">
        <v>3</v>
      </c>
      <c r="F711" s="41" t="n">
        <v>0</v>
      </c>
      <c r="G711" s="41" t="n">
        <v>0</v>
      </c>
      <c r="H711" s="41" t="n">
        <v>0</v>
      </c>
      <c r="I711" s="41" t="n">
        <v>0</v>
      </c>
      <c r="J711" s="41" t="n">
        <v>0</v>
      </c>
      <c r="K711" s="41" t="n">
        <v>3</v>
      </c>
      <c r="L711" s="41" t="n">
        <v>3</v>
      </c>
    </row>
    <row r="712" customFormat="false" ht="15.75" hidden="false" customHeight="false" outlineLevel="0" collapsed="false">
      <c r="B712" s="39" t="s">
        <v>858</v>
      </c>
      <c r="C712" s="40" t="str">
        <f aca="false">IF(B712="","",IFERROR(INDEX('CLM &amp; IM Mapping'!$B$2:$B$270,MATCH(TRIM(B712),'CLM &amp; IM Mapping'!$A$2:$A$270,0)),"Not Mapped"))</f>
        <v>Not Mapped</v>
      </c>
      <c r="D712" s="40" t="str">
        <f aca="false">IF(B712="","",IFERROR(INDEX('CLM &amp; IM Mapping'!$C$2:$C$270,MATCH(TRIM(B712),'CLM &amp; IM Mapping'!$A$2:$A$270,0)),"Not Mapped"))</f>
        <v>Not Mapped</v>
      </c>
      <c r="E712" s="41" t="n">
        <v>0</v>
      </c>
      <c r="F712" s="41" t="n">
        <v>0</v>
      </c>
      <c r="G712" s="41" t="n">
        <v>0</v>
      </c>
      <c r="H712" s="41" t="n">
        <v>0</v>
      </c>
      <c r="I712" s="41" t="n">
        <v>0</v>
      </c>
      <c r="J712" s="41" t="n">
        <v>0</v>
      </c>
      <c r="K712" s="41" t="n">
        <v>0</v>
      </c>
      <c r="L712" s="41" t="n">
        <v>0</v>
      </c>
    </row>
    <row r="713" customFormat="false" ht="15.75" hidden="false" customHeight="false" outlineLevel="0" collapsed="false">
      <c r="B713" s="23" t="s">
        <v>859</v>
      </c>
      <c r="C713" s="44" t="str">
        <f aca="false">IF(B713="","",IFERROR(INDEX('CLM &amp; IM Mapping'!$B$2:$B$270,MATCH(TRIM(B713),'CLM &amp; IM Mapping'!$A$2:$A$270,0)),"Not Mapped"))</f>
        <v>Not Mapped</v>
      </c>
      <c r="D713" s="44" t="str">
        <f aca="false">IF(B713="","",IFERROR(INDEX('CLM &amp; IM Mapping'!$C$2:$C$270,MATCH(TRIM(B713),'CLM &amp; IM Mapping'!$A$2:$A$270,0)),"Not Mapped"))</f>
        <v>Not Mapped</v>
      </c>
      <c r="E713" s="41" t="n">
        <v>0</v>
      </c>
      <c r="F713" s="41" t="n">
        <v>0</v>
      </c>
      <c r="G713" s="41" t="n">
        <v>0</v>
      </c>
      <c r="H713" s="41" t="n">
        <v>0</v>
      </c>
      <c r="I713" s="41" t="n">
        <v>0</v>
      </c>
      <c r="J713" s="41" t="n">
        <v>0</v>
      </c>
      <c r="K713" s="41" t="n">
        <v>0</v>
      </c>
      <c r="L713" s="41" t="n">
        <v>0</v>
      </c>
    </row>
    <row r="714" customFormat="false" ht="15.75" hidden="false" customHeight="false" outlineLevel="0" collapsed="false">
      <c r="B714" s="39" t="s">
        <v>860</v>
      </c>
      <c r="C714" s="40" t="str">
        <f aca="false">IF(B714="","",IFERROR(INDEX('CLM &amp; IM Mapping'!$B$2:$B$270,MATCH(TRIM(B714),'CLM &amp; IM Mapping'!$A$2:$A$270,0)),"Not Mapped"))</f>
        <v>Not Mapped</v>
      </c>
      <c r="D714" s="40" t="str">
        <f aca="false">IF(B714="","",IFERROR(INDEX('CLM &amp; IM Mapping'!$C$2:$C$270,MATCH(TRIM(B714),'CLM &amp; IM Mapping'!$A$2:$A$270,0)),"Not Mapped"))</f>
        <v>Not Mapped</v>
      </c>
      <c r="E714" s="41" t="n">
        <v>3252</v>
      </c>
      <c r="F714" s="41" t="n">
        <v>1290</v>
      </c>
      <c r="G714" s="41" t="n">
        <v>1962</v>
      </c>
      <c r="H714" s="41" t="n">
        <v>0</v>
      </c>
      <c r="I714" s="41" t="n">
        <v>0</v>
      </c>
      <c r="J714" s="41" t="n">
        <v>0</v>
      </c>
      <c r="K714" s="41" t="n">
        <v>0</v>
      </c>
      <c r="L714" s="41" t="n">
        <v>0</v>
      </c>
    </row>
    <row r="715" customFormat="false" ht="15.75" hidden="false" customHeight="false" outlineLevel="0" collapsed="false">
      <c r="B715" s="39" t="s">
        <v>861</v>
      </c>
      <c r="C715" s="40" t="str">
        <f aca="false">IF(B715="","",IFERROR(INDEX('CLM &amp; IM Mapping'!$B$2:$B$270,MATCH(TRIM(B715),'CLM &amp; IM Mapping'!$A$2:$A$270,0)),"Not Mapped"))</f>
        <v>Not Mapped</v>
      </c>
      <c r="D715" s="40" t="str">
        <f aca="false">IF(B715="","",IFERROR(INDEX('CLM &amp; IM Mapping'!$C$2:$C$270,MATCH(TRIM(B715),'CLM &amp; IM Mapping'!$A$2:$A$270,0)),"Not Mapped"))</f>
        <v>Not Mapped</v>
      </c>
      <c r="E715" s="41" t="n">
        <v>2658</v>
      </c>
      <c r="F715" s="41" t="n">
        <v>0</v>
      </c>
      <c r="G715" s="41" t="n">
        <v>911</v>
      </c>
      <c r="H715" s="41" t="n">
        <v>1747</v>
      </c>
      <c r="I715" s="41" t="n">
        <v>0</v>
      </c>
      <c r="J715" s="41" t="n">
        <v>0</v>
      </c>
      <c r="K715" s="41" t="n">
        <v>0</v>
      </c>
      <c r="L715" s="41" t="n">
        <v>0</v>
      </c>
    </row>
    <row r="716" customFormat="false" ht="15.75" hidden="false" customHeight="false" outlineLevel="0" collapsed="false">
      <c r="B716" s="39" t="s">
        <v>862</v>
      </c>
      <c r="C716" s="40" t="str">
        <f aca="false">IF(B716="","",IFERROR(INDEX('CLM &amp; IM Mapping'!$B$2:$B$270,MATCH(TRIM(B716),'CLM &amp; IM Mapping'!$A$2:$A$270,0)),"Not Mapped"))</f>
        <v>Not Mapped</v>
      </c>
      <c r="D716" s="40" t="str">
        <f aca="false">IF(B716="","",IFERROR(INDEX('CLM &amp; IM Mapping'!$C$2:$C$270,MATCH(TRIM(B716),'CLM &amp; IM Mapping'!$A$2:$A$270,0)),"Not Mapped"))</f>
        <v>Not Mapped</v>
      </c>
      <c r="E716" s="41" t="n">
        <v>0</v>
      </c>
      <c r="F716" s="41" t="n">
        <v>0</v>
      </c>
      <c r="G716" s="41" t="n">
        <v>0</v>
      </c>
      <c r="H716" s="41" t="n">
        <v>0</v>
      </c>
      <c r="I716" s="41" t="n">
        <v>0</v>
      </c>
      <c r="J716" s="41" t="n">
        <v>0</v>
      </c>
      <c r="K716" s="41" t="n">
        <v>0</v>
      </c>
      <c r="L716" s="41" t="n">
        <v>0</v>
      </c>
    </row>
    <row r="717" customFormat="false" ht="15.75" hidden="false" customHeight="false" outlineLevel="0" collapsed="false">
      <c r="B717" s="39" t="s">
        <v>863</v>
      </c>
      <c r="C717" s="40" t="str">
        <f aca="false">IF(B717="","",IFERROR(INDEX('CLM &amp; IM Mapping'!$B$2:$B$270,MATCH(TRIM(B717),'CLM &amp; IM Mapping'!$A$2:$A$270,0)),"Not Mapped"))</f>
        <v>Not Mapped</v>
      </c>
      <c r="D717" s="40" t="str">
        <f aca="false">IF(B717="","",IFERROR(INDEX('CLM &amp; IM Mapping'!$C$2:$C$270,MATCH(TRIM(B717),'CLM &amp; IM Mapping'!$A$2:$A$270,0)),"Not Mapped"))</f>
        <v>Not Mapped</v>
      </c>
      <c r="E717" s="41" t="n">
        <v>1676</v>
      </c>
      <c r="F717" s="41" t="n">
        <v>1334</v>
      </c>
      <c r="G717" s="41" t="n">
        <v>342</v>
      </c>
      <c r="H717" s="41" t="n">
        <v>0</v>
      </c>
      <c r="I717" s="41" t="n">
        <v>0</v>
      </c>
      <c r="J717" s="41" t="n">
        <v>0</v>
      </c>
      <c r="K717" s="41" t="n">
        <v>0</v>
      </c>
      <c r="L717" s="41" t="n">
        <v>0</v>
      </c>
    </row>
    <row r="718" customFormat="false" ht="15.75" hidden="false" customHeight="false" outlineLevel="0" collapsed="false">
      <c r="B718" s="39" t="s">
        <v>864</v>
      </c>
      <c r="C718" s="40" t="str">
        <f aca="false">IF(B718="","",IFERROR(INDEX('CLM &amp; IM Mapping'!$B$2:$B$270,MATCH(TRIM(B718),'CLM &amp; IM Mapping'!$A$2:$A$270,0)),"Not Mapped"))</f>
        <v>Not Mapped</v>
      </c>
      <c r="D718" s="40" t="str">
        <f aca="false">IF(B718="","",IFERROR(INDEX('CLM &amp; IM Mapping'!$C$2:$C$270,MATCH(TRIM(B718),'CLM &amp; IM Mapping'!$A$2:$A$270,0)),"Not Mapped"))</f>
        <v>Not Mapped</v>
      </c>
      <c r="E718" s="41" t="n">
        <v>93</v>
      </c>
      <c r="F718" s="41" t="n">
        <v>0</v>
      </c>
      <c r="G718" s="41" t="n">
        <v>0</v>
      </c>
      <c r="H718" s="41" t="n">
        <v>93</v>
      </c>
      <c r="I718" s="41" t="n">
        <v>0</v>
      </c>
      <c r="J718" s="41" t="n">
        <v>0</v>
      </c>
      <c r="K718" s="41" t="n">
        <v>0</v>
      </c>
      <c r="L718" s="41" t="n">
        <v>0</v>
      </c>
    </row>
    <row r="719" customFormat="false" ht="15.75" hidden="false" customHeight="false" outlineLevel="0" collapsed="false">
      <c r="B719" s="39" t="s">
        <v>865</v>
      </c>
      <c r="C719" s="40" t="str">
        <f aca="false">IF(B719="","",IFERROR(INDEX('CLM &amp; IM Mapping'!$B$2:$B$270,MATCH(TRIM(B719),'CLM &amp; IM Mapping'!$A$2:$A$270,0)),"Not Mapped"))</f>
        <v>Not Mapped</v>
      </c>
      <c r="D719" s="40" t="str">
        <f aca="false">IF(B719="","",IFERROR(INDEX('CLM &amp; IM Mapping'!$C$2:$C$270,MATCH(TRIM(B719),'CLM &amp; IM Mapping'!$A$2:$A$270,0)),"Not Mapped"))</f>
        <v>Not Mapped</v>
      </c>
      <c r="E719" s="41" t="n">
        <v>0</v>
      </c>
      <c r="F719" s="41" t="n">
        <v>0</v>
      </c>
      <c r="G719" s="41" t="n">
        <v>0</v>
      </c>
      <c r="H719" s="41" t="n">
        <v>0</v>
      </c>
      <c r="I719" s="41" t="n">
        <v>0</v>
      </c>
      <c r="J719" s="41" t="n">
        <v>0</v>
      </c>
      <c r="K719" s="41" t="n">
        <v>0</v>
      </c>
      <c r="L719" s="41" t="n">
        <v>0</v>
      </c>
    </row>
    <row r="720" customFormat="false" ht="15.75" hidden="false" customHeight="false" outlineLevel="0" collapsed="false">
      <c r="B720" s="39" t="s">
        <v>866</v>
      </c>
      <c r="C720" s="40" t="str">
        <f aca="false">IF(B720="","",IFERROR(INDEX('CLM &amp; IM Mapping'!$B$2:$B$270,MATCH(TRIM(B720),'CLM &amp; IM Mapping'!$A$2:$A$270,0)),"Not Mapped"))</f>
        <v>Not Mapped</v>
      </c>
      <c r="D720" s="40" t="str">
        <f aca="false">IF(B720="","",IFERROR(INDEX('CLM &amp; IM Mapping'!$C$2:$C$270,MATCH(TRIM(B720),'CLM &amp; IM Mapping'!$A$2:$A$270,0)),"Not Mapped"))</f>
        <v>Not Mapped</v>
      </c>
      <c r="E720" s="41" t="n">
        <v>1296</v>
      </c>
      <c r="F720" s="41" t="n">
        <v>0</v>
      </c>
      <c r="G720" s="41" t="n">
        <v>0</v>
      </c>
      <c r="H720" s="41" t="n">
        <v>1296</v>
      </c>
      <c r="I720" s="41" t="n">
        <v>0</v>
      </c>
      <c r="J720" s="41" t="n">
        <v>0</v>
      </c>
      <c r="K720" s="41" t="n">
        <v>0</v>
      </c>
      <c r="L720" s="41" t="n">
        <v>1296</v>
      </c>
    </row>
    <row r="721" customFormat="false" ht="15.75" hidden="false" customHeight="false" outlineLevel="0" collapsed="false">
      <c r="B721" s="39" t="s">
        <v>867</v>
      </c>
      <c r="C721" s="40" t="str">
        <f aca="false">IF(B721="","",IFERROR(INDEX('CLM &amp; IM Mapping'!$B$2:$B$270,MATCH(TRIM(B721),'CLM &amp; IM Mapping'!$A$2:$A$270,0)),"Not Mapped"))</f>
        <v>Not Mapped</v>
      </c>
      <c r="D721" s="40" t="str">
        <f aca="false">IF(B721="","",IFERROR(INDEX('CLM &amp; IM Mapping'!$C$2:$C$270,MATCH(TRIM(B721),'CLM &amp; IM Mapping'!$A$2:$A$270,0)),"Not Mapped"))</f>
        <v>Not Mapped</v>
      </c>
      <c r="E721" s="41" t="n">
        <v>70</v>
      </c>
      <c r="F721" s="41" t="n">
        <v>0</v>
      </c>
      <c r="G721" s="41" t="n">
        <v>0</v>
      </c>
      <c r="H721" s="41" t="n">
        <v>0</v>
      </c>
      <c r="I721" s="41" t="n">
        <v>0</v>
      </c>
      <c r="J721" s="41" t="n">
        <v>7</v>
      </c>
      <c r="K721" s="41" t="n">
        <v>63</v>
      </c>
      <c r="L721" s="41" t="n">
        <v>70</v>
      </c>
    </row>
    <row r="722" customFormat="false" ht="15.75" hidden="false" customHeight="false" outlineLevel="0" collapsed="false">
      <c r="B722" s="39" t="s">
        <v>868</v>
      </c>
      <c r="C722" s="40" t="str">
        <f aca="false">IF(B722="","",IFERROR(INDEX('CLM &amp; IM Mapping'!$B$2:$B$270,MATCH(TRIM(B722),'CLM &amp; IM Mapping'!$A$2:$A$270,0)),"Not Mapped"))</f>
        <v>Not Mapped</v>
      </c>
      <c r="D722" s="40" t="str">
        <f aca="false">IF(B722="","",IFERROR(INDEX('CLM &amp; IM Mapping'!$C$2:$C$270,MATCH(TRIM(B722),'CLM &amp; IM Mapping'!$A$2:$A$270,0)),"Not Mapped"))</f>
        <v>Not Mapped</v>
      </c>
      <c r="E722" s="41" t="n">
        <v>3821</v>
      </c>
      <c r="F722" s="41" t="n">
        <v>1742</v>
      </c>
      <c r="G722" s="41" t="n">
        <v>2032</v>
      </c>
      <c r="H722" s="41" t="n">
        <v>1</v>
      </c>
      <c r="I722" s="41" t="n">
        <v>46</v>
      </c>
      <c r="J722" s="41" t="n">
        <v>0</v>
      </c>
      <c r="K722" s="41" t="n">
        <v>0</v>
      </c>
      <c r="L722" s="41" t="n">
        <v>47</v>
      </c>
    </row>
    <row r="723" customFormat="false" ht="15.75" hidden="false" customHeight="false" outlineLevel="0" collapsed="false">
      <c r="B723" s="39" t="s">
        <v>869</v>
      </c>
      <c r="C723" s="40" t="str">
        <f aca="false">IF(B723="","",IFERROR(INDEX('CLM &amp; IM Mapping'!$B$2:$B$270,MATCH(TRIM(B723),'CLM &amp; IM Mapping'!$A$2:$A$270,0)),"Not Mapped"))</f>
        <v>Not Mapped</v>
      </c>
      <c r="D723" s="40" t="str">
        <f aca="false">IF(B723="","",IFERROR(INDEX('CLM &amp; IM Mapping'!$C$2:$C$270,MATCH(TRIM(B723),'CLM &amp; IM Mapping'!$A$2:$A$270,0)),"Not Mapped"))</f>
        <v>Not Mapped</v>
      </c>
      <c r="E723" s="41" t="n">
        <v>0</v>
      </c>
      <c r="F723" s="41" t="n">
        <v>0</v>
      </c>
      <c r="G723" s="41" t="n">
        <v>0</v>
      </c>
      <c r="H723" s="41" t="n">
        <v>0</v>
      </c>
      <c r="I723" s="41" t="n">
        <v>0</v>
      </c>
      <c r="J723" s="41" t="n">
        <v>0</v>
      </c>
      <c r="K723" s="41" t="n">
        <v>0</v>
      </c>
      <c r="L723" s="41" t="n">
        <v>0</v>
      </c>
    </row>
    <row r="724" customFormat="false" ht="15.75" hidden="false" customHeight="false" outlineLevel="0" collapsed="false">
      <c r="B724" s="39" t="s">
        <v>870</v>
      </c>
      <c r="C724" s="40" t="str">
        <f aca="false">IF(B724="","",IFERROR(INDEX('CLM &amp; IM Mapping'!$B$2:$B$270,MATCH(TRIM(B724),'CLM &amp; IM Mapping'!$A$2:$A$270,0)),"Not Mapped"))</f>
        <v>Not Mapped</v>
      </c>
      <c r="D724" s="40" t="str">
        <f aca="false">IF(B724="","",IFERROR(INDEX('CLM &amp; IM Mapping'!$C$2:$C$270,MATCH(TRIM(B724),'CLM &amp; IM Mapping'!$A$2:$A$270,0)),"Not Mapped"))</f>
        <v>Not Mapped</v>
      </c>
      <c r="E724" s="41" t="n">
        <v>0</v>
      </c>
      <c r="F724" s="41" t="n">
        <v>0</v>
      </c>
      <c r="G724" s="41" t="n">
        <v>0</v>
      </c>
      <c r="H724" s="41" t="n">
        <v>0</v>
      </c>
      <c r="I724" s="41" t="n">
        <v>0</v>
      </c>
      <c r="J724" s="41" t="n">
        <v>0</v>
      </c>
      <c r="K724" s="41" t="n">
        <v>0</v>
      </c>
      <c r="L724" s="41" t="n">
        <v>0</v>
      </c>
    </row>
    <row r="725" customFormat="false" ht="15.75" hidden="false" customHeight="false" outlineLevel="0" collapsed="false">
      <c r="B725" s="39" t="s">
        <v>871</v>
      </c>
      <c r="C725" s="40" t="str">
        <f aca="false">IF(B725="","",IFERROR(INDEX('CLM &amp; IM Mapping'!$B$2:$B$270,MATCH(TRIM(B725),'CLM &amp; IM Mapping'!$A$2:$A$270,0)),"Not Mapped"))</f>
        <v>Not Mapped</v>
      </c>
      <c r="D725" s="40" t="str">
        <f aca="false">IF(B725="","",IFERROR(INDEX('CLM &amp; IM Mapping'!$C$2:$C$270,MATCH(TRIM(B725),'CLM &amp; IM Mapping'!$A$2:$A$270,0)),"Not Mapped"))</f>
        <v>Not Mapped</v>
      </c>
      <c r="E725" s="41" t="n">
        <v>1810</v>
      </c>
      <c r="F725" s="41" t="n">
        <v>1057</v>
      </c>
      <c r="G725" s="41" t="n">
        <v>405</v>
      </c>
      <c r="H725" s="41" t="n">
        <v>343</v>
      </c>
      <c r="I725" s="41" t="n">
        <v>0</v>
      </c>
      <c r="J725" s="41" t="n">
        <v>4</v>
      </c>
      <c r="K725" s="41" t="n">
        <v>1</v>
      </c>
      <c r="L725" s="41" t="n">
        <v>348</v>
      </c>
    </row>
    <row r="726" customFormat="false" ht="15.75" hidden="false" customHeight="false" outlineLevel="0" collapsed="false">
      <c r="B726" s="39" t="s">
        <v>872</v>
      </c>
      <c r="C726" s="40" t="str">
        <f aca="false">IF(B726="","",IFERROR(INDEX('CLM &amp; IM Mapping'!$B$2:$B$270,MATCH(TRIM(B726),'CLM &amp; IM Mapping'!$A$2:$A$270,0)),"Not Mapped"))</f>
        <v>Not Mapped</v>
      </c>
      <c r="D726" s="40" t="str">
        <f aca="false">IF(B726="","",IFERROR(INDEX('CLM &amp; IM Mapping'!$C$2:$C$270,MATCH(TRIM(B726),'CLM &amp; IM Mapping'!$A$2:$A$270,0)),"Not Mapped"))</f>
        <v>Not Mapped</v>
      </c>
      <c r="E726" s="41" t="n">
        <v>5988</v>
      </c>
      <c r="F726" s="41" t="n">
        <v>0</v>
      </c>
      <c r="G726" s="41" t="n">
        <v>0</v>
      </c>
      <c r="H726" s="41" t="n">
        <v>4933</v>
      </c>
      <c r="I726" s="41" t="n">
        <v>0</v>
      </c>
      <c r="J726" s="41" t="n">
        <v>140</v>
      </c>
      <c r="K726" s="41" t="n">
        <v>915</v>
      </c>
      <c r="L726" s="41" t="n">
        <v>5988</v>
      </c>
    </row>
    <row r="727" customFormat="false" ht="15.75" hidden="false" customHeight="false" outlineLevel="0" collapsed="false">
      <c r="B727" s="39" t="s">
        <v>873</v>
      </c>
      <c r="C727" s="40" t="str">
        <f aca="false">IF(B727="","",IFERROR(INDEX('CLM &amp; IM Mapping'!$B$2:$B$270,MATCH(TRIM(B727),'CLM &amp; IM Mapping'!$A$2:$A$270,0)),"Not Mapped"))</f>
        <v>Not Mapped</v>
      </c>
      <c r="D727" s="40" t="str">
        <f aca="false">IF(B727="","",IFERROR(INDEX('CLM &amp; IM Mapping'!$C$2:$C$270,MATCH(TRIM(B727),'CLM &amp; IM Mapping'!$A$2:$A$270,0)),"Not Mapped"))</f>
        <v>Not Mapped</v>
      </c>
      <c r="E727" s="41" t="n">
        <v>3892</v>
      </c>
      <c r="F727" s="41" t="n">
        <v>3372</v>
      </c>
      <c r="G727" s="41" t="n">
        <v>0</v>
      </c>
      <c r="H727" s="41" t="n">
        <v>0</v>
      </c>
      <c r="I727" s="41" t="n">
        <v>520</v>
      </c>
      <c r="J727" s="41" t="n">
        <v>0</v>
      </c>
      <c r="K727" s="41" t="n">
        <v>0</v>
      </c>
      <c r="L727" s="41" t="n">
        <v>520</v>
      </c>
    </row>
    <row r="728" customFormat="false" ht="15.75" hidden="false" customHeight="false" outlineLevel="0" collapsed="false">
      <c r="B728" s="39" t="s">
        <v>874</v>
      </c>
      <c r="C728" s="40" t="str">
        <f aca="false">IF(B728="","",IFERROR(INDEX('CLM &amp; IM Mapping'!$B$2:$B$270,MATCH(TRIM(B728),'CLM &amp; IM Mapping'!$A$2:$A$270,0)),"Not Mapped"))</f>
        <v>Not Mapped</v>
      </c>
      <c r="D728" s="40" t="str">
        <f aca="false">IF(B728="","",IFERROR(INDEX('CLM &amp; IM Mapping'!$C$2:$C$270,MATCH(TRIM(B728),'CLM &amp; IM Mapping'!$A$2:$A$270,0)),"Not Mapped"))</f>
        <v>Not Mapped</v>
      </c>
      <c r="E728" s="41" t="n">
        <v>258</v>
      </c>
      <c r="F728" s="41" t="n">
        <v>0</v>
      </c>
      <c r="G728" s="41" t="n">
        <v>0</v>
      </c>
      <c r="H728" s="41" t="n">
        <v>258</v>
      </c>
      <c r="I728" s="41" t="n">
        <v>0</v>
      </c>
      <c r="J728" s="41" t="n">
        <v>0</v>
      </c>
      <c r="K728" s="41" t="n">
        <v>0</v>
      </c>
      <c r="L728" s="41" t="n">
        <v>0</v>
      </c>
    </row>
    <row r="729" customFormat="false" ht="15.75" hidden="false" customHeight="false" outlineLevel="0" collapsed="false">
      <c r="B729" s="39" t="s">
        <v>875</v>
      </c>
      <c r="C729" s="40" t="str">
        <f aca="false">IF(B729="","",IFERROR(INDEX('CLM &amp; IM Mapping'!$B$2:$B$270,MATCH(TRIM(B729),'CLM &amp; IM Mapping'!$A$2:$A$270,0)),"Not Mapped"))</f>
        <v>Not Mapped</v>
      </c>
      <c r="D729" s="40" t="str">
        <f aca="false">IF(B729="","",IFERROR(INDEX('CLM &amp; IM Mapping'!$C$2:$C$270,MATCH(TRIM(B729),'CLM &amp; IM Mapping'!$A$2:$A$270,0)),"Not Mapped"))</f>
        <v>Not Mapped</v>
      </c>
      <c r="E729" s="41" t="n">
        <v>0</v>
      </c>
      <c r="F729" s="41" t="n">
        <v>0</v>
      </c>
      <c r="G729" s="41" t="n">
        <v>0</v>
      </c>
      <c r="H729" s="41" t="n">
        <v>0</v>
      </c>
      <c r="I729" s="41" t="n">
        <v>0</v>
      </c>
      <c r="J729" s="41" t="n">
        <v>0</v>
      </c>
      <c r="K729" s="41" t="n">
        <v>0</v>
      </c>
      <c r="L729" s="41" t="n">
        <v>0</v>
      </c>
    </row>
    <row r="730" customFormat="false" ht="15.75" hidden="false" customHeight="false" outlineLevel="0" collapsed="false">
      <c r="B730" s="39" t="s">
        <v>876</v>
      </c>
      <c r="C730" s="40" t="str">
        <f aca="false">IF(B730="","",IFERROR(INDEX('CLM &amp; IM Mapping'!$B$2:$B$270,MATCH(TRIM(B730),'CLM &amp; IM Mapping'!$A$2:$A$270,0)),"Not Mapped"))</f>
        <v>Not Mapped</v>
      </c>
      <c r="D730" s="40" t="str">
        <f aca="false">IF(B730="","",IFERROR(INDEX('CLM &amp; IM Mapping'!$C$2:$C$270,MATCH(TRIM(B730),'CLM &amp; IM Mapping'!$A$2:$A$270,0)),"Not Mapped"))</f>
        <v>Not Mapped</v>
      </c>
      <c r="E730" s="41" t="n">
        <v>235</v>
      </c>
      <c r="F730" s="41" t="n">
        <v>0</v>
      </c>
      <c r="G730" s="41" t="n">
        <v>235</v>
      </c>
      <c r="H730" s="41" t="n">
        <v>0</v>
      </c>
      <c r="I730" s="41" t="n">
        <v>0</v>
      </c>
      <c r="J730" s="41" t="n">
        <v>0</v>
      </c>
      <c r="K730" s="41" t="n">
        <v>0</v>
      </c>
      <c r="L730" s="41" t="n">
        <v>0</v>
      </c>
    </row>
    <row r="731" customFormat="false" ht="15.75" hidden="false" customHeight="false" outlineLevel="0" collapsed="false">
      <c r="B731" s="39" t="s">
        <v>877</v>
      </c>
      <c r="C731" s="40" t="str">
        <f aca="false">IF(B731="","",IFERROR(INDEX('CLM &amp; IM Mapping'!$B$2:$B$270,MATCH(TRIM(B731),'CLM &amp; IM Mapping'!$A$2:$A$270,0)),"Not Mapped"))</f>
        <v>Not Mapped</v>
      </c>
      <c r="D731" s="40" t="str">
        <f aca="false">IF(B731="","",IFERROR(INDEX('CLM &amp; IM Mapping'!$C$2:$C$270,MATCH(TRIM(B731),'CLM &amp; IM Mapping'!$A$2:$A$270,0)),"Not Mapped"))</f>
        <v>Not Mapped</v>
      </c>
      <c r="E731" s="41" t="n">
        <v>0</v>
      </c>
      <c r="F731" s="41" t="n">
        <v>0</v>
      </c>
      <c r="G731" s="41" t="n">
        <v>0</v>
      </c>
      <c r="H731" s="41" t="n">
        <v>0</v>
      </c>
      <c r="I731" s="41" t="n">
        <v>0</v>
      </c>
      <c r="J731" s="41" t="n">
        <v>0</v>
      </c>
      <c r="K731" s="41" t="n">
        <v>0</v>
      </c>
      <c r="L731" s="41" t="n">
        <v>0</v>
      </c>
    </row>
    <row r="732" customFormat="false" ht="15.75" hidden="false" customHeight="false" outlineLevel="0" collapsed="false">
      <c r="B732" s="39" t="s">
        <v>878</v>
      </c>
      <c r="C732" s="40" t="str">
        <f aca="false">IF(B732="","",IFERROR(INDEX('CLM &amp; IM Mapping'!$B$2:$B$270,MATCH(TRIM(B732),'CLM &amp; IM Mapping'!$A$2:$A$270,0)),"Not Mapped"))</f>
        <v>Not Mapped</v>
      </c>
      <c r="D732" s="40" t="str">
        <f aca="false">IF(B732="","",IFERROR(INDEX('CLM &amp; IM Mapping'!$C$2:$C$270,MATCH(TRIM(B732),'CLM &amp; IM Mapping'!$A$2:$A$270,0)),"Not Mapped"))</f>
        <v>Not Mapped</v>
      </c>
      <c r="E732" s="41" t="n">
        <v>1247</v>
      </c>
      <c r="F732" s="41" t="n">
        <v>1247</v>
      </c>
      <c r="G732" s="41" t="n">
        <v>0</v>
      </c>
      <c r="H732" s="41" t="n">
        <v>0</v>
      </c>
      <c r="I732" s="41" t="n">
        <v>0</v>
      </c>
      <c r="J732" s="41" t="n">
        <v>0</v>
      </c>
      <c r="K732" s="41" t="n">
        <v>0</v>
      </c>
      <c r="L732" s="41" t="n">
        <v>0</v>
      </c>
    </row>
    <row r="733" customFormat="false" ht="15.75" hidden="false" customHeight="false" outlineLevel="0" collapsed="false">
      <c r="B733" s="39" t="s">
        <v>879</v>
      </c>
      <c r="C733" s="40" t="str">
        <f aca="false">IF(B733="","",IFERROR(INDEX('CLM &amp; IM Mapping'!$B$2:$B$270,MATCH(TRIM(B733),'CLM &amp; IM Mapping'!$A$2:$A$270,0)),"Not Mapped"))</f>
        <v>Not Mapped</v>
      </c>
      <c r="D733" s="40" t="str">
        <f aca="false">IF(B733="","",IFERROR(INDEX('CLM &amp; IM Mapping'!$C$2:$C$270,MATCH(TRIM(B733),'CLM &amp; IM Mapping'!$A$2:$A$270,0)),"Not Mapped"))</f>
        <v>Not Mapped</v>
      </c>
      <c r="E733" s="41" t="n">
        <v>1246</v>
      </c>
      <c r="F733" s="41" t="n">
        <v>0</v>
      </c>
      <c r="G733" s="41" t="n">
        <v>0</v>
      </c>
      <c r="H733" s="41" t="n">
        <v>1246</v>
      </c>
      <c r="I733" s="41" t="n">
        <v>0</v>
      </c>
      <c r="J733" s="41" t="n">
        <v>0</v>
      </c>
      <c r="K733" s="41" t="n">
        <v>0</v>
      </c>
      <c r="L733" s="41" t="n">
        <v>0</v>
      </c>
    </row>
    <row r="734" customFormat="false" ht="15.75" hidden="false" customHeight="false" outlineLevel="0" collapsed="false">
      <c r="B734" s="39" t="s">
        <v>880</v>
      </c>
      <c r="C734" s="40" t="str">
        <f aca="false">IF(B734="","",IFERROR(INDEX('CLM &amp; IM Mapping'!$B$2:$B$270,MATCH(TRIM(B734),'CLM &amp; IM Mapping'!$A$2:$A$270,0)),"Not Mapped"))</f>
        <v>Not Mapped</v>
      </c>
      <c r="D734" s="40" t="str">
        <f aca="false">IF(B734="","",IFERROR(INDEX('CLM &amp; IM Mapping'!$C$2:$C$270,MATCH(TRIM(B734),'CLM &amp; IM Mapping'!$A$2:$A$270,0)),"Not Mapped"))</f>
        <v>Not Mapped</v>
      </c>
      <c r="E734" s="41" t="n">
        <v>1273</v>
      </c>
      <c r="F734" s="41" t="n">
        <v>0</v>
      </c>
      <c r="G734" s="41" t="n">
        <v>1273</v>
      </c>
      <c r="H734" s="41" t="n">
        <v>0</v>
      </c>
      <c r="I734" s="41" t="n">
        <v>0</v>
      </c>
      <c r="J734" s="41" t="n">
        <v>0</v>
      </c>
      <c r="K734" s="41" t="n">
        <v>0</v>
      </c>
      <c r="L734" s="41" t="n">
        <v>0</v>
      </c>
    </row>
    <row r="735" customFormat="false" ht="15.75" hidden="false" customHeight="false" outlineLevel="0" collapsed="false">
      <c r="B735" s="39" t="s">
        <v>881</v>
      </c>
      <c r="C735" s="40" t="str">
        <f aca="false">IF(B735="","",IFERROR(INDEX('CLM &amp; IM Mapping'!$B$2:$B$270,MATCH(TRIM(B735),'CLM &amp; IM Mapping'!$A$2:$A$270,0)),"Not Mapped"))</f>
        <v>Not Mapped</v>
      </c>
      <c r="D735" s="40" t="str">
        <f aca="false">IF(B735="","",IFERROR(INDEX('CLM &amp; IM Mapping'!$C$2:$C$270,MATCH(TRIM(B735),'CLM &amp; IM Mapping'!$A$2:$A$270,0)),"Not Mapped"))</f>
        <v>Not Mapped</v>
      </c>
      <c r="E735" s="41" t="n">
        <v>6269</v>
      </c>
      <c r="F735" s="41" t="n">
        <v>2862</v>
      </c>
      <c r="G735" s="41" t="n">
        <v>3040</v>
      </c>
      <c r="H735" s="41" t="n">
        <v>0</v>
      </c>
      <c r="I735" s="41" t="n">
        <v>0</v>
      </c>
      <c r="J735" s="41" t="n">
        <v>45</v>
      </c>
      <c r="K735" s="41" t="n">
        <v>322</v>
      </c>
      <c r="L735" s="41" t="n">
        <v>367</v>
      </c>
    </row>
    <row r="736" customFormat="false" ht="15.75" hidden="false" customHeight="false" outlineLevel="0" collapsed="false">
      <c r="B736" s="39" t="s">
        <v>882</v>
      </c>
      <c r="C736" s="40" t="str">
        <f aca="false">IF(B736="","",IFERROR(INDEX('CLM &amp; IM Mapping'!$B$2:$B$270,MATCH(TRIM(B736),'CLM &amp; IM Mapping'!$A$2:$A$270,0)),"Not Mapped"))</f>
        <v>Not Mapped</v>
      </c>
      <c r="D736" s="40" t="str">
        <f aca="false">IF(B736="","",IFERROR(INDEX('CLM &amp; IM Mapping'!$C$2:$C$270,MATCH(TRIM(B736),'CLM &amp; IM Mapping'!$A$2:$A$270,0)),"Not Mapped"))</f>
        <v>Not Mapped</v>
      </c>
      <c r="E736" s="41" t="n">
        <v>0</v>
      </c>
      <c r="F736" s="41" t="n">
        <v>0</v>
      </c>
      <c r="G736" s="41" t="n">
        <v>0</v>
      </c>
      <c r="H736" s="41" t="n">
        <v>0</v>
      </c>
      <c r="I736" s="41" t="n">
        <v>0</v>
      </c>
      <c r="J736" s="41" t="n">
        <v>0</v>
      </c>
      <c r="K736" s="41" t="n">
        <v>0</v>
      </c>
      <c r="L736" s="41" t="n">
        <v>0</v>
      </c>
    </row>
    <row r="737" customFormat="false" ht="15.75" hidden="false" customHeight="false" outlineLevel="0" collapsed="false">
      <c r="B737" s="39" t="s">
        <v>883</v>
      </c>
      <c r="C737" s="40" t="str">
        <f aca="false">IF(B737="","",IFERROR(INDEX('CLM &amp; IM Mapping'!$B$2:$B$270,MATCH(TRIM(B737),'CLM &amp; IM Mapping'!$A$2:$A$270,0)),"Not Mapped"))</f>
        <v>Not Mapped</v>
      </c>
      <c r="D737" s="40" t="str">
        <f aca="false">IF(B737="","",IFERROR(INDEX('CLM &amp; IM Mapping'!$C$2:$C$270,MATCH(TRIM(B737),'CLM &amp; IM Mapping'!$A$2:$A$270,0)),"Not Mapped"))</f>
        <v>Not Mapped</v>
      </c>
      <c r="E737" s="41" t="n">
        <v>4246</v>
      </c>
      <c r="F737" s="41" t="n">
        <v>3264</v>
      </c>
      <c r="G737" s="41" t="n">
        <v>982</v>
      </c>
      <c r="H737" s="41" t="n">
        <v>0</v>
      </c>
      <c r="I737" s="41" t="n">
        <v>0</v>
      </c>
      <c r="J737" s="41" t="n">
        <v>0</v>
      </c>
      <c r="K737" s="41" t="n">
        <v>0</v>
      </c>
      <c r="L737" s="41" t="n">
        <v>0</v>
      </c>
    </row>
    <row r="738" customFormat="false" ht="15.75" hidden="false" customHeight="false" outlineLevel="0" collapsed="false">
      <c r="B738" s="39" t="s">
        <v>884</v>
      </c>
      <c r="C738" s="40" t="str">
        <f aca="false">IF(B738="","",IFERROR(INDEX('CLM &amp; IM Mapping'!$B$2:$B$270,MATCH(TRIM(B738),'CLM &amp; IM Mapping'!$A$2:$A$270,0)),"Not Mapped"))</f>
        <v>Not Mapped</v>
      </c>
      <c r="D738" s="40" t="str">
        <f aca="false">IF(B738="","",IFERROR(INDEX('CLM &amp; IM Mapping'!$C$2:$C$270,MATCH(TRIM(B738),'CLM &amp; IM Mapping'!$A$2:$A$270,0)),"Not Mapped"))</f>
        <v>Not Mapped</v>
      </c>
      <c r="E738" s="41" t="n">
        <v>2373</v>
      </c>
      <c r="F738" s="41" t="n">
        <v>0</v>
      </c>
      <c r="G738" s="41" t="n">
        <v>2218</v>
      </c>
      <c r="H738" s="41" t="n">
        <v>0</v>
      </c>
      <c r="I738" s="41" t="n">
        <v>0</v>
      </c>
      <c r="J738" s="41" t="n">
        <v>155</v>
      </c>
      <c r="K738" s="41" t="n">
        <v>0</v>
      </c>
      <c r="L738" s="41" t="n">
        <v>155</v>
      </c>
    </row>
    <row r="739" customFormat="false" ht="15.75" hidden="false" customHeight="false" outlineLevel="0" collapsed="false">
      <c r="B739" s="39" t="s">
        <v>885</v>
      </c>
      <c r="C739" s="40" t="str">
        <f aca="false">IF(B739="","",IFERROR(INDEX('CLM &amp; IM Mapping'!$B$2:$B$270,MATCH(TRIM(B739),'CLM &amp; IM Mapping'!$A$2:$A$270,0)),"Not Mapped"))</f>
        <v>Not Mapped</v>
      </c>
      <c r="D739" s="40" t="str">
        <f aca="false">IF(B739="","",IFERROR(INDEX('CLM &amp; IM Mapping'!$C$2:$C$270,MATCH(TRIM(B739),'CLM &amp; IM Mapping'!$A$2:$A$270,0)),"Not Mapped"))</f>
        <v>Not Mapped</v>
      </c>
      <c r="E739" s="41" t="n">
        <v>2216</v>
      </c>
      <c r="F739" s="41" t="n">
        <v>1228</v>
      </c>
      <c r="G739" s="41" t="n">
        <v>12</v>
      </c>
      <c r="H739" s="41" t="n">
        <v>975</v>
      </c>
      <c r="I739" s="41" t="n">
        <v>0</v>
      </c>
      <c r="J739" s="41" t="n">
        <v>0</v>
      </c>
      <c r="K739" s="41" t="n">
        <v>1</v>
      </c>
      <c r="L739" s="41" t="n">
        <v>976</v>
      </c>
    </row>
    <row r="740" customFormat="false" ht="15.75" hidden="false" customHeight="false" outlineLevel="0" collapsed="false">
      <c r="B740" s="39" t="s">
        <v>886</v>
      </c>
      <c r="C740" s="40" t="str">
        <f aca="false">IF(B740="","",IFERROR(INDEX('CLM &amp; IM Mapping'!$B$2:$B$270,MATCH(TRIM(B740),'CLM &amp; IM Mapping'!$A$2:$A$270,0)),"Not Mapped"))</f>
        <v>Not Mapped</v>
      </c>
      <c r="D740" s="40" t="str">
        <f aca="false">IF(B740="","",IFERROR(INDEX('CLM &amp; IM Mapping'!$C$2:$C$270,MATCH(TRIM(B740),'CLM &amp; IM Mapping'!$A$2:$A$270,0)),"Not Mapped"))</f>
        <v>Not Mapped</v>
      </c>
      <c r="E740" s="41" t="n">
        <v>5862</v>
      </c>
      <c r="F740" s="41" t="n">
        <v>3912</v>
      </c>
      <c r="G740" s="41" t="n">
        <v>17</v>
      </c>
      <c r="H740" s="41" t="n">
        <v>0</v>
      </c>
      <c r="I740" s="41" t="n">
        <v>1606</v>
      </c>
      <c r="J740" s="41" t="n">
        <v>0</v>
      </c>
      <c r="K740" s="41" t="n">
        <v>327</v>
      </c>
      <c r="L740" s="41" t="n">
        <v>1933</v>
      </c>
    </row>
    <row r="741" customFormat="false" ht="15.75" hidden="false" customHeight="false" outlineLevel="0" collapsed="false">
      <c r="B741" s="39" t="s">
        <v>887</v>
      </c>
      <c r="C741" s="40" t="str">
        <f aca="false">IF(B741="","",IFERROR(INDEX('CLM &amp; IM Mapping'!$B$2:$B$270,MATCH(TRIM(B741),'CLM &amp; IM Mapping'!$A$2:$A$270,0)),"Not Mapped"))</f>
        <v>Not Mapped</v>
      </c>
      <c r="D741" s="40" t="str">
        <f aca="false">IF(B741="","",IFERROR(INDEX('CLM &amp; IM Mapping'!$C$2:$C$270,MATCH(TRIM(B741),'CLM &amp; IM Mapping'!$A$2:$A$270,0)),"Not Mapped"))</f>
        <v>Not Mapped</v>
      </c>
      <c r="E741" s="41" t="n">
        <v>0</v>
      </c>
      <c r="F741" s="41" t="n">
        <v>0</v>
      </c>
      <c r="G741" s="41" t="n">
        <v>0</v>
      </c>
      <c r="H741" s="41" t="n">
        <v>0</v>
      </c>
      <c r="I741" s="41" t="n">
        <v>0</v>
      </c>
      <c r="J741" s="41" t="n">
        <v>0</v>
      </c>
      <c r="K741" s="41" t="n">
        <v>0</v>
      </c>
      <c r="L741" s="41" t="n">
        <v>0</v>
      </c>
    </row>
    <row r="742" customFormat="false" ht="15.75" hidden="false" customHeight="false" outlineLevel="0" collapsed="false">
      <c r="B742" s="39" t="s">
        <v>888</v>
      </c>
      <c r="C742" s="40" t="str">
        <f aca="false">IF(B742="","",IFERROR(INDEX('CLM &amp; IM Mapping'!$B$2:$B$270,MATCH(TRIM(B742),'CLM &amp; IM Mapping'!$A$2:$A$270,0)),"Not Mapped"))</f>
        <v>Not Mapped</v>
      </c>
      <c r="D742" s="40" t="str">
        <f aca="false">IF(B742="","",IFERROR(INDEX('CLM &amp; IM Mapping'!$C$2:$C$270,MATCH(TRIM(B742),'CLM &amp; IM Mapping'!$A$2:$A$270,0)),"Not Mapped"))</f>
        <v>Not Mapped</v>
      </c>
      <c r="E742" s="41" t="n">
        <v>3146</v>
      </c>
      <c r="F742" s="41" t="n">
        <v>0</v>
      </c>
      <c r="G742" s="41" t="n">
        <v>0</v>
      </c>
      <c r="H742" s="41" t="n">
        <v>3120</v>
      </c>
      <c r="I742" s="41" t="n">
        <v>0</v>
      </c>
      <c r="J742" s="41" t="n">
        <v>0</v>
      </c>
      <c r="K742" s="41" t="n">
        <v>26</v>
      </c>
      <c r="L742" s="41" t="n">
        <v>3146</v>
      </c>
    </row>
    <row r="743" customFormat="false" ht="15.75" hidden="false" customHeight="false" outlineLevel="0" collapsed="false">
      <c r="B743" s="39" t="s">
        <v>889</v>
      </c>
      <c r="C743" s="40" t="str">
        <f aca="false">IF(B743="","",IFERROR(INDEX('CLM &amp; IM Mapping'!$B$2:$B$270,MATCH(TRIM(B743),'CLM &amp; IM Mapping'!$A$2:$A$270,0)),"Not Mapped"))</f>
        <v>Not Mapped</v>
      </c>
      <c r="D743" s="40" t="str">
        <f aca="false">IF(B743="","",IFERROR(INDEX('CLM &amp; IM Mapping'!$C$2:$C$270,MATCH(TRIM(B743),'CLM &amp; IM Mapping'!$A$2:$A$270,0)),"Not Mapped"))</f>
        <v>Not Mapped</v>
      </c>
      <c r="E743" s="41" t="n">
        <v>4783</v>
      </c>
      <c r="F743" s="41" t="n">
        <v>0</v>
      </c>
      <c r="G743" s="41" t="n">
        <v>3781</v>
      </c>
      <c r="H743" s="41" t="n">
        <v>929</v>
      </c>
      <c r="I743" s="41" t="n">
        <v>0</v>
      </c>
      <c r="J743" s="41" t="n">
        <v>62</v>
      </c>
      <c r="K743" s="41" t="n">
        <v>11</v>
      </c>
      <c r="L743" s="41" t="n">
        <v>1002</v>
      </c>
    </row>
    <row r="744" customFormat="false" ht="15.75" hidden="false" customHeight="false" outlineLevel="0" collapsed="false">
      <c r="B744" s="39" t="s">
        <v>890</v>
      </c>
      <c r="C744" s="40" t="str">
        <f aca="false">IF(B744="","",IFERROR(INDEX('CLM &amp; IM Mapping'!$B$2:$B$270,MATCH(TRIM(B744),'CLM &amp; IM Mapping'!$A$2:$A$270,0)),"Not Mapped"))</f>
        <v>Not Mapped</v>
      </c>
      <c r="D744" s="40" t="str">
        <f aca="false">IF(B744="","",IFERROR(INDEX('CLM &amp; IM Mapping'!$C$2:$C$270,MATCH(TRIM(B744),'CLM &amp; IM Mapping'!$A$2:$A$270,0)),"Not Mapped"))</f>
        <v>Not Mapped</v>
      </c>
      <c r="E744" s="41" t="n">
        <v>0</v>
      </c>
      <c r="F744" s="41" t="n">
        <v>0</v>
      </c>
      <c r="G744" s="41" t="n">
        <v>0</v>
      </c>
      <c r="H744" s="41" t="n">
        <v>0</v>
      </c>
      <c r="I744" s="41" t="n">
        <v>0</v>
      </c>
      <c r="J744" s="41" t="n">
        <v>0</v>
      </c>
      <c r="K744" s="41" t="n">
        <v>0</v>
      </c>
      <c r="L744" s="41" t="n">
        <v>0</v>
      </c>
    </row>
    <row r="745" customFormat="false" ht="15.75" hidden="false" customHeight="false" outlineLevel="0" collapsed="false">
      <c r="B745" s="39" t="s">
        <v>891</v>
      </c>
      <c r="C745" s="40" t="str">
        <f aca="false">IF(B745="","",IFERROR(INDEX('CLM &amp; IM Mapping'!$B$2:$B$270,MATCH(TRIM(B745),'CLM &amp; IM Mapping'!$A$2:$A$270,0)),"Not Mapped"))</f>
        <v>Not Mapped</v>
      </c>
      <c r="D745" s="40" t="str">
        <f aca="false">IF(B745="","",IFERROR(INDEX('CLM &amp; IM Mapping'!$C$2:$C$270,MATCH(TRIM(B745),'CLM &amp; IM Mapping'!$A$2:$A$270,0)),"Not Mapped"))</f>
        <v>Not Mapped</v>
      </c>
      <c r="E745" s="41" t="n">
        <v>4768</v>
      </c>
      <c r="F745" s="41" t="n">
        <v>0</v>
      </c>
      <c r="G745" s="41" t="n">
        <v>39</v>
      </c>
      <c r="H745" s="41" t="n">
        <v>4729</v>
      </c>
      <c r="I745" s="41" t="n">
        <v>0</v>
      </c>
      <c r="J745" s="41" t="n">
        <v>0</v>
      </c>
      <c r="K745" s="41" t="n">
        <v>0</v>
      </c>
      <c r="L745" s="41" t="n">
        <v>4729</v>
      </c>
    </row>
    <row r="746" customFormat="false" ht="15.75" hidden="false" customHeight="false" outlineLevel="0" collapsed="false">
      <c r="B746" s="39" t="s">
        <v>892</v>
      </c>
      <c r="C746" s="40" t="str">
        <f aca="false">IF(B746="","",IFERROR(INDEX('CLM &amp; IM Mapping'!$B$2:$B$270,MATCH(TRIM(B746),'CLM &amp; IM Mapping'!$A$2:$A$270,0)),"Not Mapped"))</f>
        <v>Not Mapped</v>
      </c>
      <c r="D746" s="40" t="str">
        <f aca="false">IF(B746="","",IFERROR(INDEX('CLM &amp; IM Mapping'!$C$2:$C$270,MATCH(TRIM(B746),'CLM &amp; IM Mapping'!$A$2:$A$270,0)),"Not Mapped"))</f>
        <v>Not Mapped</v>
      </c>
      <c r="E746" s="41" t="n">
        <v>0</v>
      </c>
      <c r="F746" s="41" t="n">
        <v>0</v>
      </c>
      <c r="G746" s="41" t="n">
        <v>0</v>
      </c>
      <c r="H746" s="41" t="n">
        <v>0</v>
      </c>
      <c r="I746" s="41" t="n">
        <v>0</v>
      </c>
      <c r="J746" s="41" t="n">
        <v>0</v>
      </c>
      <c r="K746" s="41" t="n">
        <v>0</v>
      </c>
      <c r="L746" s="41" t="n">
        <v>0</v>
      </c>
    </row>
    <row r="747" customFormat="false" ht="15.75" hidden="false" customHeight="false" outlineLevel="0" collapsed="false">
      <c r="B747" s="39" t="s">
        <v>893</v>
      </c>
      <c r="C747" s="40" t="str">
        <f aca="false">IF(B747="","",IFERROR(INDEX('CLM &amp; IM Mapping'!$B$2:$B$270,MATCH(TRIM(B747),'CLM &amp; IM Mapping'!$A$2:$A$270,0)),"Not Mapped"))</f>
        <v>Not Mapped</v>
      </c>
      <c r="D747" s="40" t="str">
        <f aca="false">IF(B747="","",IFERROR(INDEX('CLM &amp; IM Mapping'!$C$2:$C$270,MATCH(TRIM(B747),'CLM &amp; IM Mapping'!$A$2:$A$270,0)),"Not Mapped"))</f>
        <v>Not Mapped</v>
      </c>
      <c r="E747" s="41" t="n">
        <v>4118</v>
      </c>
      <c r="F747" s="41" t="n">
        <v>0</v>
      </c>
      <c r="G747" s="41" t="n">
        <v>743</v>
      </c>
      <c r="H747" s="41" t="n">
        <v>2567</v>
      </c>
      <c r="I747" s="41" t="n">
        <v>0</v>
      </c>
      <c r="J747" s="41" t="n">
        <v>267</v>
      </c>
      <c r="K747" s="41" t="n">
        <v>541</v>
      </c>
      <c r="L747" s="41" t="n">
        <v>3375</v>
      </c>
    </row>
    <row r="748" customFormat="false" ht="15.75" hidden="false" customHeight="false" outlineLevel="0" collapsed="false">
      <c r="B748" s="39" t="s">
        <v>894</v>
      </c>
      <c r="C748" s="40" t="str">
        <f aca="false">IF(B748="","",IFERROR(INDEX('CLM &amp; IM Mapping'!$B$2:$B$270,MATCH(TRIM(B748),'CLM &amp; IM Mapping'!$A$2:$A$270,0)),"Not Mapped"))</f>
        <v>Not Mapped</v>
      </c>
      <c r="D748" s="40" t="str">
        <f aca="false">IF(B748="","",IFERROR(INDEX('CLM &amp; IM Mapping'!$C$2:$C$270,MATCH(TRIM(B748),'CLM &amp; IM Mapping'!$A$2:$A$270,0)),"Not Mapped"))</f>
        <v>Not Mapped</v>
      </c>
      <c r="E748" s="41" t="n">
        <v>2620</v>
      </c>
      <c r="F748" s="41" t="n">
        <v>1248</v>
      </c>
      <c r="G748" s="41" t="n">
        <v>1180</v>
      </c>
      <c r="H748" s="41" t="n">
        <v>0</v>
      </c>
      <c r="I748" s="41" t="n">
        <v>52</v>
      </c>
      <c r="J748" s="41" t="n">
        <v>0</v>
      </c>
      <c r="K748" s="41" t="n">
        <v>140</v>
      </c>
      <c r="L748" s="41" t="n">
        <v>192</v>
      </c>
    </row>
    <row r="749" customFormat="false" ht="15.75" hidden="false" customHeight="false" outlineLevel="0" collapsed="false">
      <c r="B749" s="39" t="s">
        <v>895</v>
      </c>
      <c r="C749" s="40" t="str">
        <f aca="false">IF(B749="","",IFERROR(INDEX('CLM &amp; IM Mapping'!$B$2:$B$270,MATCH(TRIM(B749),'CLM &amp; IM Mapping'!$A$2:$A$270,0)),"Not Mapped"))</f>
        <v>Not Mapped</v>
      </c>
      <c r="D749" s="40" t="str">
        <f aca="false">IF(B749="","",IFERROR(INDEX('CLM &amp; IM Mapping'!$C$2:$C$270,MATCH(TRIM(B749),'CLM &amp; IM Mapping'!$A$2:$A$270,0)),"Not Mapped"))</f>
        <v>Not Mapped</v>
      </c>
      <c r="E749" s="41" t="n">
        <v>1854</v>
      </c>
      <c r="F749" s="41" t="n">
        <v>956</v>
      </c>
      <c r="G749" s="41" t="n">
        <v>898</v>
      </c>
      <c r="H749" s="41" t="n">
        <v>0</v>
      </c>
      <c r="I749" s="41" t="n">
        <v>0</v>
      </c>
      <c r="J749" s="41" t="n">
        <v>0</v>
      </c>
      <c r="K749" s="41" t="n">
        <v>0</v>
      </c>
      <c r="L749" s="41" t="n">
        <v>0</v>
      </c>
    </row>
    <row r="750" customFormat="false" ht="15.75" hidden="false" customHeight="false" outlineLevel="0" collapsed="false">
      <c r="B750" s="39" t="s">
        <v>896</v>
      </c>
      <c r="C750" s="40" t="str">
        <f aca="false">IF(B750="","",IFERROR(INDEX('CLM &amp; IM Mapping'!$B$2:$B$270,MATCH(TRIM(B750),'CLM &amp; IM Mapping'!$A$2:$A$270,0)),"Not Mapped"))</f>
        <v>Not Mapped</v>
      </c>
      <c r="D750" s="40" t="str">
        <f aca="false">IF(B750="","",IFERROR(INDEX('CLM &amp; IM Mapping'!$C$2:$C$270,MATCH(TRIM(B750),'CLM &amp; IM Mapping'!$A$2:$A$270,0)),"Not Mapped"))</f>
        <v>Not Mapped</v>
      </c>
      <c r="E750" s="41" t="n">
        <v>244</v>
      </c>
      <c r="F750" s="41" t="n">
        <v>0</v>
      </c>
      <c r="G750" s="41" t="n">
        <v>0</v>
      </c>
      <c r="H750" s="41" t="n">
        <v>244</v>
      </c>
      <c r="I750" s="41" t="n">
        <v>0</v>
      </c>
      <c r="J750" s="41" t="n">
        <v>0</v>
      </c>
      <c r="K750" s="41" t="n">
        <v>0</v>
      </c>
      <c r="L750" s="41" t="n">
        <v>0</v>
      </c>
    </row>
    <row r="751" customFormat="false" ht="15.75" hidden="false" customHeight="false" outlineLevel="0" collapsed="false">
      <c r="B751" s="39" t="s">
        <v>897</v>
      </c>
      <c r="C751" s="40" t="str">
        <f aca="false">IF(B751="","",IFERROR(INDEX('CLM &amp; IM Mapping'!$B$2:$B$270,MATCH(TRIM(B751),'CLM &amp; IM Mapping'!$A$2:$A$270,0)),"Not Mapped"))</f>
        <v>Not Mapped</v>
      </c>
      <c r="D751" s="40" t="str">
        <f aca="false">IF(B751="","",IFERROR(INDEX('CLM &amp; IM Mapping'!$C$2:$C$270,MATCH(TRIM(B751),'CLM &amp; IM Mapping'!$A$2:$A$270,0)),"Not Mapped"))</f>
        <v>Not Mapped</v>
      </c>
      <c r="E751" s="41" t="n">
        <v>0</v>
      </c>
      <c r="F751" s="41" t="n">
        <v>0</v>
      </c>
      <c r="G751" s="41" t="n">
        <v>0</v>
      </c>
      <c r="H751" s="41" t="n">
        <v>0</v>
      </c>
      <c r="I751" s="41" t="n">
        <v>0</v>
      </c>
      <c r="J751" s="41" t="n">
        <v>0</v>
      </c>
      <c r="K751" s="41" t="n">
        <v>0</v>
      </c>
      <c r="L751" s="41" t="n">
        <v>0</v>
      </c>
    </row>
    <row r="752" customFormat="false" ht="15.75" hidden="false" customHeight="false" outlineLevel="0" collapsed="false">
      <c r="B752" s="39" t="s">
        <v>898</v>
      </c>
      <c r="C752" s="40" t="str">
        <f aca="false">IF(B752="","",IFERROR(INDEX('CLM &amp; IM Mapping'!$B$2:$B$270,MATCH(TRIM(B752),'CLM &amp; IM Mapping'!$A$2:$A$270,0)),"Not Mapped"))</f>
        <v>Not Mapped</v>
      </c>
      <c r="D752" s="40" t="str">
        <f aca="false">IF(B752="","",IFERROR(INDEX('CLM &amp; IM Mapping'!$C$2:$C$270,MATCH(TRIM(B752),'CLM &amp; IM Mapping'!$A$2:$A$270,0)),"Not Mapped"))</f>
        <v>Not Mapped</v>
      </c>
      <c r="E752" s="41" t="n">
        <v>0</v>
      </c>
      <c r="F752" s="41" t="n">
        <v>0</v>
      </c>
      <c r="G752" s="41" t="n">
        <v>0</v>
      </c>
      <c r="H752" s="41" t="n">
        <v>0</v>
      </c>
      <c r="I752" s="41" t="n">
        <v>0</v>
      </c>
      <c r="J752" s="41" t="n">
        <v>0</v>
      </c>
      <c r="K752" s="41" t="n">
        <v>0</v>
      </c>
      <c r="L752" s="41" t="n">
        <v>0</v>
      </c>
    </row>
    <row r="753" customFormat="false" ht="15.75" hidden="false" customHeight="false" outlineLevel="0" collapsed="false">
      <c r="B753" s="39" t="s">
        <v>899</v>
      </c>
      <c r="C753" s="40" t="str">
        <f aca="false">IF(B753="","",IFERROR(INDEX('CLM &amp; IM Mapping'!$B$2:$B$270,MATCH(TRIM(B753),'CLM &amp; IM Mapping'!$A$2:$A$270,0)),"Not Mapped"))</f>
        <v>Not Mapped</v>
      </c>
      <c r="D753" s="40" t="str">
        <f aca="false">IF(B753="","",IFERROR(INDEX('CLM &amp; IM Mapping'!$C$2:$C$270,MATCH(TRIM(B753),'CLM &amp; IM Mapping'!$A$2:$A$270,0)),"Not Mapped"))</f>
        <v>Not Mapped</v>
      </c>
      <c r="E753" s="41" t="n">
        <v>72</v>
      </c>
      <c r="F753" s="41" t="n">
        <v>0</v>
      </c>
      <c r="G753" s="41" t="n">
        <v>0</v>
      </c>
      <c r="H753" s="41" t="n">
        <v>72</v>
      </c>
      <c r="I753" s="41" t="n">
        <v>0</v>
      </c>
      <c r="J753" s="41" t="n">
        <v>0</v>
      </c>
      <c r="K753" s="41" t="n">
        <v>0</v>
      </c>
      <c r="L753" s="41" t="n">
        <v>72</v>
      </c>
    </row>
    <row r="754" customFormat="false" ht="15.75" hidden="false" customHeight="false" outlineLevel="0" collapsed="false">
      <c r="B754" s="39" t="s">
        <v>900</v>
      </c>
      <c r="C754" s="40" t="str">
        <f aca="false">IF(B754="","",IFERROR(INDEX('CLM &amp; IM Mapping'!$B$2:$B$270,MATCH(TRIM(B754),'CLM &amp; IM Mapping'!$A$2:$A$270,0)),"Not Mapped"))</f>
        <v>Not Mapped</v>
      </c>
      <c r="D754" s="40" t="str">
        <f aca="false">IF(B754="","",IFERROR(INDEX('CLM &amp; IM Mapping'!$C$2:$C$270,MATCH(TRIM(B754),'CLM &amp; IM Mapping'!$A$2:$A$270,0)),"Not Mapped"))</f>
        <v>Not Mapped</v>
      </c>
      <c r="E754" s="41" t="n">
        <v>49</v>
      </c>
      <c r="F754" s="41" t="n">
        <v>43</v>
      </c>
      <c r="G754" s="41" t="n">
        <v>6</v>
      </c>
      <c r="H754" s="41" t="n">
        <v>0</v>
      </c>
      <c r="I754" s="41" t="n">
        <v>0</v>
      </c>
      <c r="J754" s="41" t="n">
        <v>0</v>
      </c>
      <c r="K754" s="41" t="n">
        <v>0</v>
      </c>
      <c r="L754" s="41" t="n">
        <v>0</v>
      </c>
    </row>
    <row r="755" customFormat="false" ht="15.75" hidden="false" customHeight="false" outlineLevel="0" collapsed="false">
      <c r="B755" s="39" t="s">
        <v>901</v>
      </c>
      <c r="C755" s="40" t="str">
        <f aca="false">IF(B755="","",IFERROR(INDEX('CLM &amp; IM Mapping'!$B$2:$B$270,MATCH(TRIM(B755),'CLM &amp; IM Mapping'!$A$2:$A$270,0)),"Not Mapped"))</f>
        <v>Not Mapped</v>
      </c>
      <c r="D755" s="40" t="str">
        <f aca="false">IF(B755="","",IFERROR(INDEX('CLM &amp; IM Mapping'!$C$2:$C$270,MATCH(TRIM(B755),'CLM &amp; IM Mapping'!$A$2:$A$270,0)),"Not Mapped"))</f>
        <v>Not Mapped</v>
      </c>
      <c r="E755" s="41" t="n">
        <v>6653</v>
      </c>
      <c r="F755" s="41" t="n">
        <v>0</v>
      </c>
      <c r="G755" s="41" t="n">
        <v>30</v>
      </c>
      <c r="H755" s="41" t="n">
        <v>6623</v>
      </c>
      <c r="I755" s="41" t="n">
        <v>0</v>
      </c>
      <c r="J755" s="41" t="n">
        <v>0</v>
      </c>
      <c r="K755" s="41" t="n">
        <v>0</v>
      </c>
      <c r="L755" s="41" t="n">
        <v>6623</v>
      </c>
    </row>
    <row r="756" customFormat="false" ht="15.75" hidden="false" customHeight="false" outlineLevel="0" collapsed="false">
      <c r="B756" s="39" t="s">
        <v>902</v>
      </c>
      <c r="C756" s="40" t="str">
        <f aca="false">IF(B756="","",IFERROR(INDEX('CLM &amp; IM Mapping'!$B$2:$B$270,MATCH(TRIM(B756),'CLM &amp; IM Mapping'!$A$2:$A$270,0)),"Not Mapped"))</f>
        <v>Not Mapped</v>
      </c>
      <c r="D756" s="40" t="str">
        <f aca="false">IF(B756="","",IFERROR(INDEX('CLM &amp; IM Mapping'!$C$2:$C$270,MATCH(TRIM(B756),'CLM &amp; IM Mapping'!$A$2:$A$270,0)),"Not Mapped"))</f>
        <v>Not Mapped</v>
      </c>
      <c r="E756" s="41" t="n">
        <v>3451</v>
      </c>
      <c r="F756" s="41" t="n">
        <v>0</v>
      </c>
      <c r="G756" s="41" t="n">
        <v>3451</v>
      </c>
      <c r="H756" s="41" t="n">
        <v>0</v>
      </c>
      <c r="I756" s="41" t="n">
        <v>0</v>
      </c>
      <c r="J756" s="41" t="n">
        <v>0</v>
      </c>
      <c r="K756" s="41" t="n">
        <v>0</v>
      </c>
      <c r="L756" s="41" t="n">
        <v>0</v>
      </c>
    </row>
    <row r="757" customFormat="false" ht="15.75" hidden="false" customHeight="false" outlineLevel="0" collapsed="false">
      <c r="B757" s="39" t="s">
        <v>903</v>
      </c>
      <c r="C757" s="40" t="str">
        <f aca="false">IF(B757="","",IFERROR(INDEX('CLM &amp; IM Mapping'!$B$2:$B$270,MATCH(TRIM(B757),'CLM &amp; IM Mapping'!$A$2:$A$270,0)),"Not Mapped"))</f>
        <v>Not Mapped</v>
      </c>
      <c r="D757" s="40" t="str">
        <f aca="false">IF(B757="","",IFERROR(INDEX('CLM &amp; IM Mapping'!$C$2:$C$270,MATCH(TRIM(B757),'CLM &amp; IM Mapping'!$A$2:$A$270,0)),"Not Mapped"))</f>
        <v>Not Mapped</v>
      </c>
      <c r="E757" s="41" t="n">
        <v>6533</v>
      </c>
      <c r="F757" s="41" t="n">
        <v>0</v>
      </c>
      <c r="G757" s="41" t="n">
        <v>0</v>
      </c>
      <c r="H757" s="41" t="n">
        <v>3884</v>
      </c>
      <c r="I757" s="41" t="n">
        <v>0</v>
      </c>
      <c r="J757" s="41" t="n">
        <v>2012</v>
      </c>
      <c r="K757" s="41" t="n">
        <v>637</v>
      </c>
      <c r="L757" s="41" t="n">
        <v>2649</v>
      </c>
    </row>
    <row r="758" customFormat="false" ht="15.75" hidden="false" customHeight="false" outlineLevel="0" collapsed="false">
      <c r="B758" s="39" t="s">
        <v>904</v>
      </c>
      <c r="C758" s="40" t="str">
        <f aca="false">IF(B758="","",IFERROR(INDEX('CLM &amp; IM Mapping'!$B$2:$B$270,MATCH(TRIM(B758),'CLM &amp; IM Mapping'!$A$2:$A$270,0)),"Not Mapped"))</f>
        <v>Not Mapped</v>
      </c>
      <c r="D758" s="40" t="str">
        <f aca="false">IF(B758="","",IFERROR(INDEX('CLM &amp; IM Mapping'!$C$2:$C$270,MATCH(TRIM(B758),'CLM &amp; IM Mapping'!$A$2:$A$270,0)),"Not Mapped"))</f>
        <v>Not Mapped</v>
      </c>
      <c r="E758" s="41" t="n">
        <v>1334</v>
      </c>
      <c r="F758" s="41" t="n">
        <v>0</v>
      </c>
      <c r="G758" s="41" t="n">
        <v>1334</v>
      </c>
      <c r="H758" s="41" t="n">
        <v>0</v>
      </c>
      <c r="I758" s="41" t="n">
        <v>0</v>
      </c>
      <c r="J758" s="41" t="n">
        <v>0</v>
      </c>
      <c r="K758" s="41" t="n">
        <v>0</v>
      </c>
      <c r="L758" s="41" t="n">
        <v>0</v>
      </c>
    </row>
    <row r="759" customFormat="false" ht="15.75" hidden="false" customHeight="false" outlineLevel="0" collapsed="false">
      <c r="B759" s="39" t="s">
        <v>905</v>
      </c>
      <c r="C759" s="40" t="str">
        <f aca="false">IF(B759="","",IFERROR(INDEX('CLM &amp; IM Mapping'!$B$2:$B$270,MATCH(TRIM(B759),'CLM &amp; IM Mapping'!$A$2:$A$270,0)),"Not Mapped"))</f>
        <v>Not Mapped</v>
      </c>
      <c r="D759" s="40" t="str">
        <f aca="false">IF(B759="","",IFERROR(INDEX('CLM &amp; IM Mapping'!$C$2:$C$270,MATCH(TRIM(B759),'CLM &amp; IM Mapping'!$A$2:$A$270,0)),"Not Mapped"))</f>
        <v>Not Mapped</v>
      </c>
      <c r="E759" s="41" t="n">
        <v>6889</v>
      </c>
      <c r="F759" s="41" t="n">
        <v>5668</v>
      </c>
      <c r="G759" s="41" t="n">
        <v>0</v>
      </c>
      <c r="H759" s="41" t="n">
        <v>0</v>
      </c>
      <c r="I759" s="41" t="n">
        <v>0</v>
      </c>
      <c r="J759" s="41" t="n">
        <v>0</v>
      </c>
      <c r="K759" s="41" t="n">
        <v>1221</v>
      </c>
      <c r="L759" s="41" t="n">
        <v>1221</v>
      </c>
    </row>
    <row r="760" customFormat="false" ht="15.75" hidden="false" customHeight="false" outlineLevel="0" collapsed="false">
      <c r="B760" s="39" t="s">
        <v>906</v>
      </c>
      <c r="C760" s="40" t="str">
        <f aca="false">IF(B760="","",IFERROR(INDEX('CLM &amp; IM Mapping'!$B$2:$B$270,MATCH(TRIM(B760),'CLM &amp; IM Mapping'!$A$2:$A$270,0)),"Not Mapped"))</f>
        <v>Not Mapped</v>
      </c>
      <c r="D760" s="40" t="str">
        <f aca="false">IF(B760="","",IFERROR(INDEX('CLM &amp; IM Mapping'!$C$2:$C$270,MATCH(TRIM(B760),'CLM &amp; IM Mapping'!$A$2:$A$270,0)),"Not Mapped"))</f>
        <v>Not Mapped</v>
      </c>
      <c r="E760" s="41" t="n">
        <v>1180</v>
      </c>
      <c r="F760" s="41" t="n">
        <v>0</v>
      </c>
      <c r="G760" s="41" t="n">
        <v>1180</v>
      </c>
      <c r="H760" s="41" t="n">
        <v>0</v>
      </c>
      <c r="I760" s="41" t="n">
        <v>0</v>
      </c>
      <c r="J760" s="41" t="n">
        <v>0</v>
      </c>
      <c r="K760" s="41" t="n">
        <v>0</v>
      </c>
      <c r="L760" s="41" t="n">
        <v>0</v>
      </c>
    </row>
    <row r="761" customFormat="false" ht="15.75" hidden="false" customHeight="false" outlineLevel="0" collapsed="false">
      <c r="B761" s="39" t="s">
        <v>907</v>
      </c>
      <c r="C761" s="40" t="str">
        <f aca="false">IF(B761="","",IFERROR(INDEX('CLM &amp; IM Mapping'!$B$2:$B$270,MATCH(TRIM(B761),'CLM &amp; IM Mapping'!$A$2:$A$270,0)),"Not Mapped"))</f>
        <v>Not Mapped</v>
      </c>
      <c r="D761" s="40" t="str">
        <f aca="false">IF(B761="","",IFERROR(INDEX('CLM &amp; IM Mapping'!$C$2:$C$270,MATCH(TRIM(B761),'CLM &amp; IM Mapping'!$A$2:$A$270,0)),"Not Mapped"))</f>
        <v>Not Mapped</v>
      </c>
      <c r="E761" s="41" t="n">
        <v>0</v>
      </c>
      <c r="F761" s="41" t="n">
        <v>0</v>
      </c>
      <c r="G761" s="41" t="n">
        <v>0</v>
      </c>
      <c r="H761" s="41" t="n">
        <v>0</v>
      </c>
      <c r="I761" s="41" t="n">
        <v>0</v>
      </c>
      <c r="J761" s="41" t="n">
        <v>0</v>
      </c>
      <c r="K761" s="41" t="n">
        <v>0</v>
      </c>
      <c r="L761" s="41" t="n">
        <v>0</v>
      </c>
    </row>
    <row r="762" customFormat="false" ht="15.75" hidden="false" customHeight="false" outlineLevel="0" collapsed="false">
      <c r="B762" s="39" t="s">
        <v>908</v>
      </c>
      <c r="C762" s="40" t="str">
        <f aca="false">IF(B762="","",IFERROR(INDEX('CLM &amp; IM Mapping'!$B$2:$B$270,MATCH(TRIM(B762),'CLM &amp; IM Mapping'!$A$2:$A$270,0)),"Not Mapped"))</f>
        <v>Not Mapped</v>
      </c>
      <c r="D762" s="40" t="str">
        <f aca="false">IF(B762="","",IFERROR(INDEX('CLM &amp; IM Mapping'!$C$2:$C$270,MATCH(TRIM(B762),'CLM &amp; IM Mapping'!$A$2:$A$270,0)),"Not Mapped"))</f>
        <v>Not Mapped</v>
      </c>
      <c r="E762" s="41" t="n">
        <v>2590</v>
      </c>
      <c r="F762" s="41" t="n">
        <v>0</v>
      </c>
      <c r="G762" s="41" t="n">
        <v>0</v>
      </c>
      <c r="H762" s="41" t="n">
        <v>2590</v>
      </c>
      <c r="I762" s="41" t="n">
        <v>0</v>
      </c>
      <c r="J762" s="41" t="n">
        <v>0</v>
      </c>
      <c r="K762" s="41" t="n">
        <v>0</v>
      </c>
      <c r="L762" s="41" t="n">
        <v>2590</v>
      </c>
    </row>
    <row r="763" customFormat="false" ht="15.75" hidden="false" customHeight="false" outlineLevel="0" collapsed="false">
      <c r="B763" s="39" t="s">
        <v>909</v>
      </c>
      <c r="C763" s="40" t="str">
        <f aca="false">IF(B763="","",IFERROR(INDEX('CLM &amp; IM Mapping'!$B$2:$B$270,MATCH(TRIM(B763),'CLM &amp; IM Mapping'!$A$2:$A$270,0)),"Not Mapped"))</f>
        <v>Not Mapped</v>
      </c>
      <c r="D763" s="40" t="str">
        <f aca="false">IF(B763="","",IFERROR(INDEX('CLM &amp; IM Mapping'!$C$2:$C$270,MATCH(TRIM(B763),'CLM &amp; IM Mapping'!$A$2:$A$270,0)),"Not Mapped"))</f>
        <v>Not Mapped</v>
      </c>
      <c r="E763" s="41" t="n">
        <v>6755</v>
      </c>
      <c r="F763" s="41" t="n">
        <v>0</v>
      </c>
      <c r="G763" s="41" t="n">
        <v>0</v>
      </c>
      <c r="H763" s="41" t="n">
        <v>0</v>
      </c>
      <c r="I763" s="41" t="n">
        <v>0</v>
      </c>
      <c r="J763" s="41" t="n">
        <v>3938</v>
      </c>
      <c r="K763" s="41" t="n">
        <v>2817</v>
      </c>
      <c r="L763" s="41" t="n">
        <v>6755</v>
      </c>
    </row>
    <row r="764" customFormat="false" ht="15.75" hidden="false" customHeight="false" outlineLevel="0" collapsed="false">
      <c r="B764" s="39" t="s">
        <v>910</v>
      </c>
      <c r="C764" s="40" t="str">
        <f aca="false">IF(B764="","",IFERROR(INDEX('CLM &amp; IM Mapping'!$B$2:$B$270,MATCH(TRIM(B764),'CLM &amp; IM Mapping'!$A$2:$A$270,0)),"Not Mapped"))</f>
        <v>Not Mapped</v>
      </c>
      <c r="D764" s="40" t="str">
        <f aca="false">IF(B764="","",IFERROR(INDEX('CLM &amp; IM Mapping'!$C$2:$C$270,MATCH(TRIM(B764),'CLM &amp; IM Mapping'!$A$2:$A$270,0)),"Not Mapped"))</f>
        <v>Not Mapped</v>
      </c>
      <c r="E764" s="41" t="n">
        <v>4960</v>
      </c>
      <c r="F764" s="41" t="n">
        <v>0</v>
      </c>
      <c r="G764" s="41" t="n">
        <v>410</v>
      </c>
      <c r="H764" s="41" t="n">
        <v>4253</v>
      </c>
      <c r="I764" s="41" t="n">
        <v>0</v>
      </c>
      <c r="J764" s="41" t="n">
        <v>176</v>
      </c>
      <c r="K764" s="41" t="n">
        <v>121</v>
      </c>
      <c r="L764" s="41" t="n">
        <v>4550</v>
      </c>
    </row>
    <row r="765" customFormat="false" ht="15.75" hidden="false" customHeight="false" outlineLevel="0" collapsed="false">
      <c r="B765" s="39" t="s">
        <v>911</v>
      </c>
      <c r="C765" s="40" t="str">
        <f aca="false">IF(B765="","",IFERROR(INDEX('CLM &amp; IM Mapping'!$B$2:$B$270,MATCH(TRIM(B765),'CLM &amp; IM Mapping'!$A$2:$A$270,0)),"Not Mapped"))</f>
        <v>Not Mapped</v>
      </c>
      <c r="D765" s="40" t="str">
        <f aca="false">IF(B765="","",IFERROR(INDEX('CLM &amp; IM Mapping'!$C$2:$C$270,MATCH(TRIM(B765),'CLM &amp; IM Mapping'!$A$2:$A$270,0)),"Not Mapped"))</f>
        <v>Not Mapped</v>
      </c>
      <c r="E765" s="41" t="n">
        <v>1077</v>
      </c>
      <c r="F765" s="41" t="n">
        <v>109</v>
      </c>
      <c r="G765" s="41" t="n">
        <v>968</v>
      </c>
      <c r="H765" s="41" t="n">
        <v>0</v>
      </c>
      <c r="I765" s="41" t="n">
        <v>0</v>
      </c>
      <c r="J765" s="41" t="n">
        <v>0</v>
      </c>
      <c r="K765" s="41" t="n">
        <v>0</v>
      </c>
      <c r="L765" s="41" t="n">
        <v>0</v>
      </c>
    </row>
    <row r="766" customFormat="false" ht="15.75" hidden="false" customHeight="false" outlineLevel="0" collapsed="false">
      <c r="B766" s="39" t="s">
        <v>912</v>
      </c>
      <c r="C766" s="40" t="str">
        <f aca="false">IF(B766="","",IFERROR(INDEX('CLM &amp; IM Mapping'!$B$2:$B$270,MATCH(TRIM(B766),'CLM &amp; IM Mapping'!$A$2:$A$270,0)),"Not Mapped"))</f>
        <v>Not Mapped</v>
      </c>
      <c r="D766" s="40" t="str">
        <f aca="false">IF(B766="","",IFERROR(INDEX('CLM &amp; IM Mapping'!$C$2:$C$270,MATCH(TRIM(B766),'CLM &amp; IM Mapping'!$A$2:$A$270,0)),"Not Mapped"))</f>
        <v>Not Mapped</v>
      </c>
      <c r="E766" s="41" t="n">
        <v>0</v>
      </c>
      <c r="F766" s="41" t="n">
        <v>0</v>
      </c>
      <c r="G766" s="41" t="n">
        <v>0</v>
      </c>
      <c r="H766" s="41" t="n">
        <v>0</v>
      </c>
      <c r="I766" s="41" t="n">
        <v>0</v>
      </c>
      <c r="J766" s="41" t="n">
        <v>0</v>
      </c>
      <c r="K766" s="41" t="n">
        <v>0</v>
      </c>
      <c r="L766" s="41" t="n">
        <v>0</v>
      </c>
    </row>
    <row r="767" customFormat="false" ht="15.75" hidden="false" customHeight="false" outlineLevel="0" collapsed="false">
      <c r="B767" s="39" t="s">
        <v>913</v>
      </c>
      <c r="C767" s="40" t="str">
        <f aca="false">IF(B767="","",IFERROR(INDEX('CLM &amp; IM Mapping'!$B$2:$B$270,MATCH(TRIM(B767),'CLM &amp; IM Mapping'!$A$2:$A$270,0)),"Not Mapped"))</f>
        <v>Not Mapped</v>
      </c>
      <c r="D767" s="40" t="str">
        <f aca="false">IF(B767="","",IFERROR(INDEX('CLM &amp; IM Mapping'!$C$2:$C$270,MATCH(TRIM(B767),'CLM &amp; IM Mapping'!$A$2:$A$270,0)),"Not Mapped"))</f>
        <v>Not Mapped</v>
      </c>
      <c r="E767" s="41" t="n">
        <v>0</v>
      </c>
      <c r="F767" s="41" t="n">
        <v>0</v>
      </c>
      <c r="G767" s="41" t="n">
        <v>0</v>
      </c>
      <c r="H767" s="41" t="n">
        <v>0</v>
      </c>
      <c r="I767" s="41" t="n">
        <v>0</v>
      </c>
      <c r="J767" s="41" t="n">
        <v>0</v>
      </c>
      <c r="K767" s="41" t="n">
        <v>0</v>
      </c>
      <c r="L767" s="41" t="n">
        <v>0</v>
      </c>
    </row>
    <row r="768" customFormat="false" ht="15.75" hidden="false" customHeight="false" outlineLevel="0" collapsed="false">
      <c r="B768" s="39" t="s">
        <v>914</v>
      </c>
      <c r="C768" s="40" t="str">
        <f aca="false">IF(B768="","",IFERROR(INDEX('CLM &amp; IM Mapping'!$B$2:$B$270,MATCH(TRIM(B768),'CLM &amp; IM Mapping'!$A$2:$A$270,0)),"Not Mapped"))</f>
        <v>Not Mapped</v>
      </c>
      <c r="D768" s="40" t="str">
        <f aca="false">IF(B768="","",IFERROR(INDEX('CLM &amp; IM Mapping'!$C$2:$C$270,MATCH(TRIM(B768),'CLM &amp; IM Mapping'!$A$2:$A$270,0)),"Not Mapped"))</f>
        <v>Not Mapped</v>
      </c>
      <c r="E768" s="41" t="n">
        <v>5313</v>
      </c>
      <c r="F768" s="41" t="n">
        <v>0</v>
      </c>
      <c r="G768" s="41" t="n">
        <v>4610</v>
      </c>
      <c r="H768" s="41" t="n">
        <v>0</v>
      </c>
      <c r="I768" s="41" t="n">
        <v>0</v>
      </c>
      <c r="J768" s="41" t="n">
        <v>691</v>
      </c>
      <c r="K768" s="41" t="n">
        <v>12</v>
      </c>
      <c r="L768" s="41" t="n">
        <v>703</v>
      </c>
    </row>
    <row r="769" customFormat="false" ht="15.75" hidden="false" customHeight="false" outlineLevel="0" collapsed="false">
      <c r="B769" s="39" t="s">
        <v>915</v>
      </c>
      <c r="C769" s="40" t="str">
        <f aca="false">IF(B769="","",IFERROR(INDEX('CLM &amp; IM Mapping'!$B$2:$B$270,MATCH(TRIM(B769),'CLM &amp; IM Mapping'!$A$2:$A$270,0)),"Not Mapped"))</f>
        <v>Not Mapped</v>
      </c>
      <c r="D769" s="40" t="str">
        <f aca="false">IF(B769="","",IFERROR(INDEX('CLM &amp; IM Mapping'!$C$2:$C$270,MATCH(TRIM(B769),'CLM &amp; IM Mapping'!$A$2:$A$270,0)),"Not Mapped"))</f>
        <v>Not Mapped</v>
      </c>
      <c r="E769" s="41" t="n">
        <v>2644</v>
      </c>
      <c r="F769" s="41" t="n">
        <v>0</v>
      </c>
      <c r="G769" s="41" t="n">
        <v>1291</v>
      </c>
      <c r="H769" s="41" t="n">
        <v>1353</v>
      </c>
      <c r="I769" s="41" t="n">
        <v>0</v>
      </c>
      <c r="J769" s="41" t="n">
        <v>0</v>
      </c>
      <c r="K769" s="41" t="n">
        <v>0</v>
      </c>
      <c r="L769" s="41" t="n">
        <v>1353</v>
      </c>
    </row>
    <row r="770" customFormat="false" ht="15.75" hidden="false" customHeight="false" outlineLevel="0" collapsed="false">
      <c r="B770" s="39" t="s">
        <v>916</v>
      </c>
      <c r="C770" s="40" t="str">
        <f aca="false">IF(B770="","",IFERROR(INDEX('CLM &amp; IM Mapping'!$B$2:$B$270,MATCH(TRIM(B770),'CLM &amp; IM Mapping'!$A$2:$A$270,0)),"Not Mapped"))</f>
        <v>Not Mapped</v>
      </c>
      <c r="D770" s="40" t="str">
        <f aca="false">IF(B770="","",IFERROR(INDEX('CLM &amp; IM Mapping'!$C$2:$C$270,MATCH(TRIM(B770),'CLM &amp; IM Mapping'!$A$2:$A$270,0)),"Not Mapped"))</f>
        <v>Not Mapped</v>
      </c>
      <c r="E770" s="41" t="n">
        <v>527</v>
      </c>
      <c r="F770" s="41" t="n">
        <v>0</v>
      </c>
      <c r="G770" s="41" t="n">
        <v>0</v>
      </c>
      <c r="H770" s="41" t="n">
        <v>527</v>
      </c>
      <c r="I770" s="41" t="n">
        <v>0</v>
      </c>
      <c r="J770" s="41" t="n">
        <v>0</v>
      </c>
      <c r="K770" s="41" t="n">
        <v>0</v>
      </c>
      <c r="L770" s="41" t="n">
        <v>527</v>
      </c>
    </row>
    <row r="771" customFormat="false" ht="15.75" hidden="false" customHeight="false" outlineLevel="0" collapsed="false">
      <c r="B771" s="39" t="s">
        <v>917</v>
      </c>
      <c r="C771" s="40" t="str">
        <f aca="false">IF(B771="","",IFERROR(INDEX('CLM &amp; IM Mapping'!$B$2:$B$270,MATCH(TRIM(B771),'CLM &amp; IM Mapping'!$A$2:$A$270,0)),"Not Mapped"))</f>
        <v>Not Mapped</v>
      </c>
      <c r="D771" s="40" t="str">
        <f aca="false">IF(B771="","",IFERROR(INDEX('CLM &amp; IM Mapping'!$C$2:$C$270,MATCH(TRIM(B771),'CLM &amp; IM Mapping'!$A$2:$A$270,0)),"Not Mapped"))</f>
        <v>Not Mapped</v>
      </c>
      <c r="E771" s="41" t="n">
        <v>12662</v>
      </c>
      <c r="F771" s="41" t="n">
        <v>8891</v>
      </c>
      <c r="G771" s="41" t="n">
        <v>1265</v>
      </c>
      <c r="H771" s="41" t="n">
        <v>742</v>
      </c>
      <c r="I771" s="41" t="n">
        <v>673</v>
      </c>
      <c r="J771" s="41" t="n">
        <v>340</v>
      </c>
      <c r="K771" s="41" t="n">
        <v>751</v>
      </c>
      <c r="L771" s="41" t="n">
        <v>2506</v>
      </c>
    </row>
    <row r="772" customFormat="false" ht="15.75" hidden="false" customHeight="false" outlineLevel="0" collapsed="false">
      <c r="B772" s="39" t="s">
        <v>918</v>
      </c>
      <c r="C772" s="40" t="str">
        <f aca="false">IF(B772="","",IFERROR(INDEX('CLM &amp; IM Mapping'!$B$2:$B$270,MATCH(TRIM(B772),'CLM &amp; IM Mapping'!$A$2:$A$270,0)),"Not Mapped"))</f>
        <v>Not Mapped</v>
      </c>
      <c r="D772" s="40" t="str">
        <f aca="false">IF(B772="","",IFERROR(INDEX('CLM &amp; IM Mapping'!$C$2:$C$270,MATCH(TRIM(B772),'CLM &amp; IM Mapping'!$A$2:$A$270,0)),"Not Mapped"))</f>
        <v>Not Mapped</v>
      </c>
      <c r="E772" s="41" t="n">
        <v>1050</v>
      </c>
      <c r="F772" s="41" t="n">
        <v>0</v>
      </c>
      <c r="G772" s="41" t="n">
        <v>95</v>
      </c>
      <c r="H772" s="41" t="n">
        <v>955</v>
      </c>
      <c r="I772" s="41" t="n">
        <v>0</v>
      </c>
      <c r="J772" s="41" t="n">
        <v>0</v>
      </c>
      <c r="K772" s="41" t="n">
        <v>0</v>
      </c>
      <c r="L772" s="41" t="n">
        <v>955</v>
      </c>
    </row>
    <row r="773" customFormat="false" ht="15.75" hidden="false" customHeight="false" outlineLevel="0" collapsed="false">
      <c r="B773" s="39" t="s">
        <v>919</v>
      </c>
      <c r="C773" s="40" t="str">
        <f aca="false">IF(B773="","",IFERROR(INDEX('CLM &amp; IM Mapping'!$B$2:$B$270,MATCH(TRIM(B773),'CLM &amp; IM Mapping'!$A$2:$A$270,0)),"Not Mapped"))</f>
        <v>Not Mapped</v>
      </c>
      <c r="D773" s="40" t="str">
        <f aca="false">IF(B773="","",IFERROR(INDEX('CLM &amp; IM Mapping'!$C$2:$C$270,MATCH(TRIM(B773),'CLM &amp; IM Mapping'!$A$2:$A$270,0)),"Not Mapped"))</f>
        <v>Not Mapped</v>
      </c>
      <c r="E773" s="41" t="n">
        <v>196</v>
      </c>
      <c r="F773" s="41" t="n">
        <v>0</v>
      </c>
      <c r="G773" s="41" t="n">
        <v>2</v>
      </c>
      <c r="H773" s="41" t="n">
        <v>194</v>
      </c>
      <c r="I773" s="41" t="n">
        <v>0</v>
      </c>
      <c r="J773" s="41" t="n">
        <v>0</v>
      </c>
      <c r="K773" s="41" t="n">
        <v>0</v>
      </c>
      <c r="L773" s="41" t="n">
        <v>194</v>
      </c>
    </row>
    <row r="774" customFormat="false" ht="15.75" hidden="false" customHeight="false" outlineLevel="0" collapsed="false">
      <c r="B774" s="39" t="s">
        <v>920</v>
      </c>
      <c r="C774" s="40" t="str">
        <f aca="false">IF(B774="","",IFERROR(INDEX('CLM &amp; IM Mapping'!$B$2:$B$270,MATCH(TRIM(B774),'CLM &amp; IM Mapping'!$A$2:$A$270,0)),"Not Mapped"))</f>
        <v>Not Mapped</v>
      </c>
      <c r="D774" s="40" t="str">
        <f aca="false">IF(B774="","",IFERROR(INDEX('CLM &amp; IM Mapping'!$C$2:$C$270,MATCH(TRIM(B774),'CLM &amp; IM Mapping'!$A$2:$A$270,0)),"Not Mapped"))</f>
        <v>Not Mapped</v>
      </c>
      <c r="E774" s="41" t="n">
        <v>1983</v>
      </c>
      <c r="F774" s="41" t="n">
        <v>467</v>
      </c>
      <c r="G774" s="41" t="n">
        <v>0</v>
      </c>
      <c r="H774" s="41" t="n">
        <v>1458</v>
      </c>
      <c r="I774" s="41" t="n">
        <v>0</v>
      </c>
      <c r="J774" s="41" t="n">
        <v>58</v>
      </c>
      <c r="K774" s="41" t="n">
        <v>0</v>
      </c>
      <c r="L774" s="41" t="n">
        <v>1516</v>
      </c>
    </row>
    <row r="775" customFormat="false" ht="15.75" hidden="false" customHeight="false" outlineLevel="0" collapsed="false">
      <c r="B775" s="39" t="s">
        <v>921</v>
      </c>
      <c r="C775" s="40" t="str">
        <f aca="false">IF(B775="","",IFERROR(INDEX('CLM &amp; IM Mapping'!$B$2:$B$270,MATCH(TRIM(B775),'CLM &amp; IM Mapping'!$A$2:$A$270,0)),"Not Mapped"))</f>
        <v>Not Mapped</v>
      </c>
      <c r="D775" s="40" t="str">
        <f aca="false">IF(B775="","",IFERROR(INDEX('CLM &amp; IM Mapping'!$C$2:$C$270,MATCH(TRIM(B775),'CLM &amp; IM Mapping'!$A$2:$A$270,0)),"Not Mapped"))</f>
        <v>Not Mapped</v>
      </c>
      <c r="E775" s="41" t="n">
        <v>798</v>
      </c>
      <c r="F775" s="41" t="n">
        <v>0</v>
      </c>
      <c r="G775" s="41" t="n">
        <v>0</v>
      </c>
      <c r="H775" s="41" t="n">
        <v>788</v>
      </c>
      <c r="I775" s="41" t="n">
        <v>0</v>
      </c>
      <c r="J775" s="41" t="n">
        <v>10</v>
      </c>
      <c r="K775" s="41" t="n">
        <v>0</v>
      </c>
      <c r="L775" s="41" t="n">
        <v>798</v>
      </c>
    </row>
    <row r="776" customFormat="false" ht="15.75" hidden="false" customHeight="false" outlineLevel="0" collapsed="false">
      <c r="B776" s="39" t="s">
        <v>922</v>
      </c>
      <c r="C776" s="40" t="str">
        <f aca="false">IF(B776="","",IFERROR(INDEX('CLM &amp; IM Mapping'!$B$2:$B$270,MATCH(TRIM(B776),'CLM &amp; IM Mapping'!$A$2:$A$270,0)),"Not Mapped"))</f>
        <v>Not Mapped</v>
      </c>
      <c r="D776" s="40" t="str">
        <f aca="false">IF(B776="","",IFERROR(INDEX('CLM &amp; IM Mapping'!$C$2:$C$270,MATCH(TRIM(B776),'CLM &amp; IM Mapping'!$A$2:$A$270,0)),"Not Mapped"))</f>
        <v>Not Mapped</v>
      </c>
      <c r="E776" s="41" t="n">
        <v>0</v>
      </c>
      <c r="F776" s="41" t="n">
        <v>0</v>
      </c>
      <c r="G776" s="41" t="n">
        <v>0</v>
      </c>
      <c r="H776" s="41" t="n">
        <v>0</v>
      </c>
      <c r="I776" s="41" t="n">
        <v>0</v>
      </c>
      <c r="J776" s="41" t="n">
        <v>0</v>
      </c>
      <c r="K776" s="41" t="n">
        <v>0</v>
      </c>
      <c r="L776" s="41" t="n">
        <v>0</v>
      </c>
    </row>
    <row r="777" customFormat="false" ht="15.75" hidden="false" customHeight="false" outlineLevel="0" collapsed="false">
      <c r="B777" s="39" t="s">
        <v>923</v>
      </c>
      <c r="C777" s="40" t="str">
        <f aca="false">IF(B777="","",IFERROR(INDEX('CLM &amp; IM Mapping'!$B$2:$B$270,MATCH(TRIM(B777),'CLM &amp; IM Mapping'!$A$2:$A$270,0)),"Not Mapped"))</f>
        <v>Not Mapped</v>
      </c>
      <c r="D777" s="40" t="str">
        <f aca="false">IF(B777="","",IFERROR(INDEX('CLM &amp; IM Mapping'!$C$2:$C$270,MATCH(TRIM(B777),'CLM &amp; IM Mapping'!$A$2:$A$270,0)),"Not Mapped"))</f>
        <v>Not Mapped</v>
      </c>
      <c r="E777" s="41" t="n">
        <v>2111</v>
      </c>
      <c r="F777" s="41" t="n">
        <v>1693</v>
      </c>
      <c r="G777" s="41" t="n">
        <v>405</v>
      </c>
      <c r="H777" s="41" t="n">
        <v>13</v>
      </c>
      <c r="I777" s="41" t="n">
        <v>0</v>
      </c>
      <c r="J777" s="41" t="n">
        <v>0</v>
      </c>
      <c r="K777" s="41" t="n">
        <v>0</v>
      </c>
      <c r="L777" s="41" t="n">
        <v>13</v>
      </c>
    </row>
    <row r="778" customFormat="false" ht="15.75" hidden="false" customHeight="false" outlineLevel="0" collapsed="false">
      <c r="B778" s="39" t="s">
        <v>924</v>
      </c>
      <c r="C778" s="40" t="str">
        <f aca="false">IF(B778="","",IFERROR(INDEX('CLM &amp; IM Mapping'!$B$2:$B$270,MATCH(TRIM(B778),'CLM &amp; IM Mapping'!$A$2:$A$270,0)),"Not Mapped"))</f>
        <v>Not Mapped</v>
      </c>
      <c r="D778" s="40" t="str">
        <f aca="false">IF(B778="","",IFERROR(INDEX('CLM &amp; IM Mapping'!$C$2:$C$270,MATCH(TRIM(B778),'CLM &amp; IM Mapping'!$A$2:$A$270,0)),"Not Mapped"))</f>
        <v>Not Mapped</v>
      </c>
      <c r="E778" s="41" t="n">
        <v>8679</v>
      </c>
      <c r="F778" s="41" t="n">
        <v>1689</v>
      </c>
      <c r="G778" s="41" t="n">
        <v>3817</v>
      </c>
      <c r="H778" s="41" t="n">
        <v>3173</v>
      </c>
      <c r="I778" s="41" t="n">
        <v>0</v>
      </c>
      <c r="J778" s="41" t="n">
        <v>0</v>
      </c>
      <c r="K778" s="41" t="n">
        <v>0</v>
      </c>
      <c r="L778" s="41" t="n">
        <v>3173</v>
      </c>
    </row>
    <row r="779" customFormat="false" ht="15.75" hidden="false" customHeight="false" outlineLevel="0" collapsed="false">
      <c r="B779" s="39" t="s">
        <v>925</v>
      </c>
      <c r="C779" s="40" t="str">
        <f aca="false">IF(B779="","",IFERROR(INDEX('CLM &amp; IM Mapping'!$B$2:$B$270,MATCH(TRIM(B779),'CLM &amp; IM Mapping'!$A$2:$A$270,0)),"Not Mapped"))</f>
        <v>Not Mapped</v>
      </c>
      <c r="D779" s="40" t="str">
        <f aca="false">IF(B779="","",IFERROR(INDEX('CLM &amp; IM Mapping'!$C$2:$C$270,MATCH(TRIM(B779),'CLM &amp; IM Mapping'!$A$2:$A$270,0)),"Not Mapped"))</f>
        <v>Not Mapped</v>
      </c>
      <c r="E779" s="41" t="n">
        <v>0</v>
      </c>
      <c r="F779" s="41" t="n">
        <v>0</v>
      </c>
      <c r="G779" s="41" t="n">
        <v>0</v>
      </c>
      <c r="H779" s="41" t="n">
        <v>0</v>
      </c>
      <c r="I779" s="41" t="n">
        <v>0</v>
      </c>
      <c r="J779" s="41" t="n">
        <v>0</v>
      </c>
      <c r="K779" s="41" t="n">
        <v>0</v>
      </c>
      <c r="L779" s="41" t="n">
        <v>0</v>
      </c>
    </row>
    <row r="780" customFormat="false" ht="15.75" hidden="false" customHeight="false" outlineLevel="0" collapsed="false">
      <c r="B780" s="39" t="s">
        <v>926</v>
      </c>
      <c r="C780" s="40" t="str">
        <f aca="false">IF(B780="","",IFERROR(INDEX('CLM &amp; IM Mapping'!$B$2:$B$270,MATCH(TRIM(B780),'CLM &amp; IM Mapping'!$A$2:$A$270,0)),"Not Mapped"))</f>
        <v>Not Mapped</v>
      </c>
      <c r="D780" s="40" t="str">
        <f aca="false">IF(B780="","",IFERROR(INDEX('CLM &amp; IM Mapping'!$C$2:$C$270,MATCH(TRIM(B780),'CLM &amp; IM Mapping'!$A$2:$A$270,0)),"Not Mapped"))</f>
        <v>Not Mapped</v>
      </c>
      <c r="E780" s="41" t="n">
        <v>925</v>
      </c>
      <c r="F780" s="41" t="n">
        <v>9</v>
      </c>
      <c r="G780" s="41" t="n">
        <v>706</v>
      </c>
      <c r="H780" s="41" t="n">
        <v>0</v>
      </c>
      <c r="I780" s="41" t="n">
        <v>0</v>
      </c>
      <c r="J780" s="41" t="n">
        <v>160</v>
      </c>
      <c r="K780" s="41" t="n">
        <v>50</v>
      </c>
      <c r="L780" s="41" t="n">
        <v>210</v>
      </c>
    </row>
    <row r="781" customFormat="false" ht="15.75" hidden="false" customHeight="false" outlineLevel="0" collapsed="false">
      <c r="B781" s="39" t="s">
        <v>927</v>
      </c>
      <c r="C781" s="40" t="str">
        <f aca="false">IF(B781="","",IFERROR(INDEX('CLM &amp; IM Mapping'!$B$2:$B$270,MATCH(TRIM(B781),'CLM &amp; IM Mapping'!$A$2:$A$270,0)),"Not Mapped"))</f>
        <v>Not Mapped</v>
      </c>
      <c r="D781" s="40" t="str">
        <f aca="false">IF(B781="","",IFERROR(INDEX('CLM &amp; IM Mapping'!$C$2:$C$270,MATCH(TRIM(B781),'CLM &amp; IM Mapping'!$A$2:$A$270,0)),"Not Mapped"))</f>
        <v>Not Mapped</v>
      </c>
      <c r="E781" s="41" t="n">
        <v>0</v>
      </c>
      <c r="F781" s="41" t="n">
        <v>0</v>
      </c>
      <c r="G781" s="41" t="n">
        <v>0</v>
      </c>
      <c r="H781" s="41" t="n">
        <v>0</v>
      </c>
      <c r="I781" s="41" t="n">
        <v>0</v>
      </c>
      <c r="J781" s="41" t="n">
        <v>0</v>
      </c>
      <c r="K781" s="41" t="n">
        <v>0</v>
      </c>
      <c r="L781" s="41" t="n">
        <v>0</v>
      </c>
    </row>
    <row r="782" customFormat="false" ht="15.75" hidden="false" customHeight="false" outlineLevel="0" collapsed="false">
      <c r="B782" s="39" t="s">
        <v>928</v>
      </c>
      <c r="C782" s="40" t="str">
        <f aca="false">IF(B782="","",IFERROR(INDEX('CLM &amp; IM Mapping'!$B$2:$B$270,MATCH(TRIM(B782),'CLM &amp; IM Mapping'!$A$2:$A$270,0)),"Not Mapped"))</f>
        <v>Not Mapped</v>
      </c>
      <c r="D782" s="40" t="str">
        <f aca="false">IF(B782="","",IFERROR(INDEX('CLM &amp; IM Mapping'!$C$2:$C$270,MATCH(TRIM(B782),'CLM &amp; IM Mapping'!$A$2:$A$270,0)),"Not Mapped"))</f>
        <v>Not Mapped</v>
      </c>
      <c r="E782" s="41" t="n">
        <v>1159</v>
      </c>
      <c r="F782" s="41" t="n">
        <v>9</v>
      </c>
      <c r="G782" s="41" t="n">
        <v>1139</v>
      </c>
      <c r="H782" s="41" t="n">
        <v>0</v>
      </c>
      <c r="I782" s="41" t="n">
        <v>0</v>
      </c>
      <c r="J782" s="41" t="n">
        <v>0</v>
      </c>
      <c r="K782" s="41" t="n">
        <v>11</v>
      </c>
      <c r="L782" s="41" t="n">
        <v>11</v>
      </c>
    </row>
    <row r="783" customFormat="false" ht="15.75" hidden="false" customHeight="false" outlineLevel="0" collapsed="false">
      <c r="B783" s="39" t="s">
        <v>929</v>
      </c>
      <c r="C783" s="40" t="str">
        <f aca="false">IF(B783="","",IFERROR(INDEX('CLM &amp; IM Mapping'!$B$2:$B$270,MATCH(TRIM(B783),'CLM &amp; IM Mapping'!$A$2:$A$270,0)),"Not Mapped"))</f>
        <v>Not Mapped</v>
      </c>
      <c r="D783" s="40" t="str">
        <f aca="false">IF(B783="","",IFERROR(INDEX('CLM &amp; IM Mapping'!$C$2:$C$270,MATCH(TRIM(B783),'CLM &amp; IM Mapping'!$A$2:$A$270,0)),"Not Mapped"))</f>
        <v>Not Mapped</v>
      </c>
      <c r="E783" s="41" t="n">
        <v>1663</v>
      </c>
      <c r="F783" s="41" t="n">
        <v>1663</v>
      </c>
      <c r="G783" s="41" t="n">
        <v>0</v>
      </c>
      <c r="H783" s="41" t="n">
        <v>0</v>
      </c>
      <c r="I783" s="41" t="n">
        <v>0</v>
      </c>
      <c r="J783" s="41" t="n">
        <v>0</v>
      </c>
      <c r="K783" s="41" t="n">
        <v>0</v>
      </c>
      <c r="L783" s="41" t="n">
        <v>0</v>
      </c>
    </row>
    <row r="784" customFormat="false" ht="15.75" hidden="false" customHeight="false" outlineLevel="0" collapsed="false">
      <c r="B784" s="39" t="s">
        <v>930</v>
      </c>
      <c r="C784" s="40" t="str">
        <f aca="false">IF(B784="","",IFERROR(INDEX('CLM &amp; IM Mapping'!$B$2:$B$270,MATCH(TRIM(B784),'CLM &amp; IM Mapping'!$A$2:$A$270,0)),"Not Mapped"))</f>
        <v>Not Mapped</v>
      </c>
      <c r="D784" s="40" t="str">
        <f aca="false">IF(B784="","",IFERROR(INDEX('CLM &amp; IM Mapping'!$C$2:$C$270,MATCH(TRIM(B784),'CLM &amp; IM Mapping'!$A$2:$A$270,0)),"Not Mapped"))</f>
        <v>Not Mapped</v>
      </c>
      <c r="E784" s="41" t="n">
        <v>3350</v>
      </c>
      <c r="F784" s="41" t="n">
        <v>1816</v>
      </c>
      <c r="G784" s="41" t="n">
        <v>1509</v>
      </c>
      <c r="H784" s="41" t="n">
        <v>0</v>
      </c>
      <c r="I784" s="41" t="n">
        <v>25</v>
      </c>
      <c r="J784" s="41" t="n">
        <v>0</v>
      </c>
      <c r="K784" s="41" t="n">
        <v>0</v>
      </c>
      <c r="L784" s="41" t="n">
        <v>25</v>
      </c>
    </row>
    <row r="785" customFormat="false" ht="15.75" hidden="false" customHeight="false" outlineLevel="0" collapsed="false">
      <c r="B785" s="39" t="s">
        <v>931</v>
      </c>
      <c r="C785" s="40" t="str">
        <f aca="false">IF(B785="","",IFERROR(INDEX('CLM &amp; IM Mapping'!$B$2:$B$270,MATCH(TRIM(B785),'CLM &amp; IM Mapping'!$A$2:$A$270,0)),"Not Mapped"))</f>
        <v>Not Mapped</v>
      </c>
      <c r="D785" s="40" t="str">
        <f aca="false">IF(B785="","",IFERROR(INDEX('CLM &amp; IM Mapping'!$C$2:$C$270,MATCH(TRIM(B785),'CLM &amp; IM Mapping'!$A$2:$A$270,0)),"Not Mapped"))</f>
        <v>Not Mapped</v>
      </c>
      <c r="E785" s="41" t="n">
        <v>2800</v>
      </c>
      <c r="F785" s="41" t="n">
        <v>426</v>
      </c>
      <c r="G785" s="41" t="n">
        <v>73</v>
      </c>
      <c r="H785" s="41" t="n">
        <v>2289</v>
      </c>
      <c r="I785" s="41" t="n">
        <v>0</v>
      </c>
      <c r="J785" s="41" t="n">
        <v>12</v>
      </c>
      <c r="K785" s="41" t="n">
        <v>0</v>
      </c>
      <c r="L785" s="41" t="n">
        <v>2301</v>
      </c>
    </row>
    <row r="786" customFormat="false" ht="15.75" hidden="false" customHeight="false" outlineLevel="0" collapsed="false">
      <c r="B786" s="39" t="s">
        <v>932</v>
      </c>
      <c r="C786" s="40" t="str">
        <f aca="false">IF(B786="","",IFERROR(INDEX('CLM &amp; IM Mapping'!$B$2:$B$270,MATCH(TRIM(B786),'CLM &amp; IM Mapping'!$A$2:$A$270,0)),"Not Mapped"))</f>
        <v>Not Mapped</v>
      </c>
      <c r="D786" s="40" t="str">
        <f aca="false">IF(B786="","",IFERROR(INDEX('CLM &amp; IM Mapping'!$C$2:$C$270,MATCH(TRIM(B786),'CLM &amp; IM Mapping'!$A$2:$A$270,0)),"Not Mapped"))</f>
        <v>Not Mapped</v>
      </c>
      <c r="E786" s="41" t="n">
        <v>0</v>
      </c>
      <c r="F786" s="41" t="n">
        <v>0</v>
      </c>
      <c r="G786" s="41" t="n">
        <v>0</v>
      </c>
      <c r="H786" s="41" t="n">
        <v>0</v>
      </c>
      <c r="I786" s="41" t="n">
        <v>0</v>
      </c>
      <c r="J786" s="41" t="n">
        <v>0</v>
      </c>
      <c r="K786" s="41" t="n">
        <v>0</v>
      </c>
      <c r="L786" s="41" t="n">
        <v>0</v>
      </c>
    </row>
    <row r="787" customFormat="false" ht="15.75" hidden="false" customHeight="false" outlineLevel="0" collapsed="false">
      <c r="B787" s="39" t="s">
        <v>933</v>
      </c>
      <c r="C787" s="40" t="str">
        <f aca="false">IF(B787="","",IFERROR(INDEX('CLM &amp; IM Mapping'!$B$2:$B$270,MATCH(TRIM(B787),'CLM &amp; IM Mapping'!$A$2:$A$270,0)),"Not Mapped"))</f>
        <v>Not Mapped</v>
      </c>
      <c r="D787" s="40" t="str">
        <f aca="false">IF(B787="","",IFERROR(INDEX('CLM &amp; IM Mapping'!$C$2:$C$270,MATCH(TRIM(B787),'CLM &amp; IM Mapping'!$A$2:$A$270,0)),"Not Mapped"))</f>
        <v>Not Mapped</v>
      </c>
      <c r="E787" s="41" t="n">
        <v>0</v>
      </c>
      <c r="F787" s="41" t="n">
        <v>0</v>
      </c>
      <c r="G787" s="41" t="n">
        <v>0</v>
      </c>
      <c r="H787" s="41" t="n">
        <v>0</v>
      </c>
      <c r="I787" s="41" t="n">
        <v>0</v>
      </c>
      <c r="J787" s="41" t="n">
        <v>0</v>
      </c>
      <c r="K787" s="41" t="n">
        <v>0</v>
      </c>
      <c r="L787" s="41" t="n">
        <v>0</v>
      </c>
    </row>
    <row r="788" customFormat="false" ht="15.75" hidden="false" customHeight="false" outlineLevel="0" collapsed="false">
      <c r="B788" s="39" t="s">
        <v>934</v>
      </c>
      <c r="C788" s="40" t="str">
        <f aca="false">IF(B788="","",IFERROR(INDEX('CLM &amp; IM Mapping'!$B$2:$B$270,MATCH(TRIM(B788),'CLM &amp; IM Mapping'!$A$2:$A$270,0)),"Not Mapped"))</f>
        <v>Not Mapped</v>
      </c>
      <c r="D788" s="40" t="str">
        <f aca="false">IF(B788="","",IFERROR(INDEX('CLM &amp; IM Mapping'!$C$2:$C$270,MATCH(TRIM(B788),'CLM &amp; IM Mapping'!$A$2:$A$270,0)),"Not Mapped"))</f>
        <v>Not Mapped</v>
      </c>
      <c r="E788" s="41" t="n">
        <v>6720</v>
      </c>
      <c r="F788" s="41" t="n">
        <v>14</v>
      </c>
      <c r="G788" s="41" t="n">
        <v>6182</v>
      </c>
      <c r="H788" s="41" t="n">
        <v>0</v>
      </c>
      <c r="I788" s="41" t="n">
        <v>0</v>
      </c>
      <c r="J788" s="41" t="n">
        <v>408</v>
      </c>
      <c r="K788" s="41" t="n">
        <v>116</v>
      </c>
      <c r="L788" s="41" t="n">
        <v>524</v>
      </c>
    </row>
    <row r="789" customFormat="false" ht="15.75" hidden="false" customHeight="false" outlineLevel="0" collapsed="false">
      <c r="B789" s="39" t="s">
        <v>935</v>
      </c>
      <c r="C789" s="40" t="str">
        <f aca="false">IF(B789="","",IFERROR(INDEX('CLM &amp; IM Mapping'!$B$2:$B$270,MATCH(TRIM(B789),'CLM &amp; IM Mapping'!$A$2:$A$270,0)),"Not Mapped"))</f>
        <v>Not Mapped</v>
      </c>
      <c r="D789" s="40" t="str">
        <f aca="false">IF(B789="","",IFERROR(INDEX('CLM &amp; IM Mapping'!$C$2:$C$270,MATCH(TRIM(B789),'CLM &amp; IM Mapping'!$A$2:$A$270,0)),"Not Mapped"))</f>
        <v>Not Mapped</v>
      </c>
      <c r="E789" s="41" t="n">
        <v>0</v>
      </c>
      <c r="F789" s="41" t="n">
        <v>0</v>
      </c>
      <c r="G789" s="41" t="n">
        <v>0</v>
      </c>
      <c r="H789" s="41" t="n">
        <v>0</v>
      </c>
      <c r="I789" s="41" t="n">
        <v>0</v>
      </c>
      <c r="J789" s="41" t="n">
        <v>0</v>
      </c>
      <c r="K789" s="41" t="n">
        <v>0</v>
      </c>
      <c r="L789" s="41" t="n">
        <v>0</v>
      </c>
    </row>
    <row r="790" customFormat="false" ht="15.75" hidden="false" customHeight="false" outlineLevel="0" collapsed="false">
      <c r="B790" s="39" t="s">
        <v>936</v>
      </c>
      <c r="C790" s="40" t="str">
        <f aca="false">IF(B790="","",IFERROR(INDEX('CLM &amp; IM Mapping'!$B$2:$B$270,MATCH(TRIM(B790),'CLM &amp; IM Mapping'!$A$2:$A$270,0)),"Not Mapped"))</f>
        <v>Not Mapped</v>
      </c>
      <c r="D790" s="40" t="str">
        <f aca="false">IF(B790="","",IFERROR(INDEX('CLM &amp; IM Mapping'!$C$2:$C$270,MATCH(TRIM(B790),'CLM &amp; IM Mapping'!$A$2:$A$270,0)),"Not Mapped"))</f>
        <v>Not Mapped</v>
      </c>
      <c r="E790" s="41" t="n">
        <v>2</v>
      </c>
      <c r="F790" s="41" t="n">
        <v>1</v>
      </c>
      <c r="G790" s="41" t="n">
        <v>0</v>
      </c>
      <c r="H790" s="41" t="n">
        <v>0</v>
      </c>
      <c r="I790" s="41" t="n">
        <v>0</v>
      </c>
      <c r="J790" s="41" t="n">
        <v>0</v>
      </c>
      <c r="K790" s="41" t="n">
        <v>1</v>
      </c>
      <c r="L790" s="41" t="n">
        <v>1</v>
      </c>
    </row>
    <row r="791" customFormat="false" ht="15.75" hidden="false" customHeight="false" outlineLevel="0" collapsed="false">
      <c r="B791" s="39" t="s">
        <v>937</v>
      </c>
      <c r="C791" s="40" t="str">
        <f aca="false">IF(B791="","",IFERROR(INDEX('CLM &amp; IM Mapping'!$B$2:$B$270,MATCH(TRIM(B791),'CLM &amp; IM Mapping'!$A$2:$A$270,0)),"Not Mapped"))</f>
        <v>Not Mapped</v>
      </c>
      <c r="D791" s="40" t="str">
        <f aca="false">IF(B791="","",IFERROR(INDEX('CLM &amp; IM Mapping'!$C$2:$C$270,MATCH(TRIM(B791),'CLM &amp; IM Mapping'!$A$2:$A$270,0)),"Not Mapped"))</f>
        <v>Not Mapped</v>
      </c>
      <c r="E791" s="41" t="n">
        <v>1167</v>
      </c>
      <c r="F791" s="41" t="n">
        <v>733</v>
      </c>
      <c r="G791" s="41" t="n">
        <v>434</v>
      </c>
      <c r="H791" s="41" t="n">
        <v>0</v>
      </c>
      <c r="I791" s="41" t="n">
        <v>0</v>
      </c>
      <c r="J791" s="41" t="n">
        <v>0</v>
      </c>
      <c r="K791" s="41" t="n">
        <v>0</v>
      </c>
      <c r="L791" s="41" t="n">
        <v>0</v>
      </c>
    </row>
    <row r="792" customFormat="false" ht="15.75" hidden="false" customHeight="false" outlineLevel="0" collapsed="false">
      <c r="B792" s="39" t="s">
        <v>938</v>
      </c>
      <c r="C792" s="40" t="str">
        <f aca="false">IF(B792="","",IFERROR(INDEX('CLM &amp; IM Mapping'!$B$2:$B$270,MATCH(TRIM(B792),'CLM &amp; IM Mapping'!$A$2:$A$270,0)),"Not Mapped"))</f>
        <v>Not Mapped</v>
      </c>
      <c r="D792" s="40" t="str">
        <f aca="false">IF(B792="","",IFERROR(INDEX('CLM &amp; IM Mapping'!$C$2:$C$270,MATCH(TRIM(B792),'CLM &amp; IM Mapping'!$A$2:$A$270,0)),"Not Mapped"))</f>
        <v>Not Mapped</v>
      </c>
      <c r="E792" s="41" t="n">
        <v>3878</v>
      </c>
      <c r="F792" s="41" t="n">
        <v>3849</v>
      </c>
      <c r="G792" s="41" t="n">
        <v>29</v>
      </c>
      <c r="H792" s="41" t="n">
        <v>0</v>
      </c>
      <c r="I792" s="41" t="n">
        <v>0</v>
      </c>
      <c r="J792" s="41" t="n">
        <v>0</v>
      </c>
      <c r="K792" s="41" t="n">
        <v>0</v>
      </c>
      <c r="L792" s="41" t="n">
        <v>0</v>
      </c>
    </row>
    <row r="793" customFormat="false" ht="15.75" hidden="false" customHeight="false" outlineLevel="0" collapsed="false">
      <c r="B793" s="39" t="s">
        <v>939</v>
      </c>
      <c r="C793" s="40" t="str">
        <f aca="false">IF(B793="","",IFERROR(INDEX('CLM &amp; IM Mapping'!$B$2:$B$270,MATCH(TRIM(B793),'CLM &amp; IM Mapping'!$A$2:$A$270,0)),"Not Mapped"))</f>
        <v>Not Mapped</v>
      </c>
      <c r="D793" s="40" t="str">
        <f aca="false">IF(B793="","",IFERROR(INDEX('CLM &amp; IM Mapping'!$C$2:$C$270,MATCH(TRIM(B793),'CLM &amp; IM Mapping'!$A$2:$A$270,0)),"Not Mapped"))</f>
        <v>Not Mapped</v>
      </c>
      <c r="E793" s="41" t="n">
        <v>4630</v>
      </c>
      <c r="F793" s="41" t="n">
        <v>0</v>
      </c>
      <c r="G793" s="41" t="n">
        <v>3429</v>
      </c>
      <c r="H793" s="41" t="n">
        <v>0</v>
      </c>
      <c r="I793" s="41" t="n">
        <v>907</v>
      </c>
      <c r="J793" s="41" t="n">
        <v>0</v>
      </c>
      <c r="K793" s="41" t="n">
        <v>294</v>
      </c>
      <c r="L793" s="41" t="n">
        <v>1201</v>
      </c>
    </row>
    <row r="794" customFormat="false" ht="15.75" hidden="false" customHeight="false" outlineLevel="0" collapsed="false">
      <c r="B794" s="39" t="s">
        <v>940</v>
      </c>
      <c r="C794" s="40" t="str">
        <f aca="false">IF(B794="","",IFERROR(INDEX('CLM &amp; IM Mapping'!$B$2:$B$270,MATCH(TRIM(B794),'CLM &amp; IM Mapping'!$A$2:$A$270,0)),"Not Mapped"))</f>
        <v>Not Mapped</v>
      </c>
      <c r="D794" s="40" t="str">
        <f aca="false">IF(B794="","",IFERROR(INDEX('CLM &amp; IM Mapping'!$C$2:$C$270,MATCH(TRIM(B794),'CLM &amp; IM Mapping'!$A$2:$A$270,0)),"Not Mapped"))</f>
        <v>Not Mapped</v>
      </c>
      <c r="E794" s="41" t="n">
        <v>6201</v>
      </c>
      <c r="F794" s="41" t="n">
        <v>5797</v>
      </c>
      <c r="G794" s="41" t="n">
        <v>1</v>
      </c>
      <c r="H794" s="41" t="n">
        <v>0</v>
      </c>
      <c r="I794" s="41" t="n">
        <v>295</v>
      </c>
      <c r="J794" s="41" t="n">
        <v>0</v>
      </c>
      <c r="K794" s="41" t="n">
        <v>108</v>
      </c>
      <c r="L794" s="41" t="n">
        <v>403</v>
      </c>
    </row>
    <row r="795" customFormat="false" ht="15.75" hidden="false" customHeight="false" outlineLevel="0" collapsed="false">
      <c r="B795" s="39" t="s">
        <v>941</v>
      </c>
      <c r="C795" s="40" t="str">
        <f aca="false">IF(B795="","",IFERROR(INDEX('CLM &amp; IM Mapping'!$B$2:$B$270,MATCH(TRIM(B795),'CLM &amp; IM Mapping'!$A$2:$A$270,0)),"Not Mapped"))</f>
        <v>Not Mapped</v>
      </c>
      <c r="D795" s="40" t="str">
        <f aca="false">IF(B795="","",IFERROR(INDEX('CLM &amp; IM Mapping'!$C$2:$C$270,MATCH(TRIM(B795),'CLM &amp; IM Mapping'!$A$2:$A$270,0)),"Not Mapped"))</f>
        <v>Not Mapped</v>
      </c>
      <c r="E795" s="41" t="n">
        <v>0</v>
      </c>
      <c r="F795" s="41" t="n">
        <v>0</v>
      </c>
      <c r="G795" s="41" t="n">
        <v>0</v>
      </c>
      <c r="H795" s="41" t="n">
        <v>0</v>
      </c>
      <c r="I795" s="41" t="n">
        <v>0</v>
      </c>
      <c r="J795" s="41" t="n">
        <v>0</v>
      </c>
      <c r="K795" s="41" t="n">
        <v>0</v>
      </c>
      <c r="L795" s="41" t="n">
        <v>0</v>
      </c>
    </row>
    <row r="796" customFormat="false" ht="15.75" hidden="false" customHeight="false" outlineLevel="0" collapsed="false">
      <c r="B796" s="39" t="s">
        <v>942</v>
      </c>
      <c r="C796" s="40" t="str">
        <f aca="false">IF(B796="","",IFERROR(INDEX('CLM &amp; IM Mapping'!$B$2:$B$270,MATCH(TRIM(B796),'CLM &amp; IM Mapping'!$A$2:$A$270,0)),"Not Mapped"))</f>
        <v>Not Mapped</v>
      </c>
      <c r="D796" s="40" t="str">
        <f aca="false">IF(B796="","",IFERROR(INDEX('CLM &amp; IM Mapping'!$C$2:$C$270,MATCH(TRIM(B796),'CLM &amp; IM Mapping'!$A$2:$A$270,0)),"Not Mapped"))</f>
        <v>Not Mapped</v>
      </c>
      <c r="E796" s="41" t="n">
        <v>4307</v>
      </c>
      <c r="F796" s="41" t="n">
        <v>0</v>
      </c>
      <c r="G796" s="41" t="n">
        <v>0</v>
      </c>
      <c r="H796" s="41" t="n">
        <v>3792</v>
      </c>
      <c r="I796" s="41" t="n">
        <v>0</v>
      </c>
      <c r="J796" s="41" t="n">
        <v>515</v>
      </c>
      <c r="K796" s="41" t="n">
        <v>0</v>
      </c>
      <c r="L796" s="41" t="n">
        <v>515</v>
      </c>
    </row>
    <row r="797" customFormat="false" ht="15.75" hidden="false" customHeight="false" outlineLevel="0" collapsed="false">
      <c r="B797" s="39" t="s">
        <v>943</v>
      </c>
      <c r="C797" s="40" t="str">
        <f aca="false">IF(B797="","",IFERROR(INDEX('CLM &amp; IM Mapping'!$B$2:$B$270,MATCH(TRIM(B797),'CLM &amp; IM Mapping'!$A$2:$A$270,0)),"Not Mapped"))</f>
        <v>Not Mapped</v>
      </c>
      <c r="D797" s="40" t="str">
        <f aca="false">IF(B797="","",IFERROR(INDEX('CLM &amp; IM Mapping'!$C$2:$C$270,MATCH(TRIM(B797),'CLM &amp; IM Mapping'!$A$2:$A$270,0)),"Not Mapped"))</f>
        <v>Not Mapped</v>
      </c>
      <c r="E797" s="41" t="n">
        <v>57</v>
      </c>
      <c r="F797" s="41" t="n">
        <v>0</v>
      </c>
      <c r="G797" s="41" t="n">
        <v>0</v>
      </c>
      <c r="H797" s="41" t="n">
        <v>0</v>
      </c>
      <c r="I797" s="41" t="n">
        <v>47</v>
      </c>
      <c r="J797" s="41" t="n">
        <v>10</v>
      </c>
      <c r="K797" s="41" t="n">
        <v>0</v>
      </c>
      <c r="L797" s="41" t="n">
        <v>57</v>
      </c>
    </row>
    <row r="798" customFormat="false" ht="15.75" hidden="false" customHeight="false" outlineLevel="0" collapsed="false">
      <c r="B798" s="39" t="s">
        <v>944</v>
      </c>
      <c r="C798" s="40" t="str">
        <f aca="false">IF(B798="","",IFERROR(INDEX('CLM &amp; IM Mapping'!$B$2:$B$270,MATCH(TRIM(B798),'CLM &amp; IM Mapping'!$A$2:$A$270,0)),"Not Mapped"))</f>
        <v>Not Mapped</v>
      </c>
      <c r="D798" s="40" t="str">
        <f aca="false">IF(B798="","",IFERROR(INDEX('CLM &amp; IM Mapping'!$C$2:$C$270,MATCH(TRIM(B798),'CLM &amp; IM Mapping'!$A$2:$A$270,0)),"Not Mapped"))</f>
        <v>Not Mapped</v>
      </c>
      <c r="E798" s="41" t="n">
        <v>912</v>
      </c>
      <c r="F798" s="41" t="n">
        <v>0</v>
      </c>
      <c r="G798" s="41" t="n">
        <v>912</v>
      </c>
      <c r="H798" s="41" t="n">
        <v>0</v>
      </c>
      <c r="I798" s="41" t="n">
        <v>0</v>
      </c>
      <c r="J798" s="41" t="n">
        <v>0</v>
      </c>
      <c r="K798" s="41" t="n">
        <v>0</v>
      </c>
      <c r="L798" s="41" t="n">
        <v>0</v>
      </c>
    </row>
    <row r="799" customFormat="false" ht="15.75" hidden="false" customHeight="false" outlineLevel="0" collapsed="false">
      <c r="B799" s="39" t="s">
        <v>945</v>
      </c>
      <c r="C799" s="40" t="str">
        <f aca="false">IF(B799="","",IFERROR(INDEX('CLM &amp; IM Mapping'!$B$2:$B$270,MATCH(TRIM(B799),'CLM &amp; IM Mapping'!$A$2:$A$270,0)),"Not Mapped"))</f>
        <v>Not Mapped</v>
      </c>
      <c r="D799" s="40" t="str">
        <f aca="false">IF(B799="","",IFERROR(INDEX('CLM &amp; IM Mapping'!$C$2:$C$270,MATCH(TRIM(B799),'CLM &amp; IM Mapping'!$A$2:$A$270,0)),"Not Mapped"))</f>
        <v>Not Mapped</v>
      </c>
      <c r="E799" s="41" t="n">
        <v>340</v>
      </c>
      <c r="F799" s="41" t="n">
        <v>0</v>
      </c>
      <c r="G799" s="41" t="n">
        <v>0</v>
      </c>
      <c r="H799" s="41" t="n">
        <v>340</v>
      </c>
      <c r="I799" s="41" t="n">
        <v>0</v>
      </c>
      <c r="J799" s="41" t="n">
        <v>0</v>
      </c>
      <c r="K799" s="41" t="n">
        <v>0</v>
      </c>
      <c r="L799" s="41" t="n">
        <v>340</v>
      </c>
    </row>
    <row r="800" customFormat="false" ht="15.75" hidden="false" customHeight="false" outlineLevel="0" collapsed="false">
      <c r="B800" s="39" t="s">
        <v>946</v>
      </c>
      <c r="C800" s="40" t="str">
        <f aca="false">IF(B800="","",IFERROR(INDEX('CLM &amp; IM Mapping'!$B$2:$B$270,MATCH(TRIM(B800),'CLM &amp; IM Mapping'!$A$2:$A$270,0)),"Not Mapped"))</f>
        <v>Not Mapped</v>
      </c>
      <c r="D800" s="40" t="str">
        <f aca="false">IF(B800="","",IFERROR(INDEX('CLM &amp; IM Mapping'!$C$2:$C$270,MATCH(TRIM(B800),'CLM &amp; IM Mapping'!$A$2:$A$270,0)),"Not Mapped"))</f>
        <v>Not Mapped</v>
      </c>
      <c r="E800" s="41" t="n">
        <v>463</v>
      </c>
      <c r="F800" s="41" t="n">
        <v>0</v>
      </c>
      <c r="G800" s="41" t="n">
        <v>461</v>
      </c>
      <c r="H800" s="41" t="n">
        <v>0</v>
      </c>
      <c r="I800" s="41" t="n">
        <v>0</v>
      </c>
      <c r="J800" s="41" t="n">
        <v>2</v>
      </c>
      <c r="K800" s="41" t="n">
        <v>0</v>
      </c>
      <c r="L800" s="41" t="n">
        <v>2</v>
      </c>
    </row>
    <row r="801" customFormat="false" ht="15.75" hidden="false" customHeight="false" outlineLevel="0" collapsed="false">
      <c r="B801" s="39" t="s">
        <v>947</v>
      </c>
      <c r="C801" s="40" t="str">
        <f aca="false">IF(B801="","",IFERROR(INDEX('CLM &amp; IM Mapping'!$B$2:$B$270,MATCH(TRIM(B801),'CLM &amp; IM Mapping'!$A$2:$A$270,0)),"Not Mapped"))</f>
        <v>Not Mapped</v>
      </c>
      <c r="D801" s="40" t="str">
        <f aca="false">IF(B801="","",IFERROR(INDEX('CLM &amp; IM Mapping'!$C$2:$C$270,MATCH(TRIM(B801),'CLM &amp; IM Mapping'!$A$2:$A$270,0)),"Not Mapped"))</f>
        <v>Not Mapped</v>
      </c>
      <c r="E801" s="41" t="n">
        <v>2978</v>
      </c>
      <c r="F801" s="41" t="n">
        <v>0</v>
      </c>
      <c r="G801" s="41" t="n">
        <v>0</v>
      </c>
      <c r="H801" s="41" t="n">
        <v>2819</v>
      </c>
      <c r="I801" s="41" t="n">
        <v>0</v>
      </c>
      <c r="J801" s="41" t="n">
        <v>40</v>
      </c>
      <c r="K801" s="41" t="n">
        <v>119</v>
      </c>
      <c r="L801" s="41" t="n">
        <v>159</v>
      </c>
    </row>
    <row r="802" customFormat="false" ht="15.75" hidden="false" customHeight="false" outlineLevel="0" collapsed="false">
      <c r="B802" s="39" t="s">
        <v>948</v>
      </c>
      <c r="C802" s="40" t="str">
        <f aca="false">IF(B802="","",IFERROR(INDEX('CLM &amp; IM Mapping'!$B$2:$B$270,MATCH(TRIM(B802),'CLM &amp; IM Mapping'!$A$2:$A$270,0)),"Not Mapped"))</f>
        <v>Not Mapped</v>
      </c>
      <c r="D802" s="40" t="str">
        <f aca="false">IF(B802="","",IFERROR(INDEX('CLM &amp; IM Mapping'!$C$2:$C$270,MATCH(TRIM(B802),'CLM &amp; IM Mapping'!$A$2:$A$270,0)),"Not Mapped"))</f>
        <v>Not Mapped</v>
      </c>
      <c r="E802" s="41" t="n">
        <v>3592</v>
      </c>
      <c r="F802" s="41" t="n">
        <v>0</v>
      </c>
      <c r="G802" s="41" t="n">
        <v>1983</v>
      </c>
      <c r="H802" s="41" t="n">
        <v>0</v>
      </c>
      <c r="I802" s="41" t="n">
        <v>118</v>
      </c>
      <c r="J802" s="41" t="n">
        <v>0</v>
      </c>
      <c r="K802" s="41" t="n">
        <v>1491</v>
      </c>
      <c r="L802" s="41" t="n">
        <v>1609</v>
      </c>
    </row>
    <row r="803" customFormat="false" ht="15.75" hidden="false" customHeight="false" outlineLevel="0" collapsed="false">
      <c r="B803" s="39" t="s">
        <v>949</v>
      </c>
      <c r="C803" s="40" t="str">
        <f aca="false">IF(B803="","",IFERROR(INDEX('CLM &amp; IM Mapping'!$B$2:$B$270,MATCH(TRIM(B803),'CLM &amp; IM Mapping'!$A$2:$A$270,0)),"Not Mapped"))</f>
        <v>Not Mapped</v>
      </c>
      <c r="D803" s="40" t="str">
        <f aca="false">IF(B803="","",IFERROR(INDEX('CLM &amp; IM Mapping'!$C$2:$C$270,MATCH(TRIM(B803),'CLM &amp; IM Mapping'!$A$2:$A$270,0)),"Not Mapped"))</f>
        <v>Not Mapped</v>
      </c>
      <c r="E803" s="41" t="n">
        <v>298</v>
      </c>
      <c r="F803" s="41" t="n">
        <v>0</v>
      </c>
      <c r="G803" s="41" t="n">
        <v>0</v>
      </c>
      <c r="H803" s="41" t="n">
        <v>298</v>
      </c>
      <c r="I803" s="41" t="n">
        <v>0</v>
      </c>
      <c r="J803" s="41" t="n">
        <v>0</v>
      </c>
      <c r="K803" s="41" t="n">
        <v>0</v>
      </c>
      <c r="L803" s="41" t="n">
        <v>298</v>
      </c>
    </row>
    <row r="804" customFormat="false" ht="15.75" hidden="false" customHeight="false" outlineLevel="0" collapsed="false">
      <c r="B804" s="39" t="s">
        <v>950</v>
      </c>
      <c r="C804" s="40" t="str">
        <f aca="false">IF(B804="","",IFERROR(INDEX('CLM &amp; IM Mapping'!$B$2:$B$270,MATCH(TRIM(B804),'CLM &amp; IM Mapping'!$A$2:$A$270,0)),"Not Mapped"))</f>
        <v>Not Mapped</v>
      </c>
      <c r="D804" s="40" t="str">
        <f aca="false">IF(B804="","",IFERROR(INDEX('CLM &amp; IM Mapping'!$C$2:$C$270,MATCH(TRIM(B804),'CLM &amp; IM Mapping'!$A$2:$A$270,0)),"Not Mapped"))</f>
        <v>Not Mapped</v>
      </c>
      <c r="E804" s="41" t="n">
        <v>3858</v>
      </c>
      <c r="F804" s="41" t="n">
        <v>3858</v>
      </c>
      <c r="G804" s="41" t="n">
        <v>0</v>
      </c>
      <c r="H804" s="41" t="n">
        <v>0</v>
      </c>
      <c r="I804" s="41" t="n">
        <v>0</v>
      </c>
      <c r="J804" s="41" t="n">
        <v>0</v>
      </c>
      <c r="K804" s="41" t="n">
        <v>0</v>
      </c>
      <c r="L804" s="41" t="n">
        <v>0</v>
      </c>
    </row>
    <row r="805" customFormat="false" ht="15.75" hidden="false" customHeight="false" outlineLevel="0" collapsed="false">
      <c r="B805" s="39" t="s">
        <v>951</v>
      </c>
      <c r="C805" s="40" t="str">
        <f aca="false">IF(B805="","",IFERROR(INDEX('CLM &amp; IM Mapping'!$B$2:$B$270,MATCH(TRIM(B805),'CLM &amp; IM Mapping'!$A$2:$A$270,0)),"Not Mapped"))</f>
        <v>Not Mapped</v>
      </c>
      <c r="D805" s="40" t="str">
        <f aca="false">IF(B805="","",IFERROR(INDEX('CLM &amp; IM Mapping'!$C$2:$C$270,MATCH(TRIM(B805),'CLM &amp; IM Mapping'!$A$2:$A$270,0)),"Not Mapped"))</f>
        <v>Not Mapped</v>
      </c>
      <c r="E805" s="41" t="n">
        <v>4253</v>
      </c>
      <c r="F805" s="41" t="n">
        <v>0</v>
      </c>
      <c r="G805" s="41" t="n">
        <v>1194</v>
      </c>
      <c r="H805" s="41" t="n">
        <v>2934</v>
      </c>
      <c r="I805" s="41" t="n">
        <v>0</v>
      </c>
      <c r="J805" s="41" t="n">
        <v>119</v>
      </c>
      <c r="K805" s="41" t="n">
        <v>6</v>
      </c>
      <c r="L805" s="41" t="n">
        <v>3059</v>
      </c>
    </row>
    <row r="806" customFormat="false" ht="15.75" hidden="false" customHeight="false" outlineLevel="0" collapsed="false">
      <c r="B806" s="39" t="s">
        <v>952</v>
      </c>
      <c r="C806" s="40" t="str">
        <f aca="false">IF(B806="","",IFERROR(INDEX('CLM &amp; IM Mapping'!$B$2:$B$270,MATCH(TRIM(B806),'CLM &amp; IM Mapping'!$A$2:$A$270,0)),"Not Mapped"))</f>
        <v>Not Mapped</v>
      </c>
      <c r="D806" s="40" t="str">
        <f aca="false">IF(B806="","",IFERROR(INDEX('CLM &amp; IM Mapping'!$C$2:$C$270,MATCH(TRIM(B806),'CLM &amp; IM Mapping'!$A$2:$A$270,0)),"Not Mapped"))</f>
        <v>Not Mapped</v>
      </c>
      <c r="E806" s="41" t="n">
        <v>0</v>
      </c>
      <c r="F806" s="41" t="n">
        <v>0</v>
      </c>
      <c r="G806" s="41" t="n">
        <v>0</v>
      </c>
      <c r="H806" s="41" t="n">
        <v>0</v>
      </c>
      <c r="I806" s="41" t="n">
        <v>0</v>
      </c>
      <c r="J806" s="41" t="n">
        <v>0</v>
      </c>
      <c r="K806" s="41" t="n">
        <v>0</v>
      </c>
      <c r="L806" s="41" t="n">
        <v>0</v>
      </c>
    </row>
    <row r="807" customFormat="false" ht="15.75" hidden="false" customHeight="false" outlineLevel="0" collapsed="false">
      <c r="B807" s="39" t="s">
        <v>953</v>
      </c>
      <c r="C807" s="40" t="str">
        <f aca="false">IF(B807="","",IFERROR(INDEX('CLM &amp; IM Mapping'!$B$2:$B$270,MATCH(TRIM(B807),'CLM &amp; IM Mapping'!$A$2:$A$270,0)),"Not Mapped"))</f>
        <v>Not Mapped</v>
      </c>
      <c r="D807" s="40" t="str">
        <f aca="false">IF(B807="","",IFERROR(INDEX('CLM &amp; IM Mapping'!$C$2:$C$270,MATCH(TRIM(B807),'CLM &amp; IM Mapping'!$A$2:$A$270,0)),"Not Mapped"))</f>
        <v>Not Mapped</v>
      </c>
      <c r="E807" s="41" t="n">
        <v>0</v>
      </c>
      <c r="F807" s="41" t="n">
        <v>0</v>
      </c>
      <c r="G807" s="41" t="n">
        <v>0</v>
      </c>
      <c r="H807" s="41" t="n">
        <v>0</v>
      </c>
      <c r="I807" s="41" t="n">
        <v>0</v>
      </c>
      <c r="J807" s="41" t="n">
        <v>0</v>
      </c>
      <c r="K807" s="41" t="n">
        <v>0</v>
      </c>
      <c r="L807" s="41" t="n">
        <v>0</v>
      </c>
    </row>
    <row r="808" customFormat="false" ht="15.75" hidden="false" customHeight="false" outlineLevel="0" collapsed="false">
      <c r="B808" s="39" t="s">
        <v>954</v>
      </c>
      <c r="C808" s="40" t="str">
        <f aca="false">IF(B808="","",IFERROR(INDEX('CLM &amp; IM Mapping'!$B$2:$B$270,MATCH(TRIM(B808),'CLM &amp; IM Mapping'!$A$2:$A$270,0)),"Not Mapped"))</f>
        <v>Not Mapped</v>
      </c>
      <c r="D808" s="40" t="str">
        <f aca="false">IF(B808="","",IFERROR(INDEX('CLM &amp; IM Mapping'!$C$2:$C$270,MATCH(TRIM(B808),'CLM &amp; IM Mapping'!$A$2:$A$270,0)),"Not Mapped"))</f>
        <v>Not Mapped</v>
      </c>
      <c r="E808" s="41" t="n">
        <v>5720</v>
      </c>
      <c r="F808" s="41" t="n">
        <v>3</v>
      </c>
      <c r="G808" s="41" t="n">
        <v>2205</v>
      </c>
      <c r="H808" s="41" t="n">
        <v>3512</v>
      </c>
      <c r="I808" s="41" t="n">
        <v>0</v>
      </c>
      <c r="J808" s="41" t="n">
        <v>0</v>
      </c>
      <c r="K808" s="41" t="n">
        <v>0</v>
      </c>
      <c r="L808" s="41" t="n">
        <v>3512</v>
      </c>
    </row>
    <row r="809" customFormat="false" ht="15.75" hidden="false" customHeight="false" outlineLevel="0" collapsed="false">
      <c r="B809" s="39" t="s">
        <v>955</v>
      </c>
      <c r="C809" s="40" t="str">
        <f aca="false">IF(B809="","",IFERROR(INDEX('CLM &amp; IM Mapping'!$B$2:$B$270,MATCH(TRIM(B809),'CLM &amp; IM Mapping'!$A$2:$A$270,0)),"Not Mapped"))</f>
        <v>Not Mapped</v>
      </c>
      <c r="D809" s="40" t="str">
        <f aca="false">IF(B809="","",IFERROR(INDEX('CLM &amp; IM Mapping'!$C$2:$C$270,MATCH(TRIM(B809),'CLM &amp; IM Mapping'!$A$2:$A$270,0)),"Not Mapped"))</f>
        <v>Not Mapped</v>
      </c>
      <c r="E809" s="41" t="n">
        <v>1220</v>
      </c>
      <c r="F809" s="41" t="n">
        <v>171</v>
      </c>
      <c r="G809" s="41" t="n">
        <v>1049</v>
      </c>
      <c r="H809" s="41" t="n">
        <v>0</v>
      </c>
      <c r="I809" s="41" t="n">
        <v>0</v>
      </c>
      <c r="J809" s="41" t="n">
        <v>0</v>
      </c>
      <c r="K809" s="41" t="n">
        <v>0</v>
      </c>
      <c r="L809" s="41" t="n">
        <v>0</v>
      </c>
    </row>
    <row r="810" customFormat="false" ht="15.75" hidden="false" customHeight="false" outlineLevel="0" collapsed="false">
      <c r="B810" s="39" t="s">
        <v>956</v>
      </c>
      <c r="C810" s="40" t="str">
        <f aca="false">IF(B810="","",IFERROR(INDEX('CLM &amp; IM Mapping'!$B$2:$B$270,MATCH(TRIM(B810),'CLM &amp; IM Mapping'!$A$2:$A$270,0)),"Not Mapped"))</f>
        <v>Not Mapped</v>
      </c>
      <c r="D810" s="40" t="str">
        <f aca="false">IF(B810="","",IFERROR(INDEX('CLM &amp; IM Mapping'!$C$2:$C$270,MATCH(TRIM(B810),'CLM &amp; IM Mapping'!$A$2:$A$270,0)),"Not Mapped"))</f>
        <v>Not Mapped</v>
      </c>
      <c r="E810" s="41" t="n">
        <v>1380</v>
      </c>
      <c r="F810" s="41" t="n">
        <v>50</v>
      </c>
      <c r="G810" s="41" t="n">
        <v>0</v>
      </c>
      <c r="H810" s="41" t="n">
        <v>1330</v>
      </c>
      <c r="I810" s="41" t="n">
        <v>0</v>
      </c>
      <c r="J810" s="41" t="n">
        <v>0</v>
      </c>
      <c r="K810" s="41" t="n">
        <v>0</v>
      </c>
      <c r="L810" s="41" t="n">
        <v>1330</v>
      </c>
    </row>
    <row r="811" customFormat="false" ht="15.75" hidden="false" customHeight="false" outlineLevel="0" collapsed="false">
      <c r="B811" s="39" t="s">
        <v>957</v>
      </c>
      <c r="C811" s="40" t="str">
        <f aca="false">IF(B811="","",IFERROR(INDEX('CLM &amp; IM Mapping'!$B$2:$B$270,MATCH(TRIM(B811),'CLM &amp; IM Mapping'!$A$2:$A$270,0)),"Not Mapped"))</f>
        <v>Not Mapped</v>
      </c>
      <c r="D811" s="40" t="str">
        <f aca="false">IF(B811="","",IFERROR(INDEX('CLM &amp; IM Mapping'!$C$2:$C$270,MATCH(TRIM(B811),'CLM &amp; IM Mapping'!$A$2:$A$270,0)),"Not Mapped"))</f>
        <v>Not Mapped</v>
      </c>
      <c r="E811" s="41" t="n">
        <v>723</v>
      </c>
      <c r="F811" s="41" t="n">
        <v>0</v>
      </c>
      <c r="G811" s="41" t="n">
        <v>0</v>
      </c>
      <c r="H811" s="41" t="n">
        <v>723</v>
      </c>
      <c r="I811" s="41" t="n">
        <v>0</v>
      </c>
      <c r="J811" s="41" t="n">
        <v>0</v>
      </c>
      <c r="K811" s="41" t="n">
        <v>0</v>
      </c>
      <c r="L811" s="41" t="n">
        <v>0</v>
      </c>
    </row>
    <row r="812" customFormat="false" ht="15.75" hidden="false" customHeight="false" outlineLevel="0" collapsed="false">
      <c r="B812" s="39" t="s">
        <v>958</v>
      </c>
      <c r="C812" s="40" t="str">
        <f aca="false">IF(B812="","",IFERROR(INDEX('CLM &amp; IM Mapping'!$B$2:$B$270,MATCH(TRIM(B812),'CLM &amp; IM Mapping'!$A$2:$A$270,0)),"Not Mapped"))</f>
        <v>Not Mapped</v>
      </c>
      <c r="D812" s="40" t="str">
        <f aca="false">IF(B812="","",IFERROR(INDEX('CLM &amp; IM Mapping'!$C$2:$C$270,MATCH(TRIM(B812),'CLM &amp; IM Mapping'!$A$2:$A$270,0)),"Not Mapped"))</f>
        <v>Not Mapped</v>
      </c>
      <c r="E812" s="41" t="n">
        <v>513</v>
      </c>
      <c r="F812" s="41" t="n">
        <v>0</v>
      </c>
      <c r="G812" s="41" t="n">
        <v>0</v>
      </c>
      <c r="H812" s="41" t="n">
        <v>513</v>
      </c>
      <c r="I812" s="41" t="n">
        <v>0</v>
      </c>
      <c r="J812" s="41" t="n">
        <v>0</v>
      </c>
      <c r="K812" s="41" t="n">
        <v>0</v>
      </c>
      <c r="L812" s="41" t="n">
        <v>0</v>
      </c>
    </row>
    <row r="813" customFormat="false" ht="15.75" hidden="false" customHeight="false" outlineLevel="0" collapsed="false">
      <c r="B813" s="39" t="s">
        <v>959</v>
      </c>
      <c r="C813" s="40" t="str">
        <f aca="false">IF(B813="","",IFERROR(INDEX('CLM &amp; IM Mapping'!$B$2:$B$270,MATCH(TRIM(B813),'CLM &amp; IM Mapping'!$A$2:$A$270,0)),"Not Mapped"))</f>
        <v>Not Mapped</v>
      </c>
      <c r="D813" s="40" t="str">
        <f aca="false">IF(B813="","",IFERROR(INDEX('CLM &amp; IM Mapping'!$C$2:$C$270,MATCH(TRIM(B813),'CLM &amp; IM Mapping'!$A$2:$A$270,0)),"Not Mapped"))</f>
        <v>Not Mapped</v>
      </c>
      <c r="E813" s="41" t="n">
        <v>0</v>
      </c>
      <c r="F813" s="41" t="n">
        <v>0</v>
      </c>
      <c r="G813" s="41" t="n">
        <v>0</v>
      </c>
      <c r="H813" s="41" t="n">
        <v>0</v>
      </c>
      <c r="I813" s="41" t="n">
        <v>0</v>
      </c>
      <c r="J813" s="41" t="n">
        <v>0</v>
      </c>
      <c r="K813" s="41" t="n">
        <v>0</v>
      </c>
      <c r="L813" s="41" t="n">
        <v>0</v>
      </c>
    </row>
    <row r="814" customFormat="false" ht="15.75" hidden="false" customHeight="false" outlineLevel="0" collapsed="false">
      <c r="B814" s="39" t="s">
        <v>960</v>
      </c>
      <c r="C814" s="40" t="str">
        <f aca="false">IF(B814="","",IFERROR(INDEX('CLM &amp; IM Mapping'!$B$2:$B$270,MATCH(TRIM(B814),'CLM &amp; IM Mapping'!$A$2:$A$270,0)),"Not Mapped"))</f>
        <v>Not Mapped</v>
      </c>
      <c r="D814" s="40" t="str">
        <f aca="false">IF(B814="","",IFERROR(INDEX('CLM &amp; IM Mapping'!$C$2:$C$270,MATCH(TRIM(B814),'CLM &amp; IM Mapping'!$A$2:$A$270,0)),"Not Mapped"))</f>
        <v>Not Mapped</v>
      </c>
      <c r="E814" s="41" t="n">
        <v>50</v>
      </c>
      <c r="F814" s="41" t="n">
        <v>0</v>
      </c>
      <c r="G814" s="41" t="n">
        <v>1</v>
      </c>
      <c r="H814" s="41" t="n">
        <v>49</v>
      </c>
      <c r="I814" s="41" t="n">
        <v>0</v>
      </c>
      <c r="J814" s="41" t="n">
        <v>0</v>
      </c>
      <c r="K814" s="41" t="n">
        <v>0</v>
      </c>
      <c r="L814" s="41" t="n">
        <v>49</v>
      </c>
    </row>
    <row r="815" customFormat="false" ht="15.75" hidden="false" customHeight="false" outlineLevel="0" collapsed="false">
      <c r="B815" s="39" t="s">
        <v>961</v>
      </c>
      <c r="C815" s="40" t="str">
        <f aca="false">IF(B815="","",IFERROR(INDEX('CLM &amp; IM Mapping'!$B$2:$B$270,MATCH(TRIM(B815),'CLM &amp; IM Mapping'!$A$2:$A$270,0)),"Not Mapped"))</f>
        <v>Not Mapped</v>
      </c>
      <c r="D815" s="40" t="str">
        <f aca="false">IF(B815="","",IFERROR(INDEX('CLM &amp; IM Mapping'!$C$2:$C$270,MATCH(TRIM(B815),'CLM &amp; IM Mapping'!$A$2:$A$270,0)),"Not Mapped"))</f>
        <v>Not Mapped</v>
      </c>
      <c r="E815" s="41" t="n">
        <v>554</v>
      </c>
      <c r="F815" s="41" t="n">
        <v>0</v>
      </c>
      <c r="G815" s="41" t="n">
        <v>0</v>
      </c>
      <c r="H815" s="41" t="n">
        <v>245</v>
      </c>
      <c r="I815" s="41" t="n">
        <v>0</v>
      </c>
      <c r="J815" s="41" t="n">
        <v>72</v>
      </c>
      <c r="K815" s="41" t="n">
        <v>237</v>
      </c>
      <c r="L815" s="41" t="n">
        <v>554</v>
      </c>
    </row>
    <row r="816" customFormat="false" ht="15.75" hidden="false" customHeight="false" outlineLevel="0" collapsed="false">
      <c r="B816" s="39" t="s">
        <v>962</v>
      </c>
      <c r="C816" s="40" t="str">
        <f aca="false">IF(B816="","",IFERROR(INDEX('CLM &amp; IM Mapping'!$B$2:$B$270,MATCH(TRIM(B816),'CLM &amp; IM Mapping'!$A$2:$A$270,0)),"Not Mapped"))</f>
        <v>Not Mapped</v>
      </c>
      <c r="D816" s="40" t="str">
        <f aca="false">IF(B816="","",IFERROR(INDEX('CLM &amp; IM Mapping'!$C$2:$C$270,MATCH(TRIM(B816),'CLM &amp; IM Mapping'!$A$2:$A$270,0)),"Not Mapped"))</f>
        <v>Not Mapped</v>
      </c>
      <c r="E816" s="41" t="n">
        <v>5881</v>
      </c>
      <c r="F816" s="41" t="n">
        <v>4357</v>
      </c>
      <c r="G816" s="41" t="n">
        <v>5</v>
      </c>
      <c r="H816" s="41" t="n">
        <v>116</v>
      </c>
      <c r="I816" s="41" t="n">
        <v>125</v>
      </c>
      <c r="J816" s="41" t="n">
        <v>0</v>
      </c>
      <c r="K816" s="41" t="n">
        <v>1278</v>
      </c>
      <c r="L816" s="41" t="n">
        <v>1519</v>
      </c>
    </row>
    <row r="817" customFormat="false" ht="15.75" hidden="false" customHeight="false" outlineLevel="0" collapsed="false">
      <c r="B817" s="39" t="s">
        <v>963</v>
      </c>
      <c r="C817" s="40" t="str">
        <f aca="false">IF(B817="","",IFERROR(INDEX('CLM &amp; IM Mapping'!$B$2:$B$270,MATCH(TRIM(B817),'CLM &amp; IM Mapping'!$A$2:$A$270,0)),"Not Mapped"))</f>
        <v>Not Mapped</v>
      </c>
      <c r="D817" s="40" t="str">
        <f aca="false">IF(B817="","",IFERROR(INDEX('CLM &amp; IM Mapping'!$C$2:$C$270,MATCH(TRIM(B817),'CLM &amp; IM Mapping'!$A$2:$A$270,0)),"Not Mapped"))</f>
        <v>Not Mapped</v>
      </c>
      <c r="E817" s="41" t="n">
        <v>0</v>
      </c>
      <c r="F817" s="41" t="n">
        <v>0</v>
      </c>
      <c r="G817" s="41" t="n">
        <v>0</v>
      </c>
      <c r="H817" s="41" t="n">
        <v>0</v>
      </c>
      <c r="I817" s="41" t="n">
        <v>0</v>
      </c>
      <c r="J817" s="41" t="n">
        <v>0</v>
      </c>
      <c r="K817" s="41" t="n">
        <v>0</v>
      </c>
      <c r="L817" s="41" t="n">
        <v>0</v>
      </c>
    </row>
    <row r="818" customFormat="false" ht="15.75" hidden="false" customHeight="false" outlineLevel="0" collapsed="false">
      <c r="B818" s="39" t="s">
        <v>964</v>
      </c>
      <c r="C818" s="40" t="str">
        <f aca="false">IF(B818="","",IFERROR(INDEX('CLM &amp; IM Mapping'!$B$2:$B$270,MATCH(TRIM(B818),'CLM &amp; IM Mapping'!$A$2:$A$270,0)),"Not Mapped"))</f>
        <v>Not Mapped</v>
      </c>
      <c r="D818" s="40" t="str">
        <f aca="false">IF(B818="","",IFERROR(INDEX('CLM &amp; IM Mapping'!$C$2:$C$270,MATCH(TRIM(B818),'CLM &amp; IM Mapping'!$A$2:$A$270,0)),"Not Mapped"))</f>
        <v>Not Mapped</v>
      </c>
      <c r="E818" s="41" t="n">
        <v>0</v>
      </c>
      <c r="F818" s="41" t="n">
        <v>0</v>
      </c>
      <c r="G818" s="41" t="n">
        <v>0</v>
      </c>
      <c r="H818" s="41" t="n">
        <v>0</v>
      </c>
      <c r="I818" s="41" t="n">
        <v>0</v>
      </c>
      <c r="J818" s="41" t="n">
        <v>0</v>
      </c>
      <c r="K818" s="41" t="n">
        <v>0</v>
      </c>
      <c r="L818" s="41" t="n">
        <v>0</v>
      </c>
    </row>
    <row r="819" customFormat="false" ht="15.75" hidden="false" customHeight="false" outlineLevel="0" collapsed="false">
      <c r="B819" s="39" t="s">
        <v>965</v>
      </c>
      <c r="C819" s="40" t="str">
        <f aca="false">IF(B819="","",IFERROR(INDEX('CLM &amp; IM Mapping'!$B$2:$B$270,MATCH(TRIM(B819),'CLM &amp; IM Mapping'!$A$2:$A$270,0)),"Not Mapped"))</f>
        <v>Not Mapped</v>
      </c>
      <c r="D819" s="40" t="str">
        <f aca="false">IF(B819="","",IFERROR(INDEX('CLM &amp; IM Mapping'!$C$2:$C$270,MATCH(TRIM(B819),'CLM &amp; IM Mapping'!$A$2:$A$270,0)),"Not Mapped"))</f>
        <v>Not Mapped</v>
      </c>
      <c r="E819" s="41" t="n">
        <v>0</v>
      </c>
      <c r="F819" s="41" t="n">
        <v>0</v>
      </c>
      <c r="G819" s="41" t="n">
        <v>0</v>
      </c>
      <c r="H819" s="41" t="n">
        <v>0</v>
      </c>
      <c r="I819" s="41" t="n">
        <v>0</v>
      </c>
      <c r="J819" s="41" t="n">
        <v>0</v>
      </c>
      <c r="K819" s="41" t="n">
        <v>0</v>
      </c>
      <c r="L819" s="41" t="n">
        <v>0</v>
      </c>
    </row>
    <row r="820" customFormat="false" ht="15.75" hidden="false" customHeight="false" outlineLevel="0" collapsed="false">
      <c r="B820" s="39" t="s">
        <v>966</v>
      </c>
      <c r="C820" s="40" t="str">
        <f aca="false">IF(B820="","",IFERROR(INDEX('CLM &amp; IM Mapping'!$B$2:$B$270,MATCH(TRIM(B820),'CLM &amp; IM Mapping'!$A$2:$A$270,0)),"Not Mapped"))</f>
        <v>Not Mapped</v>
      </c>
      <c r="D820" s="40" t="str">
        <f aca="false">IF(B820="","",IFERROR(INDEX('CLM &amp; IM Mapping'!$C$2:$C$270,MATCH(TRIM(B820),'CLM &amp; IM Mapping'!$A$2:$A$270,0)),"Not Mapped"))</f>
        <v>Not Mapped</v>
      </c>
      <c r="E820" s="41" t="n">
        <v>0</v>
      </c>
      <c r="F820" s="41" t="n">
        <v>0</v>
      </c>
      <c r="G820" s="41" t="n">
        <v>0</v>
      </c>
      <c r="H820" s="41" t="n">
        <v>0</v>
      </c>
      <c r="I820" s="41" t="n">
        <v>0</v>
      </c>
      <c r="J820" s="41" t="n">
        <v>0</v>
      </c>
      <c r="K820" s="41" t="n">
        <v>0</v>
      </c>
      <c r="L820" s="41" t="n">
        <v>0</v>
      </c>
    </row>
    <row r="821" customFormat="false" ht="15.75" hidden="false" customHeight="false" outlineLevel="0" collapsed="false">
      <c r="B821" s="39" t="s">
        <v>967</v>
      </c>
      <c r="C821" s="40" t="str">
        <f aca="false">IF(B821="","",IFERROR(INDEX('CLM &amp; IM Mapping'!$B$2:$B$270,MATCH(TRIM(B821),'CLM &amp; IM Mapping'!$A$2:$A$270,0)),"Not Mapped"))</f>
        <v>Not Mapped</v>
      </c>
      <c r="D821" s="40" t="str">
        <f aca="false">IF(B821="","",IFERROR(INDEX('CLM &amp; IM Mapping'!$C$2:$C$270,MATCH(TRIM(B821),'CLM &amp; IM Mapping'!$A$2:$A$270,0)),"Not Mapped"))</f>
        <v>Not Mapped</v>
      </c>
      <c r="E821" s="41" t="n">
        <v>2374</v>
      </c>
      <c r="F821" s="41" t="n">
        <v>2076</v>
      </c>
      <c r="G821" s="41" t="n">
        <v>0</v>
      </c>
      <c r="H821" s="41" t="n">
        <v>0</v>
      </c>
      <c r="I821" s="41" t="n">
        <v>110</v>
      </c>
      <c r="J821" s="41" t="n">
        <v>0</v>
      </c>
      <c r="K821" s="41" t="n">
        <v>188</v>
      </c>
      <c r="L821" s="41" t="n">
        <v>298</v>
      </c>
    </row>
    <row r="822" customFormat="false" ht="15.75" hidden="false" customHeight="false" outlineLevel="0" collapsed="false">
      <c r="B822" s="39" t="s">
        <v>968</v>
      </c>
      <c r="C822" s="40" t="str">
        <f aca="false">IF(B822="","",IFERROR(INDEX('CLM &amp; IM Mapping'!$B$2:$B$270,MATCH(TRIM(B822),'CLM &amp; IM Mapping'!$A$2:$A$270,0)),"Not Mapped"))</f>
        <v>Not Mapped</v>
      </c>
      <c r="D822" s="40" t="str">
        <f aca="false">IF(B822="","",IFERROR(INDEX('CLM &amp; IM Mapping'!$C$2:$C$270,MATCH(TRIM(B822),'CLM &amp; IM Mapping'!$A$2:$A$270,0)),"Not Mapped"))</f>
        <v>Not Mapped</v>
      </c>
      <c r="E822" s="41" t="n">
        <v>44</v>
      </c>
      <c r="F822" s="41" t="n">
        <v>0</v>
      </c>
      <c r="G822" s="41" t="n">
        <v>0</v>
      </c>
      <c r="H822" s="41" t="n">
        <v>0</v>
      </c>
      <c r="I822" s="41" t="n">
        <v>0</v>
      </c>
      <c r="J822" s="41" t="n">
        <v>0</v>
      </c>
      <c r="K822" s="41" t="n">
        <v>44</v>
      </c>
      <c r="L822" s="41" t="n">
        <v>44</v>
      </c>
    </row>
    <row r="823" customFormat="false" ht="15.75" hidden="false" customHeight="false" outlineLevel="0" collapsed="false">
      <c r="B823" s="39" t="s">
        <v>969</v>
      </c>
      <c r="C823" s="40" t="str">
        <f aca="false">IF(B823="","",IFERROR(INDEX('CLM &amp; IM Mapping'!$B$2:$B$270,MATCH(TRIM(B823),'CLM &amp; IM Mapping'!$A$2:$A$270,0)),"Not Mapped"))</f>
        <v>Not Mapped</v>
      </c>
      <c r="D823" s="40" t="str">
        <f aca="false">IF(B823="","",IFERROR(INDEX('CLM &amp; IM Mapping'!$C$2:$C$270,MATCH(TRIM(B823),'CLM &amp; IM Mapping'!$A$2:$A$270,0)),"Not Mapped"))</f>
        <v>Not Mapped</v>
      </c>
      <c r="E823" s="41" t="n">
        <v>90</v>
      </c>
      <c r="F823" s="41" t="n">
        <v>90</v>
      </c>
      <c r="G823" s="41" t="n">
        <v>0</v>
      </c>
      <c r="H823" s="41" t="n">
        <v>0</v>
      </c>
      <c r="I823" s="41" t="n">
        <v>0</v>
      </c>
      <c r="J823" s="41" t="n">
        <v>0</v>
      </c>
      <c r="K823" s="41" t="n">
        <v>0</v>
      </c>
      <c r="L823" s="41" t="n">
        <v>0</v>
      </c>
    </row>
    <row r="824" customFormat="false" ht="15.75" hidden="false" customHeight="false" outlineLevel="0" collapsed="false">
      <c r="B824" s="39" t="s">
        <v>970</v>
      </c>
      <c r="C824" s="40" t="str">
        <f aca="false">IF(B824="","",IFERROR(INDEX('CLM &amp; IM Mapping'!$B$2:$B$270,MATCH(TRIM(B824),'CLM &amp; IM Mapping'!$A$2:$A$270,0)),"Not Mapped"))</f>
        <v>Not Mapped</v>
      </c>
      <c r="D824" s="40" t="str">
        <f aca="false">IF(B824="","",IFERROR(INDEX('CLM &amp; IM Mapping'!$C$2:$C$270,MATCH(TRIM(B824),'CLM &amp; IM Mapping'!$A$2:$A$270,0)),"Not Mapped"))</f>
        <v>Not Mapped</v>
      </c>
      <c r="E824" s="41" t="n">
        <v>0</v>
      </c>
      <c r="F824" s="41" t="n">
        <v>0</v>
      </c>
      <c r="G824" s="41" t="n">
        <v>0</v>
      </c>
      <c r="H824" s="41" t="n">
        <v>0</v>
      </c>
      <c r="I824" s="41" t="n">
        <v>0</v>
      </c>
      <c r="J824" s="41" t="n">
        <v>0</v>
      </c>
      <c r="K824" s="41" t="n">
        <v>0</v>
      </c>
      <c r="L824" s="41" t="n">
        <v>0</v>
      </c>
    </row>
    <row r="825" customFormat="false" ht="15.75" hidden="false" customHeight="false" outlineLevel="0" collapsed="false">
      <c r="B825" s="39" t="s">
        <v>971</v>
      </c>
      <c r="C825" s="40" t="str">
        <f aca="false">IF(B825="","",IFERROR(INDEX('CLM &amp; IM Mapping'!$B$2:$B$270,MATCH(TRIM(B825),'CLM &amp; IM Mapping'!$A$2:$A$270,0)),"Not Mapped"))</f>
        <v>Not Mapped</v>
      </c>
      <c r="D825" s="40" t="str">
        <f aca="false">IF(B825="","",IFERROR(INDEX('CLM &amp; IM Mapping'!$C$2:$C$270,MATCH(TRIM(B825),'CLM &amp; IM Mapping'!$A$2:$A$270,0)),"Not Mapped"))</f>
        <v>Not Mapped</v>
      </c>
      <c r="E825" s="41" t="n">
        <v>4378</v>
      </c>
      <c r="F825" s="41" t="n">
        <v>474</v>
      </c>
      <c r="G825" s="41" t="n">
        <v>1631</v>
      </c>
      <c r="H825" s="41" t="n">
        <v>1729</v>
      </c>
      <c r="I825" s="41" t="n">
        <v>6</v>
      </c>
      <c r="J825" s="41" t="n">
        <v>64</v>
      </c>
      <c r="K825" s="41" t="n">
        <v>474</v>
      </c>
      <c r="L825" s="41" t="n">
        <v>2273</v>
      </c>
    </row>
    <row r="826" customFormat="false" ht="15.75" hidden="false" customHeight="false" outlineLevel="0" collapsed="false">
      <c r="B826" s="39" t="s">
        <v>972</v>
      </c>
      <c r="C826" s="40" t="str">
        <f aca="false">IF(B826="","",IFERROR(INDEX('CLM &amp; IM Mapping'!$B$2:$B$270,MATCH(TRIM(B826),'CLM &amp; IM Mapping'!$A$2:$A$270,0)),"Not Mapped"))</f>
        <v>Not Mapped</v>
      </c>
      <c r="D826" s="40" t="str">
        <f aca="false">IF(B826="","",IFERROR(INDEX('CLM &amp; IM Mapping'!$C$2:$C$270,MATCH(TRIM(B826),'CLM &amp; IM Mapping'!$A$2:$A$270,0)),"Not Mapped"))</f>
        <v>Not Mapped</v>
      </c>
      <c r="E826" s="41" t="n">
        <v>805</v>
      </c>
      <c r="F826" s="41" t="n">
        <v>805</v>
      </c>
      <c r="G826" s="41" t="n">
        <v>0</v>
      </c>
      <c r="H826" s="41" t="n">
        <v>0</v>
      </c>
      <c r="I826" s="41" t="n">
        <v>0</v>
      </c>
      <c r="J826" s="41" t="n">
        <v>0</v>
      </c>
      <c r="K826" s="41" t="n">
        <v>0</v>
      </c>
      <c r="L826" s="41" t="n">
        <v>0</v>
      </c>
    </row>
    <row r="827" customFormat="false" ht="15.75" hidden="false" customHeight="false" outlineLevel="0" collapsed="false">
      <c r="B827" s="39" t="s">
        <v>973</v>
      </c>
      <c r="C827" s="40" t="str">
        <f aca="false">IF(B827="","",IFERROR(INDEX('CLM &amp; IM Mapping'!$B$2:$B$270,MATCH(TRIM(B827),'CLM &amp; IM Mapping'!$A$2:$A$270,0)),"Not Mapped"))</f>
        <v>Not Mapped</v>
      </c>
      <c r="D827" s="40" t="str">
        <f aca="false">IF(B827="","",IFERROR(INDEX('CLM &amp; IM Mapping'!$C$2:$C$270,MATCH(TRIM(B827),'CLM &amp; IM Mapping'!$A$2:$A$270,0)),"Not Mapped"))</f>
        <v>Not Mapped</v>
      </c>
      <c r="E827" s="41" t="n">
        <v>2135</v>
      </c>
      <c r="F827" s="41" t="n">
        <v>165</v>
      </c>
      <c r="G827" s="41" t="n">
        <v>0</v>
      </c>
      <c r="H827" s="41" t="n">
        <v>1970</v>
      </c>
      <c r="I827" s="41" t="n">
        <v>0</v>
      </c>
      <c r="J827" s="41" t="n">
        <v>0</v>
      </c>
      <c r="K827" s="41" t="n">
        <v>0</v>
      </c>
      <c r="L827" s="41" t="n">
        <v>1970</v>
      </c>
    </row>
    <row r="828" customFormat="false" ht="15.75" hidden="false" customHeight="false" outlineLevel="0" collapsed="false">
      <c r="B828" s="39" t="s">
        <v>974</v>
      </c>
      <c r="C828" s="40" t="str">
        <f aca="false">IF(B828="","",IFERROR(INDEX('CLM &amp; IM Mapping'!$B$2:$B$270,MATCH(TRIM(B828),'CLM &amp; IM Mapping'!$A$2:$A$270,0)),"Not Mapped"))</f>
        <v>Not Mapped</v>
      </c>
      <c r="D828" s="40" t="str">
        <f aca="false">IF(B828="","",IFERROR(INDEX('CLM &amp; IM Mapping'!$C$2:$C$270,MATCH(TRIM(B828),'CLM &amp; IM Mapping'!$A$2:$A$270,0)),"Not Mapped"))</f>
        <v>Not Mapped</v>
      </c>
      <c r="E828" s="41" t="n">
        <v>1002</v>
      </c>
      <c r="F828" s="41" t="n">
        <v>0</v>
      </c>
      <c r="G828" s="41" t="n">
        <v>42</v>
      </c>
      <c r="H828" s="41" t="n">
        <v>960</v>
      </c>
      <c r="I828" s="41" t="n">
        <v>0</v>
      </c>
      <c r="J828" s="41" t="n">
        <v>0</v>
      </c>
      <c r="K828" s="41" t="n">
        <v>0</v>
      </c>
      <c r="L828" s="41" t="n">
        <v>960</v>
      </c>
    </row>
    <row r="829" customFormat="false" ht="15.75" hidden="false" customHeight="false" outlineLevel="0" collapsed="false">
      <c r="B829" s="39" t="s">
        <v>975</v>
      </c>
      <c r="C829" s="40" t="str">
        <f aca="false">IF(B829="","",IFERROR(INDEX('CLM &amp; IM Mapping'!$B$2:$B$270,MATCH(TRIM(B829),'CLM &amp; IM Mapping'!$A$2:$A$270,0)),"Not Mapped"))</f>
        <v>Not Mapped</v>
      </c>
      <c r="D829" s="40" t="str">
        <f aca="false">IF(B829="","",IFERROR(INDEX('CLM &amp; IM Mapping'!$C$2:$C$270,MATCH(TRIM(B829),'CLM &amp; IM Mapping'!$A$2:$A$270,0)),"Not Mapped"))</f>
        <v>Not Mapped</v>
      </c>
      <c r="E829" s="41" t="n">
        <v>0</v>
      </c>
      <c r="F829" s="41" t="n">
        <v>0</v>
      </c>
      <c r="G829" s="41" t="n">
        <v>0</v>
      </c>
      <c r="H829" s="41" t="n">
        <v>0</v>
      </c>
      <c r="I829" s="41" t="n">
        <v>0</v>
      </c>
      <c r="J829" s="41" t="n">
        <v>0</v>
      </c>
      <c r="K829" s="41" t="n">
        <v>0</v>
      </c>
      <c r="L829" s="41" t="n">
        <v>0</v>
      </c>
    </row>
    <row r="830" customFormat="false" ht="15.75" hidden="false" customHeight="false" outlineLevel="0" collapsed="false">
      <c r="B830" s="39" t="s">
        <v>976</v>
      </c>
      <c r="C830" s="40" t="str">
        <f aca="false">IF(B830="","",IFERROR(INDEX('CLM &amp; IM Mapping'!$B$2:$B$270,MATCH(TRIM(B830),'CLM &amp; IM Mapping'!$A$2:$A$270,0)),"Not Mapped"))</f>
        <v>Not Mapped</v>
      </c>
      <c r="D830" s="40" t="str">
        <f aca="false">IF(B830="","",IFERROR(INDEX('CLM &amp; IM Mapping'!$C$2:$C$270,MATCH(TRIM(B830),'CLM &amp; IM Mapping'!$A$2:$A$270,0)),"Not Mapped"))</f>
        <v>Not Mapped</v>
      </c>
      <c r="E830" s="41" t="n">
        <v>1703</v>
      </c>
      <c r="F830" s="41" t="n">
        <v>830</v>
      </c>
      <c r="G830" s="41" t="n">
        <v>0</v>
      </c>
      <c r="H830" s="41" t="n">
        <v>7</v>
      </c>
      <c r="I830" s="41" t="n">
        <v>850</v>
      </c>
      <c r="J830" s="41" t="n">
        <v>0</v>
      </c>
      <c r="K830" s="41" t="n">
        <v>16</v>
      </c>
      <c r="L830" s="41" t="n">
        <v>873</v>
      </c>
    </row>
    <row r="831" customFormat="false" ht="15.75" hidden="false" customHeight="false" outlineLevel="0" collapsed="false">
      <c r="B831" s="39" t="s">
        <v>977</v>
      </c>
      <c r="C831" s="40" t="str">
        <f aca="false">IF(B831="","",IFERROR(INDEX('CLM &amp; IM Mapping'!$B$2:$B$270,MATCH(TRIM(B831),'CLM &amp; IM Mapping'!$A$2:$A$270,0)),"Not Mapped"))</f>
        <v>Not Mapped</v>
      </c>
      <c r="D831" s="40" t="str">
        <f aca="false">IF(B831="","",IFERROR(INDEX('CLM &amp; IM Mapping'!$C$2:$C$270,MATCH(TRIM(B831),'CLM &amp; IM Mapping'!$A$2:$A$270,0)),"Not Mapped"))</f>
        <v>Not Mapped</v>
      </c>
      <c r="E831" s="41" t="n">
        <v>3815</v>
      </c>
      <c r="F831" s="41" t="n">
        <v>0</v>
      </c>
      <c r="G831" s="41" t="n">
        <v>0</v>
      </c>
      <c r="H831" s="41" t="n">
        <v>3815</v>
      </c>
      <c r="I831" s="41" t="n">
        <v>0</v>
      </c>
      <c r="J831" s="41" t="n">
        <v>0</v>
      </c>
      <c r="K831" s="41" t="n">
        <v>0</v>
      </c>
      <c r="L831" s="41" t="n">
        <v>3815</v>
      </c>
    </row>
    <row r="832" customFormat="false" ht="15.75" hidden="false" customHeight="false" outlineLevel="0" collapsed="false">
      <c r="B832" s="39" t="s">
        <v>978</v>
      </c>
      <c r="C832" s="40" t="str">
        <f aca="false">IF(B832="","",IFERROR(INDEX('CLM &amp; IM Mapping'!$B$2:$B$270,MATCH(TRIM(B832),'CLM &amp; IM Mapping'!$A$2:$A$270,0)),"Not Mapped"))</f>
        <v>Not Mapped</v>
      </c>
      <c r="D832" s="40" t="str">
        <f aca="false">IF(B832="","",IFERROR(INDEX('CLM &amp; IM Mapping'!$C$2:$C$270,MATCH(TRIM(B832),'CLM &amp; IM Mapping'!$A$2:$A$270,0)),"Not Mapped"))</f>
        <v>Not Mapped</v>
      </c>
      <c r="E832" s="41" t="n">
        <v>0</v>
      </c>
      <c r="F832" s="41" t="n">
        <v>0</v>
      </c>
      <c r="G832" s="41" t="n">
        <v>0</v>
      </c>
      <c r="H832" s="41" t="n">
        <v>0</v>
      </c>
      <c r="I832" s="41" t="n">
        <v>0</v>
      </c>
      <c r="J832" s="41" t="n">
        <v>0</v>
      </c>
      <c r="K832" s="41" t="n">
        <v>0</v>
      </c>
      <c r="L832" s="41" t="n">
        <v>0</v>
      </c>
    </row>
    <row r="833" customFormat="false" ht="15.75" hidden="false" customHeight="false" outlineLevel="0" collapsed="false">
      <c r="B833" s="39" t="s">
        <v>979</v>
      </c>
      <c r="C833" s="40" t="str">
        <f aca="false">IF(B833="","",IFERROR(INDEX('CLM &amp; IM Mapping'!$B$2:$B$270,MATCH(TRIM(B833),'CLM &amp; IM Mapping'!$A$2:$A$270,0)),"Not Mapped"))</f>
        <v>Not Mapped</v>
      </c>
      <c r="D833" s="40" t="str">
        <f aca="false">IF(B833="","",IFERROR(INDEX('CLM &amp; IM Mapping'!$C$2:$C$270,MATCH(TRIM(B833),'CLM &amp; IM Mapping'!$A$2:$A$270,0)),"Not Mapped"))</f>
        <v>Not Mapped</v>
      </c>
      <c r="E833" s="41" t="n">
        <v>257</v>
      </c>
      <c r="F833" s="41" t="n">
        <v>257</v>
      </c>
      <c r="G833" s="41" t="n">
        <v>0</v>
      </c>
      <c r="H833" s="41" t="n">
        <v>0</v>
      </c>
      <c r="I833" s="41" t="n">
        <v>0</v>
      </c>
      <c r="J833" s="41" t="n">
        <v>0</v>
      </c>
      <c r="K833" s="41" t="n">
        <v>0</v>
      </c>
      <c r="L833" s="41" t="n">
        <v>0</v>
      </c>
    </row>
    <row r="834" customFormat="false" ht="15.75" hidden="false" customHeight="false" outlineLevel="0" collapsed="false">
      <c r="B834" s="39" t="s">
        <v>980</v>
      </c>
      <c r="C834" s="40" t="str">
        <f aca="false">IF(B834="","",IFERROR(INDEX('CLM &amp; IM Mapping'!$B$2:$B$270,MATCH(TRIM(B834),'CLM &amp; IM Mapping'!$A$2:$A$270,0)),"Not Mapped"))</f>
        <v>Not Mapped</v>
      </c>
      <c r="D834" s="40" t="str">
        <f aca="false">IF(B834="","",IFERROR(INDEX('CLM &amp; IM Mapping'!$C$2:$C$270,MATCH(TRIM(B834),'CLM &amp; IM Mapping'!$A$2:$A$270,0)),"Not Mapped"))</f>
        <v>Not Mapped</v>
      </c>
      <c r="E834" s="41" t="n">
        <v>1263</v>
      </c>
      <c r="F834" s="41" t="n">
        <v>0</v>
      </c>
      <c r="G834" s="41" t="n">
        <v>1263</v>
      </c>
      <c r="H834" s="41" t="n">
        <v>0</v>
      </c>
      <c r="I834" s="41" t="n">
        <v>0</v>
      </c>
      <c r="J834" s="41" t="n">
        <v>0</v>
      </c>
      <c r="K834" s="41" t="n">
        <v>0</v>
      </c>
      <c r="L834" s="41" t="n">
        <v>0</v>
      </c>
    </row>
    <row r="835" customFormat="false" ht="15.75" hidden="false" customHeight="false" outlineLevel="0" collapsed="false">
      <c r="B835" s="39" t="s">
        <v>981</v>
      </c>
      <c r="C835" s="40" t="str">
        <f aca="false">IF(B835="","",IFERROR(INDEX('CLM &amp; IM Mapping'!$B$2:$B$270,MATCH(TRIM(B835),'CLM &amp; IM Mapping'!$A$2:$A$270,0)),"Not Mapped"))</f>
        <v>Not Mapped</v>
      </c>
      <c r="D835" s="40" t="str">
        <f aca="false">IF(B835="","",IFERROR(INDEX('CLM &amp; IM Mapping'!$C$2:$C$270,MATCH(TRIM(B835),'CLM &amp; IM Mapping'!$A$2:$A$270,0)),"Not Mapped"))</f>
        <v>Not Mapped</v>
      </c>
      <c r="E835" s="41" t="n">
        <v>9512</v>
      </c>
      <c r="F835" s="41" t="n">
        <v>2483</v>
      </c>
      <c r="G835" s="41" t="n">
        <v>6383</v>
      </c>
      <c r="H835" s="41" t="n">
        <v>0</v>
      </c>
      <c r="I835" s="41" t="n">
        <v>0</v>
      </c>
      <c r="J835" s="41" t="n">
        <v>0</v>
      </c>
      <c r="K835" s="41" t="n">
        <v>646</v>
      </c>
      <c r="L835" s="41" t="n">
        <v>646</v>
      </c>
    </row>
    <row r="836" customFormat="false" ht="15.75" hidden="false" customHeight="false" outlineLevel="0" collapsed="false">
      <c r="B836" s="39" t="s">
        <v>982</v>
      </c>
      <c r="C836" s="40" t="str">
        <f aca="false">IF(B836="","",IFERROR(INDEX('CLM &amp; IM Mapping'!$B$2:$B$270,MATCH(TRIM(B836),'CLM &amp; IM Mapping'!$A$2:$A$270,0)),"Not Mapped"))</f>
        <v>Not Mapped</v>
      </c>
      <c r="D836" s="40" t="str">
        <f aca="false">IF(B836="","",IFERROR(INDEX('CLM &amp; IM Mapping'!$C$2:$C$270,MATCH(TRIM(B836),'CLM &amp; IM Mapping'!$A$2:$A$270,0)),"Not Mapped"))</f>
        <v>Not Mapped</v>
      </c>
      <c r="E836" s="41" t="n">
        <v>42</v>
      </c>
      <c r="F836" s="41" t="n">
        <v>5</v>
      </c>
      <c r="G836" s="41" t="n">
        <v>37</v>
      </c>
      <c r="H836" s="41" t="n">
        <v>0</v>
      </c>
      <c r="I836" s="41" t="n">
        <v>0</v>
      </c>
      <c r="J836" s="41" t="n">
        <v>0</v>
      </c>
      <c r="K836" s="41" t="n">
        <v>0</v>
      </c>
      <c r="L836" s="41" t="n">
        <v>0</v>
      </c>
    </row>
    <row r="837" customFormat="false" ht="15.75" hidden="false" customHeight="false" outlineLevel="0" collapsed="false">
      <c r="B837" s="39" t="s">
        <v>983</v>
      </c>
      <c r="C837" s="40" t="str">
        <f aca="false">IF(B837="","",IFERROR(INDEX('CLM &amp; IM Mapping'!$B$2:$B$270,MATCH(TRIM(B837),'CLM &amp; IM Mapping'!$A$2:$A$270,0)),"Not Mapped"))</f>
        <v>Not Mapped</v>
      </c>
      <c r="D837" s="40" t="str">
        <f aca="false">IF(B837="","",IFERROR(INDEX('CLM &amp; IM Mapping'!$C$2:$C$270,MATCH(TRIM(B837),'CLM &amp; IM Mapping'!$A$2:$A$270,0)),"Not Mapped"))</f>
        <v>Not Mapped</v>
      </c>
      <c r="E837" s="41" t="n">
        <v>1343</v>
      </c>
      <c r="F837" s="41" t="n">
        <v>2</v>
      </c>
      <c r="G837" s="41" t="n">
        <v>1293</v>
      </c>
      <c r="H837" s="41" t="n">
        <v>0</v>
      </c>
      <c r="I837" s="41" t="n">
        <v>0</v>
      </c>
      <c r="J837" s="41" t="n">
        <v>0</v>
      </c>
      <c r="K837" s="41" t="n">
        <v>48</v>
      </c>
      <c r="L837" s="41" t="n">
        <v>48</v>
      </c>
    </row>
    <row r="838" customFormat="false" ht="15.75" hidden="false" customHeight="false" outlineLevel="0" collapsed="false">
      <c r="B838" s="39" t="s">
        <v>984</v>
      </c>
      <c r="C838" s="40" t="str">
        <f aca="false">IF(B838="","",IFERROR(INDEX('CLM &amp; IM Mapping'!$B$2:$B$270,MATCH(TRIM(B838),'CLM &amp; IM Mapping'!$A$2:$A$270,0)),"Not Mapped"))</f>
        <v>Not Mapped</v>
      </c>
      <c r="D838" s="40" t="str">
        <f aca="false">IF(B838="","",IFERROR(INDEX('CLM &amp; IM Mapping'!$C$2:$C$270,MATCH(TRIM(B838),'CLM &amp; IM Mapping'!$A$2:$A$270,0)),"Not Mapped"))</f>
        <v>Not Mapped</v>
      </c>
      <c r="E838" s="41" t="n">
        <v>3036</v>
      </c>
      <c r="F838" s="41" t="n">
        <v>0</v>
      </c>
      <c r="G838" s="41" t="n">
        <v>0</v>
      </c>
      <c r="H838" s="41" t="n">
        <v>2398</v>
      </c>
      <c r="I838" s="41" t="n">
        <v>0</v>
      </c>
      <c r="J838" s="41" t="n">
        <v>378</v>
      </c>
      <c r="K838" s="41" t="n">
        <v>260</v>
      </c>
      <c r="L838" s="41" t="n">
        <v>3036</v>
      </c>
    </row>
    <row r="839" customFormat="false" ht="15.75" hidden="false" customHeight="false" outlineLevel="0" collapsed="false">
      <c r="B839" s="39" t="s">
        <v>985</v>
      </c>
      <c r="C839" s="40" t="str">
        <f aca="false">IF(B839="","",IFERROR(INDEX('CLM &amp; IM Mapping'!$B$2:$B$270,MATCH(TRIM(B839),'CLM &amp; IM Mapping'!$A$2:$A$270,0)),"Not Mapped"))</f>
        <v>Not Mapped</v>
      </c>
      <c r="D839" s="40" t="str">
        <f aca="false">IF(B839="","",IFERROR(INDEX('CLM &amp; IM Mapping'!$C$2:$C$270,MATCH(TRIM(B839),'CLM &amp; IM Mapping'!$A$2:$A$270,0)),"Not Mapped"))</f>
        <v>Not Mapped</v>
      </c>
      <c r="E839" s="41" t="n">
        <v>55</v>
      </c>
      <c r="F839" s="41" t="n">
        <v>0</v>
      </c>
      <c r="G839" s="41" t="n">
        <v>0</v>
      </c>
      <c r="H839" s="41" t="n">
        <v>26</v>
      </c>
      <c r="I839" s="41" t="n">
        <v>0</v>
      </c>
      <c r="J839" s="41" t="n">
        <v>29</v>
      </c>
      <c r="K839" s="41" t="n">
        <v>0</v>
      </c>
      <c r="L839" s="41" t="n">
        <v>55</v>
      </c>
    </row>
    <row r="840" customFormat="false" ht="15.75" hidden="false" customHeight="false" outlineLevel="0" collapsed="false">
      <c r="B840" s="39" t="s">
        <v>986</v>
      </c>
      <c r="C840" s="40" t="str">
        <f aca="false">IF(B840="","",IFERROR(INDEX('CLM &amp; IM Mapping'!$B$2:$B$270,MATCH(TRIM(B840),'CLM &amp; IM Mapping'!$A$2:$A$270,0)),"Not Mapped"))</f>
        <v>Not Mapped</v>
      </c>
      <c r="D840" s="40" t="str">
        <f aca="false">IF(B840="","",IFERROR(INDEX('CLM &amp; IM Mapping'!$C$2:$C$270,MATCH(TRIM(B840),'CLM &amp; IM Mapping'!$A$2:$A$270,0)),"Not Mapped"))</f>
        <v>Not Mapped</v>
      </c>
      <c r="E840" s="41" t="n">
        <v>1190</v>
      </c>
      <c r="F840" s="41" t="n">
        <v>17</v>
      </c>
      <c r="G840" s="41" t="n">
        <v>1079</v>
      </c>
      <c r="H840" s="41" t="n">
        <v>0</v>
      </c>
      <c r="I840" s="41" t="n">
        <v>94</v>
      </c>
      <c r="J840" s="41" t="n">
        <v>0</v>
      </c>
      <c r="K840" s="41" t="n">
        <v>0</v>
      </c>
      <c r="L840" s="41" t="n">
        <v>94</v>
      </c>
    </row>
    <row r="841" customFormat="false" ht="15.75" hidden="false" customHeight="false" outlineLevel="0" collapsed="false">
      <c r="B841" s="39" t="s">
        <v>987</v>
      </c>
      <c r="C841" s="40" t="str">
        <f aca="false">IF(B841="","",IFERROR(INDEX('CLM &amp; IM Mapping'!$B$2:$B$270,MATCH(TRIM(B841),'CLM &amp; IM Mapping'!$A$2:$A$270,0)),"Not Mapped"))</f>
        <v>Not Mapped</v>
      </c>
      <c r="D841" s="40" t="str">
        <f aca="false">IF(B841="","",IFERROR(INDEX('CLM &amp; IM Mapping'!$C$2:$C$270,MATCH(TRIM(B841),'CLM &amp; IM Mapping'!$A$2:$A$270,0)),"Not Mapped"))</f>
        <v>Not Mapped</v>
      </c>
      <c r="E841" s="41" t="n">
        <v>0</v>
      </c>
      <c r="F841" s="41" t="n">
        <v>0</v>
      </c>
      <c r="G841" s="41" t="n">
        <v>0</v>
      </c>
      <c r="H841" s="41" t="n">
        <v>0</v>
      </c>
      <c r="I841" s="41" t="n">
        <v>0</v>
      </c>
      <c r="J841" s="41" t="n">
        <v>0</v>
      </c>
      <c r="K841" s="41" t="n">
        <v>0</v>
      </c>
      <c r="L841" s="41" t="n">
        <v>0</v>
      </c>
    </row>
    <row r="842" customFormat="false" ht="15.75" hidden="false" customHeight="false" outlineLevel="0" collapsed="false">
      <c r="B842" s="39" t="s">
        <v>988</v>
      </c>
      <c r="C842" s="40" t="str">
        <f aca="false">IF(B842="","",IFERROR(INDEX('CLM &amp; IM Mapping'!$B$2:$B$270,MATCH(TRIM(B842),'CLM &amp; IM Mapping'!$A$2:$A$270,0)),"Not Mapped"))</f>
        <v>Not Mapped</v>
      </c>
      <c r="D842" s="40" t="str">
        <f aca="false">IF(B842="","",IFERROR(INDEX('CLM &amp; IM Mapping'!$C$2:$C$270,MATCH(TRIM(B842),'CLM &amp; IM Mapping'!$A$2:$A$270,0)),"Not Mapped"))</f>
        <v>Not Mapped</v>
      </c>
      <c r="E842" s="41" t="n">
        <v>3747</v>
      </c>
      <c r="F842" s="41" t="n">
        <v>3260</v>
      </c>
      <c r="G842" s="41" t="n">
        <v>0</v>
      </c>
      <c r="H842" s="41" t="n">
        <v>19</v>
      </c>
      <c r="I842" s="41" t="n">
        <v>468</v>
      </c>
      <c r="J842" s="41" t="n">
        <v>0</v>
      </c>
      <c r="K842" s="41" t="n">
        <v>0</v>
      </c>
      <c r="L842" s="41" t="n">
        <v>487</v>
      </c>
    </row>
    <row r="843" customFormat="false" ht="15.75" hidden="false" customHeight="false" outlineLevel="0" collapsed="false">
      <c r="B843" s="39" t="s">
        <v>989</v>
      </c>
      <c r="C843" s="40" t="str">
        <f aca="false">IF(B843="","",IFERROR(INDEX('CLM &amp; IM Mapping'!$B$2:$B$270,MATCH(TRIM(B843),'CLM &amp; IM Mapping'!$A$2:$A$270,0)),"Not Mapped"))</f>
        <v>Not Mapped</v>
      </c>
      <c r="D843" s="40" t="str">
        <f aca="false">IF(B843="","",IFERROR(INDEX('CLM &amp; IM Mapping'!$C$2:$C$270,MATCH(TRIM(B843),'CLM &amp; IM Mapping'!$A$2:$A$270,0)),"Not Mapped"))</f>
        <v>Not Mapped</v>
      </c>
      <c r="E843" s="41" t="n">
        <v>631</v>
      </c>
      <c r="F843" s="41" t="n">
        <v>629</v>
      </c>
      <c r="G843" s="41" t="n">
        <v>0</v>
      </c>
      <c r="H843" s="41" t="n">
        <v>0</v>
      </c>
      <c r="I843" s="41" t="n">
        <v>0</v>
      </c>
      <c r="J843" s="41" t="n">
        <v>0</v>
      </c>
      <c r="K843" s="41" t="n">
        <v>2</v>
      </c>
      <c r="L843" s="41" t="n">
        <v>2</v>
      </c>
    </row>
    <row r="844" customFormat="false" ht="15.75" hidden="false" customHeight="false" outlineLevel="0" collapsed="false">
      <c r="B844" s="39" t="s">
        <v>990</v>
      </c>
      <c r="C844" s="40" t="str">
        <f aca="false">IF(B844="","",IFERROR(INDEX('CLM &amp; IM Mapping'!$B$2:$B$270,MATCH(TRIM(B844),'CLM &amp; IM Mapping'!$A$2:$A$270,0)),"Not Mapped"))</f>
        <v>Not Mapped</v>
      </c>
      <c r="D844" s="40" t="str">
        <f aca="false">IF(B844="","",IFERROR(INDEX('CLM &amp; IM Mapping'!$C$2:$C$270,MATCH(TRIM(B844),'CLM &amp; IM Mapping'!$A$2:$A$270,0)),"Not Mapped"))</f>
        <v>Not Mapped</v>
      </c>
      <c r="E844" s="41" t="n">
        <v>31</v>
      </c>
      <c r="F844" s="41" t="n">
        <v>0</v>
      </c>
      <c r="G844" s="41" t="n">
        <v>0</v>
      </c>
      <c r="H844" s="41" t="n">
        <v>31</v>
      </c>
      <c r="I844" s="41" t="n">
        <v>0</v>
      </c>
      <c r="J844" s="41" t="n">
        <v>0</v>
      </c>
      <c r="K844" s="41" t="n">
        <v>0</v>
      </c>
      <c r="L844" s="41" t="n">
        <v>31</v>
      </c>
    </row>
    <row r="845" customFormat="false" ht="15.75" hidden="false" customHeight="false" outlineLevel="0" collapsed="false">
      <c r="B845" s="39" t="s">
        <v>991</v>
      </c>
      <c r="C845" s="40" t="str">
        <f aca="false">IF(B845="","",IFERROR(INDEX('CLM &amp; IM Mapping'!$B$2:$B$270,MATCH(TRIM(B845),'CLM &amp; IM Mapping'!$A$2:$A$270,0)),"Not Mapped"))</f>
        <v>Not Mapped</v>
      </c>
      <c r="D845" s="40" t="str">
        <f aca="false">IF(B845="","",IFERROR(INDEX('CLM &amp; IM Mapping'!$C$2:$C$270,MATCH(TRIM(B845),'CLM &amp; IM Mapping'!$A$2:$A$270,0)),"Not Mapped"))</f>
        <v>Not Mapped</v>
      </c>
      <c r="E845" s="41" t="n">
        <v>0</v>
      </c>
      <c r="F845" s="41" t="n">
        <v>0</v>
      </c>
      <c r="G845" s="41" t="n">
        <v>0</v>
      </c>
      <c r="H845" s="41" t="n">
        <v>0</v>
      </c>
      <c r="I845" s="41" t="n">
        <v>0</v>
      </c>
      <c r="J845" s="41" t="n">
        <v>0</v>
      </c>
      <c r="K845" s="41" t="n">
        <v>0</v>
      </c>
      <c r="L845" s="41" t="n">
        <v>0</v>
      </c>
    </row>
    <row r="846" customFormat="false" ht="15.75" hidden="false" customHeight="false" outlineLevel="0" collapsed="false">
      <c r="B846" s="39" t="s">
        <v>992</v>
      </c>
      <c r="C846" s="40" t="str">
        <f aca="false">IF(B846="","",IFERROR(INDEX('CLM &amp; IM Mapping'!$B$2:$B$270,MATCH(TRIM(B846),'CLM &amp; IM Mapping'!$A$2:$A$270,0)),"Not Mapped"))</f>
        <v>Not Mapped</v>
      </c>
      <c r="D846" s="40" t="str">
        <f aca="false">IF(B846="","",IFERROR(INDEX('CLM &amp; IM Mapping'!$C$2:$C$270,MATCH(TRIM(B846),'CLM &amp; IM Mapping'!$A$2:$A$270,0)),"Not Mapped"))</f>
        <v>Not Mapped</v>
      </c>
      <c r="E846" s="41" t="n">
        <v>3852</v>
      </c>
      <c r="F846" s="41" t="n">
        <v>329</v>
      </c>
      <c r="G846" s="41" t="n">
        <v>1687</v>
      </c>
      <c r="H846" s="41" t="n">
        <v>1834</v>
      </c>
      <c r="I846" s="41" t="n">
        <v>0</v>
      </c>
      <c r="J846" s="41" t="n">
        <v>0</v>
      </c>
      <c r="K846" s="41" t="n">
        <v>2</v>
      </c>
      <c r="L846" s="41" t="n">
        <v>1836</v>
      </c>
    </row>
    <row r="847" customFormat="false" ht="15.75" hidden="false" customHeight="false" outlineLevel="0" collapsed="false">
      <c r="B847" s="39" t="s">
        <v>993</v>
      </c>
      <c r="C847" s="40" t="str">
        <f aca="false">IF(B847="","",IFERROR(INDEX('CLM &amp; IM Mapping'!$B$2:$B$270,MATCH(TRIM(B847),'CLM &amp; IM Mapping'!$A$2:$A$270,0)),"Not Mapped"))</f>
        <v>Not Mapped</v>
      </c>
      <c r="D847" s="40" t="str">
        <f aca="false">IF(B847="","",IFERROR(INDEX('CLM &amp; IM Mapping'!$C$2:$C$270,MATCH(TRIM(B847),'CLM &amp; IM Mapping'!$A$2:$A$270,0)),"Not Mapped"))</f>
        <v>Not Mapped</v>
      </c>
      <c r="E847" s="41" t="n">
        <v>1380</v>
      </c>
      <c r="F847" s="41" t="n">
        <v>105</v>
      </c>
      <c r="G847" s="41" t="n">
        <v>0</v>
      </c>
      <c r="H847" s="41" t="n">
        <v>1256</v>
      </c>
      <c r="I847" s="41" t="n">
        <v>19</v>
      </c>
      <c r="J847" s="41" t="n">
        <v>0</v>
      </c>
      <c r="K847" s="41" t="n">
        <v>0</v>
      </c>
      <c r="L847" s="41" t="n">
        <v>1275</v>
      </c>
    </row>
    <row r="848" customFormat="false" ht="15.75" hidden="false" customHeight="false" outlineLevel="0" collapsed="false">
      <c r="B848" s="39" t="s">
        <v>994</v>
      </c>
      <c r="C848" s="40" t="str">
        <f aca="false">IF(B848="","",IFERROR(INDEX('CLM &amp; IM Mapping'!$B$2:$B$270,MATCH(TRIM(B848),'CLM &amp; IM Mapping'!$A$2:$A$270,0)),"Not Mapped"))</f>
        <v>Not Mapped</v>
      </c>
      <c r="D848" s="40" t="str">
        <f aca="false">IF(B848="","",IFERROR(INDEX('CLM &amp; IM Mapping'!$C$2:$C$270,MATCH(TRIM(B848),'CLM &amp; IM Mapping'!$A$2:$A$270,0)),"Not Mapped"))</f>
        <v>Not Mapped</v>
      </c>
      <c r="E848" s="41" t="n">
        <v>2361</v>
      </c>
      <c r="F848" s="41" t="n">
        <v>0</v>
      </c>
      <c r="G848" s="41" t="n">
        <v>2361</v>
      </c>
      <c r="H848" s="41" t="n">
        <v>0</v>
      </c>
      <c r="I848" s="41" t="n">
        <v>0</v>
      </c>
      <c r="J848" s="41" t="n">
        <v>0</v>
      </c>
      <c r="K848" s="41" t="n">
        <v>0</v>
      </c>
      <c r="L848" s="41" t="n">
        <v>0</v>
      </c>
    </row>
    <row r="849" customFormat="false" ht="15.75" hidden="false" customHeight="false" outlineLevel="0" collapsed="false">
      <c r="B849" s="39" t="s">
        <v>995</v>
      </c>
      <c r="C849" s="40" t="str">
        <f aca="false">IF(B849="","",IFERROR(INDEX('CLM &amp; IM Mapping'!$B$2:$B$270,MATCH(TRIM(B849),'CLM &amp; IM Mapping'!$A$2:$A$270,0)),"Not Mapped"))</f>
        <v>Not Mapped</v>
      </c>
      <c r="D849" s="40" t="str">
        <f aca="false">IF(B849="","",IFERROR(INDEX('CLM &amp; IM Mapping'!$C$2:$C$270,MATCH(TRIM(B849),'CLM &amp; IM Mapping'!$A$2:$A$270,0)),"Not Mapped"))</f>
        <v>Not Mapped</v>
      </c>
      <c r="E849" s="41" t="n">
        <v>29</v>
      </c>
      <c r="F849" s="41" t="n">
        <v>0</v>
      </c>
      <c r="G849" s="41" t="n">
        <v>0</v>
      </c>
      <c r="H849" s="41" t="n">
        <v>29</v>
      </c>
      <c r="I849" s="41" t="n">
        <v>0</v>
      </c>
      <c r="J849" s="41" t="n">
        <v>0</v>
      </c>
      <c r="K849" s="41" t="n">
        <v>0</v>
      </c>
      <c r="L849" s="41" t="n">
        <v>0</v>
      </c>
    </row>
    <row r="850" customFormat="false" ht="15.75" hidden="false" customHeight="false" outlineLevel="0" collapsed="false">
      <c r="B850" s="39" t="s">
        <v>996</v>
      </c>
      <c r="C850" s="40" t="str">
        <f aca="false">IF(B850="","",IFERROR(INDEX('CLM &amp; IM Mapping'!$B$2:$B$270,MATCH(TRIM(B850),'CLM &amp; IM Mapping'!$A$2:$A$270,0)),"Not Mapped"))</f>
        <v>Not Mapped</v>
      </c>
      <c r="D850" s="40" t="str">
        <f aca="false">IF(B850="","",IFERROR(INDEX('CLM &amp; IM Mapping'!$C$2:$C$270,MATCH(TRIM(B850),'CLM &amp; IM Mapping'!$A$2:$A$270,0)),"Not Mapped"))</f>
        <v>Not Mapped</v>
      </c>
      <c r="E850" s="41" t="n">
        <v>1358</v>
      </c>
      <c r="F850" s="41" t="n">
        <v>11</v>
      </c>
      <c r="G850" s="41" t="n">
        <v>1322</v>
      </c>
      <c r="H850" s="41" t="n">
        <v>2</v>
      </c>
      <c r="I850" s="41" t="n">
        <v>12</v>
      </c>
      <c r="J850" s="41" t="n">
        <v>0</v>
      </c>
      <c r="K850" s="41" t="n">
        <v>11</v>
      </c>
      <c r="L850" s="41" t="n">
        <v>25</v>
      </c>
    </row>
    <row r="851" customFormat="false" ht="15.75" hidden="false" customHeight="false" outlineLevel="0" collapsed="false">
      <c r="B851" s="39" t="s">
        <v>997</v>
      </c>
      <c r="C851" s="40" t="str">
        <f aca="false">IF(B851="","",IFERROR(INDEX('CLM &amp; IM Mapping'!$B$2:$B$270,MATCH(TRIM(B851),'CLM &amp; IM Mapping'!$A$2:$A$270,0)),"Not Mapped"))</f>
        <v>Not Mapped</v>
      </c>
      <c r="D851" s="40" t="str">
        <f aca="false">IF(B851="","",IFERROR(INDEX('CLM &amp; IM Mapping'!$C$2:$C$270,MATCH(TRIM(B851),'CLM &amp; IM Mapping'!$A$2:$A$270,0)),"Not Mapped"))</f>
        <v>Not Mapped</v>
      </c>
      <c r="E851" s="41" t="n">
        <v>458</v>
      </c>
      <c r="F851" s="41" t="n">
        <v>0</v>
      </c>
      <c r="G851" s="41" t="n">
        <v>0</v>
      </c>
      <c r="H851" s="41" t="n">
        <v>458</v>
      </c>
      <c r="I851" s="41" t="n">
        <v>0</v>
      </c>
      <c r="J851" s="41" t="n">
        <v>0</v>
      </c>
      <c r="K851" s="41" t="n">
        <v>0</v>
      </c>
      <c r="L851" s="41" t="n">
        <v>0</v>
      </c>
    </row>
    <row r="852" customFormat="false" ht="15.75" hidden="false" customHeight="false" outlineLevel="0" collapsed="false">
      <c r="B852" s="39" t="s">
        <v>998</v>
      </c>
      <c r="C852" s="40" t="str">
        <f aca="false">IF(B852="","",IFERROR(INDEX('CLM &amp; IM Mapping'!$B$2:$B$270,MATCH(TRIM(B852),'CLM &amp; IM Mapping'!$A$2:$A$270,0)),"Not Mapped"))</f>
        <v>Not Mapped</v>
      </c>
      <c r="D852" s="40" t="str">
        <f aca="false">IF(B852="","",IFERROR(INDEX('CLM &amp; IM Mapping'!$C$2:$C$270,MATCH(TRIM(B852),'CLM &amp; IM Mapping'!$A$2:$A$270,0)),"Not Mapped"))</f>
        <v>Not Mapped</v>
      </c>
      <c r="E852" s="41" t="n">
        <v>611</v>
      </c>
      <c r="F852" s="41" t="n">
        <v>0</v>
      </c>
      <c r="G852" s="41" t="n">
        <v>0</v>
      </c>
      <c r="H852" s="41" t="n">
        <v>548</v>
      </c>
      <c r="I852" s="41" t="n">
        <v>0</v>
      </c>
      <c r="J852" s="41" t="n">
        <v>30</v>
      </c>
      <c r="K852" s="41" t="n">
        <v>33</v>
      </c>
      <c r="L852" s="41" t="n">
        <v>611</v>
      </c>
    </row>
    <row r="853" customFormat="false" ht="15.75" hidden="false" customHeight="false" outlineLevel="0" collapsed="false">
      <c r="B853" s="39" t="s">
        <v>999</v>
      </c>
      <c r="C853" s="40" t="str">
        <f aca="false">IF(B853="","",IFERROR(INDEX('CLM &amp; IM Mapping'!$B$2:$B$270,MATCH(TRIM(B853),'CLM &amp; IM Mapping'!$A$2:$A$270,0)),"Not Mapped"))</f>
        <v>Not Mapped</v>
      </c>
      <c r="D853" s="40" t="str">
        <f aca="false">IF(B853="","",IFERROR(INDEX('CLM &amp; IM Mapping'!$C$2:$C$270,MATCH(TRIM(B853),'CLM &amp; IM Mapping'!$A$2:$A$270,0)),"Not Mapped"))</f>
        <v>Not Mapped</v>
      </c>
      <c r="E853" s="41" t="n">
        <v>9537</v>
      </c>
      <c r="F853" s="41" t="n">
        <v>204</v>
      </c>
      <c r="G853" s="41" t="n">
        <v>0</v>
      </c>
      <c r="H853" s="41" t="n">
        <v>6453</v>
      </c>
      <c r="I853" s="41" t="n">
        <v>192</v>
      </c>
      <c r="J853" s="41" t="n">
        <v>2029</v>
      </c>
      <c r="K853" s="41" t="n">
        <v>659</v>
      </c>
      <c r="L853" s="41" t="n">
        <v>9333</v>
      </c>
    </row>
    <row r="854" customFormat="false" ht="15.75" hidden="false" customHeight="false" outlineLevel="0" collapsed="false">
      <c r="B854" s="39" t="s">
        <v>1000</v>
      </c>
      <c r="C854" s="40" t="str">
        <f aca="false">IF(B854="","",IFERROR(INDEX('CLM &amp; IM Mapping'!$B$2:$B$270,MATCH(TRIM(B854),'CLM &amp; IM Mapping'!$A$2:$A$270,0)),"Not Mapped"))</f>
        <v>Not Mapped</v>
      </c>
      <c r="D854" s="40" t="str">
        <f aca="false">IF(B854="","",IFERROR(INDEX('CLM &amp; IM Mapping'!$C$2:$C$270,MATCH(TRIM(B854),'CLM &amp; IM Mapping'!$A$2:$A$270,0)),"Not Mapped"))</f>
        <v>Not Mapped</v>
      </c>
      <c r="E854" s="41" t="n">
        <v>2815</v>
      </c>
      <c r="F854" s="41" t="n">
        <v>0</v>
      </c>
      <c r="G854" s="41" t="n">
        <v>54</v>
      </c>
      <c r="H854" s="41" t="n">
        <v>2140</v>
      </c>
      <c r="I854" s="41" t="n">
        <v>0</v>
      </c>
      <c r="J854" s="41" t="n">
        <v>568</v>
      </c>
      <c r="K854" s="41" t="n">
        <v>53</v>
      </c>
      <c r="L854" s="41" t="n">
        <v>2761</v>
      </c>
    </row>
    <row r="855" customFormat="false" ht="15.75" hidden="false" customHeight="false" outlineLevel="0" collapsed="false">
      <c r="B855" s="39" t="s">
        <v>1001</v>
      </c>
      <c r="C855" s="40" t="str">
        <f aca="false">IF(B855="","",IFERROR(INDEX('CLM &amp; IM Mapping'!$B$2:$B$270,MATCH(TRIM(B855),'CLM &amp; IM Mapping'!$A$2:$A$270,0)),"Not Mapped"))</f>
        <v>Not Mapped</v>
      </c>
      <c r="D855" s="40" t="str">
        <f aca="false">IF(B855="","",IFERROR(INDEX('CLM &amp; IM Mapping'!$C$2:$C$270,MATCH(TRIM(B855),'CLM &amp; IM Mapping'!$A$2:$A$270,0)),"Not Mapped"))</f>
        <v>Not Mapped</v>
      </c>
      <c r="E855" s="41" t="n">
        <v>2246</v>
      </c>
      <c r="F855" s="41" t="n">
        <v>0</v>
      </c>
      <c r="G855" s="41" t="n">
        <v>19</v>
      </c>
      <c r="H855" s="41" t="n">
        <v>1959</v>
      </c>
      <c r="I855" s="41" t="n">
        <v>1</v>
      </c>
      <c r="J855" s="41" t="n">
        <v>6</v>
      </c>
      <c r="K855" s="41" t="n">
        <v>261</v>
      </c>
      <c r="L855" s="41" t="n">
        <v>2227</v>
      </c>
    </row>
    <row r="856" customFormat="false" ht="15.75" hidden="false" customHeight="false" outlineLevel="0" collapsed="false">
      <c r="B856" s="39" t="s">
        <v>1002</v>
      </c>
      <c r="C856" s="40" t="str">
        <f aca="false">IF(B856="","",IFERROR(INDEX('CLM &amp; IM Mapping'!$B$2:$B$270,MATCH(TRIM(B856),'CLM &amp; IM Mapping'!$A$2:$A$270,0)),"Not Mapped"))</f>
        <v>Not Mapped</v>
      </c>
      <c r="D856" s="40" t="str">
        <f aca="false">IF(B856="","",IFERROR(INDEX('CLM &amp; IM Mapping'!$C$2:$C$270,MATCH(TRIM(B856),'CLM &amp; IM Mapping'!$A$2:$A$270,0)),"Not Mapped"))</f>
        <v>Not Mapped</v>
      </c>
      <c r="E856" s="41" t="n">
        <v>948</v>
      </c>
      <c r="F856" s="41" t="n">
        <v>0</v>
      </c>
      <c r="G856" s="41" t="n">
        <v>948</v>
      </c>
      <c r="H856" s="41" t="n">
        <v>0</v>
      </c>
      <c r="I856" s="41" t="n">
        <v>0</v>
      </c>
      <c r="J856" s="41" t="n">
        <v>0</v>
      </c>
      <c r="K856" s="41" t="n">
        <v>0</v>
      </c>
      <c r="L856" s="41" t="n">
        <v>0</v>
      </c>
    </row>
    <row r="857" customFormat="false" ht="15.75" hidden="false" customHeight="false" outlineLevel="0" collapsed="false">
      <c r="B857" s="39" t="s">
        <v>1003</v>
      </c>
      <c r="C857" s="40" t="str">
        <f aca="false">IF(B857="","",IFERROR(INDEX('CLM &amp; IM Mapping'!$B$2:$B$270,MATCH(TRIM(B857),'CLM &amp; IM Mapping'!$A$2:$A$270,0)),"Not Mapped"))</f>
        <v>Not Mapped</v>
      </c>
      <c r="D857" s="40" t="str">
        <f aca="false">IF(B857="","",IFERROR(INDEX('CLM &amp; IM Mapping'!$C$2:$C$270,MATCH(TRIM(B857),'CLM &amp; IM Mapping'!$A$2:$A$270,0)),"Not Mapped"))</f>
        <v>Not Mapped</v>
      </c>
      <c r="E857" s="41" t="n">
        <v>5209</v>
      </c>
      <c r="F857" s="41" t="n">
        <v>302</v>
      </c>
      <c r="G857" s="41" t="n">
        <v>4907</v>
      </c>
      <c r="H857" s="41" t="n">
        <v>0</v>
      </c>
      <c r="I857" s="41" t="n">
        <v>0</v>
      </c>
      <c r="J857" s="41" t="n">
        <v>0</v>
      </c>
      <c r="K857" s="41" t="n">
        <v>0</v>
      </c>
      <c r="L857" s="41" t="n">
        <v>0</v>
      </c>
    </row>
    <row r="858" customFormat="false" ht="15.75" hidden="false" customHeight="false" outlineLevel="0" collapsed="false">
      <c r="B858" s="39" t="s">
        <v>1004</v>
      </c>
      <c r="C858" s="40" t="str">
        <f aca="false">IF(B858="","",IFERROR(INDEX('CLM &amp; IM Mapping'!$B$2:$B$270,MATCH(TRIM(B858),'CLM &amp; IM Mapping'!$A$2:$A$270,0)),"Not Mapped"))</f>
        <v>Not Mapped</v>
      </c>
      <c r="D858" s="40" t="str">
        <f aca="false">IF(B858="","",IFERROR(INDEX('CLM &amp; IM Mapping'!$C$2:$C$270,MATCH(TRIM(B858),'CLM &amp; IM Mapping'!$A$2:$A$270,0)),"Not Mapped"))</f>
        <v>Not Mapped</v>
      </c>
      <c r="E858" s="41" t="n">
        <v>91</v>
      </c>
      <c r="F858" s="41" t="n">
        <v>0</v>
      </c>
      <c r="G858" s="41" t="n">
        <v>0</v>
      </c>
      <c r="H858" s="41" t="n">
        <v>0</v>
      </c>
      <c r="I858" s="41" t="n">
        <v>0</v>
      </c>
      <c r="J858" s="41" t="n">
        <v>0</v>
      </c>
      <c r="K858" s="41" t="n">
        <v>91</v>
      </c>
      <c r="L858" s="41" t="n">
        <v>91</v>
      </c>
    </row>
    <row r="859" customFormat="false" ht="15.75" hidden="false" customHeight="false" outlineLevel="0" collapsed="false">
      <c r="B859" s="39" t="s">
        <v>1005</v>
      </c>
      <c r="C859" s="40" t="str">
        <f aca="false">IF(B859="","",IFERROR(INDEX('CLM &amp; IM Mapping'!$B$2:$B$270,MATCH(TRIM(B859),'CLM &amp; IM Mapping'!$A$2:$A$270,0)),"Not Mapped"))</f>
        <v>Not Mapped</v>
      </c>
      <c r="D859" s="40" t="str">
        <f aca="false">IF(B859="","",IFERROR(INDEX('CLM &amp; IM Mapping'!$C$2:$C$270,MATCH(TRIM(B859),'CLM &amp; IM Mapping'!$A$2:$A$270,0)),"Not Mapped"))</f>
        <v>Not Mapped</v>
      </c>
      <c r="E859" s="41" t="n">
        <v>0</v>
      </c>
      <c r="F859" s="41" t="n">
        <v>0</v>
      </c>
      <c r="G859" s="41" t="n">
        <v>0</v>
      </c>
      <c r="H859" s="41" t="n">
        <v>0</v>
      </c>
      <c r="I859" s="41" t="n">
        <v>0</v>
      </c>
      <c r="J859" s="41" t="n">
        <v>0</v>
      </c>
      <c r="K859" s="41" t="n">
        <v>0</v>
      </c>
      <c r="L859" s="41" t="n">
        <v>0</v>
      </c>
    </row>
    <row r="860" customFormat="false" ht="15.75" hidden="false" customHeight="false" outlineLevel="0" collapsed="false">
      <c r="B860" s="39" t="s">
        <v>1006</v>
      </c>
      <c r="C860" s="40" t="str">
        <f aca="false">IF(B860="","",IFERROR(INDEX('CLM &amp; IM Mapping'!$B$2:$B$270,MATCH(TRIM(B860),'CLM &amp; IM Mapping'!$A$2:$A$270,0)),"Not Mapped"))</f>
        <v>Not Mapped</v>
      </c>
      <c r="D860" s="40" t="str">
        <f aca="false">IF(B860="","",IFERROR(INDEX('CLM &amp; IM Mapping'!$C$2:$C$270,MATCH(TRIM(B860),'CLM &amp; IM Mapping'!$A$2:$A$270,0)),"Not Mapped"))</f>
        <v>Not Mapped</v>
      </c>
      <c r="E860" s="41" t="n">
        <v>0</v>
      </c>
      <c r="F860" s="41" t="n">
        <v>0</v>
      </c>
      <c r="G860" s="41" t="n">
        <v>0</v>
      </c>
      <c r="H860" s="41" t="n">
        <v>0</v>
      </c>
      <c r="I860" s="41" t="n">
        <v>0</v>
      </c>
      <c r="J860" s="41" t="n">
        <v>0</v>
      </c>
      <c r="K860" s="41" t="n">
        <v>0</v>
      </c>
      <c r="L860" s="41" t="n">
        <v>0</v>
      </c>
    </row>
    <row r="861" customFormat="false" ht="15.75" hidden="false" customHeight="false" outlineLevel="0" collapsed="false">
      <c r="B861" s="39" t="s">
        <v>1007</v>
      </c>
      <c r="C861" s="40" t="str">
        <f aca="false">IF(B861="","",IFERROR(INDEX('CLM &amp; IM Mapping'!$B$2:$B$270,MATCH(TRIM(B861),'CLM &amp; IM Mapping'!$A$2:$A$270,0)),"Not Mapped"))</f>
        <v>Not Mapped</v>
      </c>
      <c r="D861" s="40" t="str">
        <f aca="false">IF(B861="","",IFERROR(INDEX('CLM &amp; IM Mapping'!$C$2:$C$270,MATCH(TRIM(B861),'CLM &amp; IM Mapping'!$A$2:$A$270,0)),"Not Mapped"))</f>
        <v>Not Mapped</v>
      </c>
      <c r="E861" s="41" t="n">
        <v>0</v>
      </c>
      <c r="F861" s="41" t="n">
        <v>0</v>
      </c>
      <c r="G861" s="41" t="n">
        <v>0</v>
      </c>
      <c r="H861" s="41" t="n">
        <v>0</v>
      </c>
      <c r="I861" s="41" t="n">
        <v>0</v>
      </c>
      <c r="J861" s="41" t="n">
        <v>0</v>
      </c>
      <c r="K861" s="41" t="n">
        <v>0</v>
      </c>
      <c r="L861" s="41" t="n">
        <v>0</v>
      </c>
    </row>
    <row r="862" customFormat="false" ht="15.75" hidden="false" customHeight="false" outlineLevel="0" collapsed="false">
      <c r="B862" s="39" t="s">
        <v>1008</v>
      </c>
      <c r="C862" s="40" t="str">
        <f aca="false">IF(B862="","",IFERROR(INDEX('CLM &amp; IM Mapping'!$B$2:$B$270,MATCH(TRIM(B862),'CLM &amp; IM Mapping'!$A$2:$A$270,0)),"Not Mapped"))</f>
        <v>Not Mapped</v>
      </c>
      <c r="D862" s="40" t="str">
        <f aca="false">IF(B862="","",IFERROR(INDEX('CLM &amp; IM Mapping'!$C$2:$C$270,MATCH(TRIM(B862),'CLM &amp; IM Mapping'!$A$2:$A$270,0)),"Not Mapped"))</f>
        <v>Not Mapped</v>
      </c>
      <c r="E862" s="41" t="n">
        <v>0</v>
      </c>
      <c r="F862" s="41" t="n">
        <v>0</v>
      </c>
      <c r="G862" s="41" t="n">
        <v>0</v>
      </c>
      <c r="H862" s="41" t="n">
        <v>0</v>
      </c>
      <c r="I862" s="41" t="n">
        <v>0</v>
      </c>
      <c r="J862" s="41" t="n">
        <v>0</v>
      </c>
      <c r="K862" s="41" t="n">
        <v>0</v>
      </c>
      <c r="L862" s="41" t="n">
        <v>0</v>
      </c>
    </row>
    <row r="863" customFormat="false" ht="15.75" hidden="false" customHeight="false" outlineLevel="0" collapsed="false">
      <c r="B863" s="39" t="s">
        <v>1009</v>
      </c>
      <c r="C863" s="40" t="str">
        <f aca="false">IF(B863="","",IFERROR(INDEX('CLM &amp; IM Mapping'!$B$2:$B$270,MATCH(TRIM(B863),'CLM &amp; IM Mapping'!$A$2:$A$270,0)),"Not Mapped"))</f>
        <v>Not Mapped</v>
      </c>
      <c r="D863" s="40" t="str">
        <f aca="false">IF(B863="","",IFERROR(INDEX('CLM &amp; IM Mapping'!$C$2:$C$270,MATCH(TRIM(B863),'CLM &amp; IM Mapping'!$A$2:$A$270,0)),"Not Mapped"))</f>
        <v>Not Mapped</v>
      </c>
      <c r="E863" s="41" t="n">
        <v>2147</v>
      </c>
      <c r="F863" s="41" t="n">
        <v>690</v>
      </c>
      <c r="G863" s="41" t="n">
        <v>1457</v>
      </c>
      <c r="H863" s="41" t="n">
        <v>0</v>
      </c>
      <c r="I863" s="41" t="n">
        <v>0</v>
      </c>
      <c r="J863" s="41" t="n">
        <v>0</v>
      </c>
      <c r="K863" s="41" t="n">
        <v>0</v>
      </c>
      <c r="L863" s="41" t="n">
        <v>0</v>
      </c>
    </row>
    <row r="864" customFormat="false" ht="15.75" hidden="false" customHeight="false" outlineLevel="0" collapsed="false">
      <c r="B864" s="39" t="s">
        <v>1010</v>
      </c>
      <c r="C864" s="40" t="str">
        <f aca="false">IF(B864="","",IFERROR(INDEX('CLM &amp; IM Mapping'!$B$2:$B$270,MATCH(TRIM(B864),'CLM &amp; IM Mapping'!$A$2:$A$270,0)),"Not Mapped"))</f>
        <v>Not Mapped</v>
      </c>
      <c r="D864" s="40" t="str">
        <f aca="false">IF(B864="","",IFERROR(INDEX('CLM &amp; IM Mapping'!$C$2:$C$270,MATCH(TRIM(B864),'CLM &amp; IM Mapping'!$A$2:$A$270,0)),"Not Mapped"))</f>
        <v>Not Mapped</v>
      </c>
      <c r="E864" s="41" t="n">
        <v>0</v>
      </c>
      <c r="F864" s="41" t="n">
        <v>0</v>
      </c>
      <c r="G864" s="41" t="n">
        <v>0</v>
      </c>
      <c r="H864" s="41" t="n">
        <v>0</v>
      </c>
      <c r="I864" s="41" t="n">
        <v>0</v>
      </c>
      <c r="J864" s="41" t="n">
        <v>0</v>
      </c>
      <c r="K864" s="41" t="n">
        <v>0</v>
      </c>
      <c r="L864" s="41" t="n">
        <v>0</v>
      </c>
    </row>
    <row r="865" customFormat="false" ht="15.75" hidden="false" customHeight="false" outlineLevel="0" collapsed="false">
      <c r="B865" s="39" t="s">
        <v>1011</v>
      </c>
      <c r="C865" s="40" t="str">
        <f aca="false">IF(B865="","",IFERROR(INDEX('CLM &amp; IM Mapping'!$B$2:$B$270,MATCH(TRIM(B865),'CLM &amp; IM Mapping'!$A$2:$A$270,0)),"Not Mapped"))</f>
        <v>Not Mapped</v>
      </c>
      <c r="D865" s="40" t="str">
        <f aca="false">IF(B865="","",IFERROR(INDEX('CLM &amp; IM Mapping'!$C$2:$C$270,MATCH(TRIM(B865),'CLM &amp; IM Mapping'!$A$2:$A$270,0)),"Not Mapped"))</f>
        <v>Not Mapped</v>
      </c>
      <c r="E865" s="41" t="n">
        <v>34</v>
      </c>
      <c r="F865" s="41" t="n">
        <v>1</v>
      </c>
      <c r="G865" s="41" t="n">
        <v>33</v>
      </c>
      <c r="H865" s="41" t="n">
        <v>0</v>
      </c>
      <c r="I865" s="41" t="n">
        <v>0</v>
      </c>
      <c r="J865" s="41" t="n">
        <v>0</v>
      </c>
      <c r="K865" s="41" t="n">
        <v>0</v>
      </c>
      <c r="L865" s="41" t="n">
        <v>0</v>
      </c>
    </row>
    <row r="866" customFormat="false" ht="15.75" hidden="false" customHeight="false" outlineLevel="0" collapsed="false">
      <c r="B866" s="39" t="s">
        <v>1012</v>
      </c>
      <c r="C866" s="40" t="str">
        <f aca="false">IF(B866="","",IFERROR(INDEX('CLM &amp; IM Mapping'!$B$2:$B$270,MATCH(TRIM(B866),'CLM &amp; IM Mapping'!$A$2:$A$270,0)),"Not Mapped"))</f>
        <v>Not Mapped</v>
      </c>
      <c r="D866" s="40" t="str">
        <f aca="false">IF(B866="","",IFERROR(INDEX('CLM &amp; IM Mapping'!$C$2:$C$270,MATCH(TRIM(B866),'CLM &amp; IM Mapping'!$A$2:$A$270,0)),"Not Mapped"))</f>
        <v>Not Mapped</v>
      </c>
      <c r="E866" s="41" t="n">
        <v>0</v>
      </c>
      <c r="F866" s="41" t="n">
        <v>0</v>
      </c>
      <c r="G866" s="41" t="n">
        <v>0</v>
      </c>
      <c r="H866" s="41" t="n">
        <v>0</v>
      </c>
      <c r="I866" s="41" t="n">
        <v>0</v>
      </c>
      <c r="J866" s="41" t="n">
        <v>0</v>
      </c>
      <c r="K866" s="41" t="n">
        <v>0</v>
      </c>
      <c r="L866" s="41" t="n">
        <v>0</v>
      </c>
    </row>
    <row r="867" customFormat="false" ht="15.75" hidden="false" customHeight="false" outlineLevel="0" collapsed="false">
      <c r="B867" s="24" t="s">
        <v>1013</v>
      </c>
      <c r="C867" s="40" t="str">
        <f aca="false">IF(B867="","",IFERROR(INDEX('CLM &amp; IM Mapping'!$B$2:$B$270,MATCH(TRIM(B867),'CLM &amp; IM Mapping'!$A$2:$A$270,0)),"Not Mapped"))</f>
        <v>Not Mapped</v>
      </c>
      <c r="D867" s="40" t="str">
        <f aca="false">IF(B867="","",IFERROR(INDEX('CLM &amp; IM Mapping'!$C$2:$C$270,MATCH(TRIM(B867),'CLM &amp; IM Mapping'!$A$2:$A$270,0)),"Not Mapped"))</f>
        <v>Not Mapped</v>
      </c>
      <c r="E867" s="41" t="n">
        <v>0</v>
      </c>
      <c r="F867" s="41" t="n">
        <v>0</v>
      </c>
      <c r="G867" s="41" t="n">
        <v>0</v>
      </c>
      <c r="H867" s="41" t="n">
        <v>0</v>
      </c>
      <c r="I867" s="41" t="n">
        <v>0</v>
      </c>
      <c r="J867" s="41" t="n">
        <v>0</v>
      </c>
      <c r="K867" s="41" t="n">
        <v>0</v>
      </c>
      <c r="L867" s="41" t="n">
        <v>0</v>
      </c>
    </row>
    <row r="868" customFormat="false" ht="15.75" hidden="false" customHeight="false" outlineLevel="0" collapsed="false">
      <c r="B868" s="39" t="s">
        <v>1014</v>
      </c>
      <c r="C868" s="40" t="str">
        <f aca="false">IF(B868="","",IFERROR(INDEX('CLM &amp; IM Mapping'!$B$2:$B$270,MATCH(TRIM(B868),'CLM &amp; IM Mapping'!$A$2:$A$270,0)),"Not Mapped"))</f>
        <v>Not Mapped</v>
      </c>
      <c r="D868" s="40" t="str">
        <f aca="false">IF(B868="","",IFERROR(INDEX('CLM &amp; IM Mapping'!$C$2:$C$270,MATCH(TRIM(B868),'CLM &amp; IM Mapping'!$A$2:$A$270,0)),"Not Mapped"))</f>
        <v>Not Mapped</v>
      </c>
      <c r="E868" s="41" t="n">
        <v>0</v>
      </c>
      <c r="F868" s="41" t="n">
        <v>0</v>
      </c>
      <c r="G868" s="41" t="n">
        <v>0</v>
      </c>
      <c r="H868" s="41" t="n">
        <v>0</v>
      </c>
      <c r="I868" s="41" t="n">
        <v>0</v>
      </c>
      <c r="J868" s="41" t="n">
        <v>0</v>
      </c>
      <c r="K868" s="41" t="n">
        <v>0</v>
      </c>
      <c r="L868" s="41" t="n">
        <v>0</v>
      </c>
    </row>
    <row r="869" customFormat="false" ht="15.75" hidden="false" customHeight="false" outlineLevel="0" collapsed="false">
      <c r="B869" s="39" t="s">
        <v>1015</v>
      </c>
      <c r="C869" s="40" t="str">
        <f aca="false">IF(B869="","",IFERROR(INDEX('CLM &amp; IM Mapping'!$B$2:$B$270,MATCH(TRIM(B869),'CLM &amp; IM Mapping'!$A$2:$A$270,0)),"Not Mapped"))</f>
        <v>Not Mapped</v>
      </c>
      <c r="D869" s="40" t="str">
        <f aca="false">IF(B869="","",IFERROR(INDEX('CLM &amp; IM Mapping'!$C$2:$C$270,MATCH(TRIM(B869),'CLM &amp; IM Mapping'!$A$2:$A$270,0)),"Not Mapped"))</f>
        <v>Not Mapped</v>
      </c>
      <c r="E869" s="41" t="n">
        <v>0</v>
      </c>
      <c r="F869" s="41" t="n">
        <v>0</v>
      </c>
      <c r="G869" s="41" t="n">
        <v>0</v>
      </c>
      <c r="H869" s="41" t="n">
        <v>0</v>
      </c>
      <c r="I869" s="41" t="n">
        <v>0</v>
      </c>
      <c r="J869" s="41" t="n">
        <v>0</v>
      </c>
      <c r="K869" s="41" t="n">
        <v>0</v>
      </c>
      <c r="L869" s="41" t="n">
        <v>0</v>
      </c>
    </row>
    <row r="870" customFormat="false" ht="15.75" hidden="false" customHeight="false" outlineLevel="0" collapsed="false">
      <c r="B870" s="39" t="s">
        <v>1016</v>
      </c>
      <c r="C870" s="40" t="str">
        <f aca="false">IF(B870="","",IFERROR(INDEX('CLM &amp; IM Mapping'!$B$2:$B$270,MATCH(TRIM(B870),'CLM &amp; IM Mapping'!$A$2:$A$270,0)),"Not Mapped"))</f>
        <v>Not Mapped</v>
      </c>
      <c r="D870" s="40" t="str">
        <f aca="false">IF(B870="","",IFERROR(INDEX('CLM &amp; IM Mapping'!$C$2:$C$270,MATCH(TRIM(B870),'CLM &amp; IM Mapping'!$A$2:$A$270,0)),"Not Mapped"))</f>
        <v>Not Mapped</v>
      </c>
      <c r="E870" s="41" t="n">
        <v>223</v>
      </c>
      <c r="F870" s="41" t="n">
        <v>0</v>
      </c>
      <c r="G870" s="41" t="n">
        <v>223</v>
      </c>
      <c r="H870" s="41" t="n">
        <v>0</v>
      </c>
      <c r="I870" s="41" t="n">
        <v>0</v>
      </c>
      <c r="J870" s="41" t="n">
        <v>0</v>
      </c>
      <c r="K870" s="41" t="n">
        <v>0</v>
      </c>
      <c r="L870" s="41" t="n">
        <v>0</v>
      </c>
    </row>
    <row r="871" customFormat="false" ht="15.75" hidden="false" customHeight="false" outlineLevel="0" collapsed="false">
      <c r="B871" s="39" t="s">
        <v>1017</v>
      </c>
      <c r="C871" s="40" t="str">
        <f aca="false">IF(B871="","",IFERROR(INDEX('CLM &amp; IM Mapping'!$B$2:$B$270,MATCH(TRIM(B871),'CLM &amp; IM Mapping'!$A$2:$A$270,0)),"Not Mapped"))</f>
        <v>Not Mapped</v>
      </c>
      <c r="D871" s="40" t="str">
        <f aca="false">IF(B871="","",IFERROR(INDEX('CLM &amp; IM Mapping'!$C$2:$C$270,MATCH(TRIM(B871),'CLM &amp; IM Mapping'!$A$2:$A$270,0)),"Not Mapped"))</f>
        <v>Not Mapped</v>
      </c>
      <c r="E871" s="41" t="n">
        <v>1148</v>
      </c>
      <c r="F871" s="41" t="n">
        <v>4</v>
      </c>
      <c r="G871" s="41" t="n">
        <v>1144</v>
      </c>
      <c r="H871" s="41" t="n">
        <v>0</v>
      </c>
      <c r="I871" s="41" t="n">
        <v>0</v>
      </c>
      <c r="J871" s="41" t="n">
        <v>0</v>
      </c>
      <c r="K871" s="41" t="n">
        <v>0</v>
      </c>
      <c r="L871" s="41" t="n">
        <v>0</v>
      </c>
    </row>
    <row r="872" customFormat="false" ht="15.75" hidden="false" customHeight="false" outlineLevel="0" collapsed="false">
      <c r="B872" s="39" t="s">
        <v>1018</v>
      </c>
      <c r="C872" s="40" t="str">
        <f aca="false">IF(B872="","",IFERROR(INDEX('CLM &amp; IM Mapping'!$B$2:$B$270,MATCH(TRIM(B872),'CLM &amp; IM Mapping'!$A$2:$A$270,0)),"Not Mapped"))</f>
        <v>Not Mapped</v>
      </c>
      <c r="D872" s="40" t="str">
        <f aca="false">IF(B872="","",IFERROR(INDEX('CLM &amp; IM Mapping'!$C$2:$C$270,MATCH(TRIM(B872),'CLM &amp; IM Mapping'!$A$2:$A$270,0)),"Not Mapped"))</f>
        <v>Not Mapped</v>
      </c>
      <c r="E872" s="41" t="n">
        <v>4146</v>
      </c>
      <c r="F872" s="41" t="n">
        <v>232</v>
      </c>
      <c r="G872" s="41" t="n">
        <v>3914</v>
      </c>
      <c r="H872" s="41" t="n">
        <v>0</v>
      </c>
      <c r="I872" s="41" t="n">
        <v>0</v>
      </c>
      <c r="J872" s="41" t="n">
        <v>0</v>
      </c>
      <c r="K872" s="41" t="n">
        <v>0</v>
      </c>
      <c r="L872" s="41" t="n">
        <v>0</v>
      </c>
    </row>
    <row r="873" customFormat="false" ht="15.75" hidden="false" customHeight="false" outlineLevel="0" collapsed="false">
      <c r="B873" s="39" t="s">
        <v>1019</v>
      </c>
      <c r="C873" s="40" t="str">
        <f aca="false">IF(B873="","",IFERROR(INDEX('CLM &amp; IM Mapping'!$B$2:$B$270,MATCH(TRIM(B873),'CLM &amp; IM Mapping'!$A$2:$A$270,0)),"Not Mapped"))</f>
        <v>Not Mapped</v>
      </c>
      <c r="D873" s="40" t="str">
        <f aca="false">IF(B873="","",IFERROR(INDEX('CLM &amp; IM Mapping'!$C$2:$C$270,MATCH(TRIM(B873),'CLM &amp; IM Mapping'!$A$2:$A$270,0)),"Not Mapped"))</f>
        <v>Not Mapped</v>
      </c>
      <c r="E873" s="41" t="n">
        <v>206</v>
      </c>
      <c r="F873" s="41" t="n">
        <v>0</v>
      </c>
      <c r="G873" s="41" t="n">
        <v>0</v>
      </c>
      <c r="H873" s="41" t="n">
        <v>0</v>
      </c>
      <c r="I873" s="41" t="n">
        <v>206</v>
      </c>
      <c r="J873" s="41" t="n">
        <v>0</v>
      </c>
      <c r="K873" s="41" t="n">
        <v>0</v>
      </c>
      <c r="L873" s="41" t="n">
        <v>206</v>
      </c>
    </row>
    <row r="874" customFormat="false" ht="15.75" hidden="false" customHeight="false" outlineLevel="0" collapsed="false">
      <c r="B874" s="39" t="s">
        <v>1020</v>
      </c>
      <c r="C874" s="40" t="str">
        <f aca="false">IF(B874="","",IFERROR(INDEX('CLM &amp; IM Mapping'!$B$2:$B$270,MATCH(TRIM(B874),'CLM &amp; IM Mapping'!$A$2:$A$270,0)),"Not Mapped"))</f>
        <v>Not Mapped</v>
      </c>
      <c r="D874" s="40" t="str">
        <f aca="false">IF(B874="","",IFERROR(INDEX('CLM &amp; IM Mapping'!$C$2:$C$270,MATCH(TRIM(B874),'CLM &amp; IM Mapping'!$A$2:$A$270,0)),"Not Mapped"))</f>
        <v>Not Mapped</v>
      </c>
      <c r="E874" s="41" t="n">
        <v>981</v>
      </c>
      <c r="F874" s="41" t="n">
        <v>0</v>
      </c>
      <c r="G874" s="41" t="n">
        <v>981</v>
      </c>
      <c r="H874" s="41" t="n">
        <v>0</v>
      </c>
      <c r="I874" s="41" t="n">
        <v>0</v>
      </c>
      <c r="J874" s="41" t="n">
        <v>0</v>
      </c>
      <c r="K874" s="41" t="n">
        <v>0</v>
      </c>
      <c r="L874" s="41" t="n">
        <v>0</v>
      </c>
    </row>
    <row r="875" customFormat="false" ht="15.75" hidden="false" customHeight="false" outlineLevel="0" collapsed="false">
      <c r="B875" s="39" t="s">
        <v>1021</v>
      </c>
      <c r="C875" s="40" t="str">
        <f aca="false">IF(B875="","",IFERROR(INDEX('CLM &amp; IM Mapping'!$B$2:$B$270,MATCH(TRIM(B875),'CLM &amp; IM Mapping'!$A$2:$A$270,0)),"Not Mapped"))</f>
        <v>Not Mapped</v>
      </c>
      <c r="D875" s="40" t="str">
        <f aca="false">IF(B875="","",IFERROR(INDEX('CLM &amp; IM Mapping'!$C$2:$C$270,MATCH(TRIM(B875),'CLM &amp; IM Mapping'!$A$2:$A$270,0)),"Not Mapped"))</f>
        <v>Not Mapped</v>
      </c>
      <c r="E875" s="41" t="n">
        <v>1328</v>
      </c>
      <c r="F875" s="41" t="n">
        <v>0</v>
      </c>
      <c r="G875" s="41" t="n">
        <v>850</v>
      </c>
      <c r="H875" s="41" t="n">
        <v>0</v>
      </c>
      <c r="I875" s="41" t="n">
        <v>478</v>
      </c>
      <c r="J875" s="41" t="n">
        <v>0</v>
      </c>
      <c r="K875" s="41" t="n">
        <v>0</v>
      </c>
      <c r="L875" s="41" t="n">
        <v>478</v>
      </c>
    </row>
    <row r="876" customFormat="false" ht="15.75" hidden="false" customHeight="false" outlineLevel="0" collapsed="false">
      <c r="B876" s="39" t="s">
        <v>1022</v>
      </c>
      <c r="C876" s="40" t="str">
        <f aca="false">IF(B876="","",IFERROR(INDEX('CLM &amp; IM Mapping'!$B$2:$B$270,MATCH(TRIM(B876),'CLM &amp; IM Mapping'!$A$2:$A$270,0)),"Not Mapped"))</f>
        <v>Not Mapped</v>
      </c>
      <c r="D876" s="40" t="str">
        <f aca="false">IF(B876="","",IFERROR(INDEX('CLM &amp; IM Mapping'!$C$2:$C$270,MATCH(TRIM(B876),'CLM &amp; IM Mapping'!$A$2:$A$270,0)),"Not Mapped"))</f>
        <v>Not Mapped</v>
      </c>
      <c r="E876" s="41" t="n">
        <v>2012</v>
      </c>
      <c r="F876" s="41" t="n">
        <v>185</v>
      </c>
      <c r="G876" s="41" t="n">
        <v>1624</v>
      </c>
      <c r="H876" s="41" t="n">
        <v>0</v>
      </c>
      <c r="I876" s="41" t="n">
        <v>203</v>
      </c>
      <c r="J876" s="41" t="n">
        <v>0</v>
      </c>
      <c r="K876" s="41" t="n">
        <v>0</v>
      </c>
      <c r="L876" s="41" t="n">
        <v>203</v>
      </c>
    </row>
    <row r="877" customFormat="false" ht="15.75" hidden="false" customHeight="false" outlineLevel="0" collapsed="false">
      <c r="B877" s="39" t="s">
        <v>1023</v>
      </c>
      <c r="C877" s="40" t="str">
        <f aca="false">IF(B877="","",IFERROR(INDEX('CLM &amp; IM Mapping'!$B$2:$B$270,MATCH(TRIM(B877),'CLM &amp; IM Mapping'!$A$2:$A$270,0)),"Not Mapped"))</f>
        <v>Not Mapped</v>
      </c>
      <c r="D877" s="40" t="str">
        <f aca="false">IF(B877="","",IFERROR(INDEX('CLM &amp; IM Mapping'!$C$2:$C$270,MATCH(TRIM(B877),'CLM &amp; IM Mapping'!$A$2:$A$270,0)),"Not Mapped"))</f>
        <v>Not Mapped</v>
      </c>
      <c r="E877" s="41" t="n">
        <v>0</v>
      </c>
      <c r="F877" s="41" t="n">
        <v>0</v>
      </c>
      <c r="G877" s="41" t="n">
        <v>0</v>
      </c>
      <c r="H877" s="41" t="n">
        <v>0</v>
      </c>
      <c r="I877" s="41" t="n">
        <v>0</v>
      </c>
      <c r="J877" s="41" t="n">
        <v>0</v>
      </c>
      <c r="K877" s="41" t="n">
        <v>0</v>
      </c>
      <c r="L877" s="41" t="n">
        <v>0</v>
      </c>
    </row>
    <row r="878" customFormat="false" ht="15.75" hidden="false" customHeight="false" outlineLevel="0" collapsed="false">
      <c r="B878" s="39" t="s">
        <v>1024</v>
      </c>
      <c r="C878" s="40" t="str">
        <f aca="false">IF(B878="","",IFERROR(INDEX('CLM &amp; IM Mapping'!$B$2:$B$270,MATCH(TRIM(B878),'CLM &amp; IM Mapping'!$A$2:$A$270,0)),"Not Mapped"))</f>
        <v>Not Mapped</v>
      </c>
      <c r="D878" s="40" t="str">
        <f aca="false">IF(B878="","",IFERROR(INDEX('CLM &amp; IM Mapping'!$C$2:$C$270,MATCH(TRIM(B878),'CLM &amp; IM Mapping'!$A$2:$A$270,0)),"Not Mapped"))</f>
        <v>Not Mapped</v>
      </c>
      <c r="E878" s="41" t="n">
        <v>565</v>
      </c>
      <c r="F878" s="41" t="n">
        <v>0</v>
      </c>
      <c r="G878" s="41" t="n">
        <v>565</v>
      </c>
      <c r="H878" s="41" t="n">
        <v>0</v>
      </c>
      <c r="I878" s="41" t="n">
        <v>0</v>
      </c>
      <c r="J878" s="41" t="n">
        <v>0</v>
      </c>
      <c r="K878" s="41" t="n">
        <v>0</v>
      </c>
      <c r="L878" s="41" t="n">
        <v>0</v>
      </c>
    </row>
    <row r="879" customFormat="false" ht="15.75" hidden="false" customHeight="false" outlineLevel="0" collapsed="false">
      <c r="B879" s="39" t="s">
        <v>1025</v>
      </c>
      <c r="C879" s="40" t="str">
        <f aca="false">IF(B879="","",IFERROR(INDEX('CLM &amp; IM Mapping'!$B$2:$B$270,MATCH(TRIM(B879),'CLM &amp; IM Mapping'!$A$2:$A$270,0)),"Not Mapped"))</f>
        <v>Not Mapped</v>
      </c>
      <c r="D879" s="40" t="str">
        <f aca="false">IF(B879="","",IFERROR(INDEX('CLM &amp; IM Mapping'!$C$2:$C$270,MATCH(TRIM(B879),'CLM &amp; IM Mapping'!$A$2:$A$270,0)),"Not Mapped"))</f>
        <v>Not Mapped</v>
      </c>
      <c r="E879" s="41" t="n">
        <v>0</v>
      </c>
      <c r="F879" s="41" t="n">
        <v>0</v>
      </c>
      <c r="G879" s="41" t="n">
        <v>0</v>
      </c>
      <c r="H879" s="41" t="n">
        <v>0</v>
      </c>
      <c r="I879" s="41" t="n">
        <v>0</v>
      </c>
      <c r="J879" s="41" t="n">
        <v>0</v>
      </c>
      <c r="K879" s="41" t="n">
        <v>0</v>
      </c>
      <c r="L879" s="41" t="n">
        <v>0</v>
      </c>
    </row>
    <row r="880" customFormat="false" ht="15.75" hidden="false" customHeight="false" outlineLevel="0" collapsed="false">
      <c r="B880" s="39" t="s">
        <v>1026</v>
      </c>
      <c r="C880" s="40" t="str">
        <f aca="false">IF(B880="","",IFERROR(INDEX('CLM &amp; IM Mapping'!$B$2:$B$270,MATCH(TRIM(B880),'CLM &amp; IM Mapping'!$A$2:$A$270,0)),"Not Mapped"))</f>
        <v>Not Mapped</v>
      </c>
      <c r="D880" s="40" t="str">
        <f aca="false">IF(B880="","",IFERROR(INDEX('CLM &amp; IM Mapping'!$C$2:$C$270,MATCH(TRIM(B880),'CLM &amp; IM Mapping'!$A$2:$A$270,0)),"Not Mapped"))</f>
        <v>Not Mapped</v>
      </c>
      <c r="E880" s="41" t="n">
        <v>1299</v>
      </c>
      <c r="F880" s="41" t="n">
        <v>0</v>
      </c>
      <c r="G880" s="41" t="n">
        <v>1299</v>
      </c>
      <c r="H880" s="41" t="n">
        <v>0</v>
      </c>
      <c r="I880" s="41" t="n">
        <v>0</v>
      </c>
      <c r="J880" s="41" t="n">
        <v>0</v>
      </c>
      <c r="K880" s="41" t="n">
        <v>0</v>
      </c>
      <c r="L880" s="41" t="n">
        <v>0</v>
      </c>
    </row>
    <row r="881" customFormat="false" ht="15.75" hidden="false" customHeight="false" outlineLevel="0" collapsed="false">
      <c r="B881" s="39" t="s">
        <v>1027</v>
      </c>
      <c r="C881" s="40" t="str">
        <f aca="false">IF(B881="","",IFERROR(INDEX('CLM &amp; IM Mapping'!$B$2:$B$270,MATCH(TRIM(B881),'CLM &amp; IM Mapping'!$A$2:$A$270,0)),"Not Mapped"))</f>
        <v>Not Mapped</v>
      </c>
      <c r="D881" s="40" t="str">
        <f aca="false">IF(B881="","",IFERROR(INDEX('CLM &amp; IM Mapping'!$C$2:$C$270,MATCH(TRIM(B881),'CLM &amp; IM Mapping'!$A$2:$A$270,0)),"Not Mapped"))</f>
        <v>Not Mapped</v>
      </c>
      <c r="E881" s="41" t="n">
        <v>765</v>
      </c>
      <c r="F881" s="41" t="n">
        <v>0</v>
      </c>
      <c r="G881" s="41" t="n">
        <v>765</v>
      </c>
      <c r="H881" s="41" t="n">
        <v>0</v>
      </c>
      <c r="I881" s="41" t="n">
        <v>0</v>
      </c>
      <c r="J881" s="41" t="n">
        <v>0</v>
      </c>
      <c r="K881" s="41" t="n">
        <v>0</v>
      </c>
      <c r="L881" s="41" t="n">
        <v>0</v>
      </c>
    </row>
    <row r="882" customFormat="false" ht="15.75" hidden="false" customHeight="false" outlineLevel="0" collapsed="false">
      <c r="B882" s="39" t="s">
        <v>1028</v>
      </c>
      <c r="C882" s="40" t="str">
        <f aca="false">IF(B882="","",IFERROR(INDEX('CLM &amp; IM Mapping'!$B$2:$B$270,MATCH(TRIM(B882),'CLM &amp; IM Mapping'!$A$2:$A$270,0)),"Not Mapped"))</f>
        <v>Not Mapped</v>
      </c>
      <c r="D882" s="40" t="str">
        <f aca="false">IF(B882="","",IFERROR(INDEX('CLM &amp; IM Mapping'!$C$2:$C$270,MATCH(TRIM(B882),'CLM &amp; IM Mapping'!$A$2:$A$270,0)),"Not Mapped"))</f>
        <v>Not Mapped</v>
      </c>
      <c r="E882" s="41" t="n">
        <v>0</v>
      </c>
      <c r="F882" s="41" t="n">
        <v>0</v>
      </c>
      <c r="G882" s="41" t="n">
        <v>0</v>
      </c>
      <c r="H882" s="41" t="n">
        <v>0</v>
      </c>
      <c r="I882" s="41" t="n">
        <v>0</v>
      </c>
      <c r="J882" s="41" t="n">
        <v>0</v>
      </c>
      <c r="K882" s="41" t="n">
        <v>0</v>
      </c>
      <c r="L882" s="41" t="n">
        <v>0</v>
      </c>
    </row>
    <row r="883" customFormat="false" ht="15.75" hidden="false" customHeight="false" outlineLevel="0" collapsed="false">
      <c r="B883" s="39" t="s">
        <v>1029</v>
      </c>
      <c r="C883" s="40" t="str">
        <f aca="false">IF(B883="","",IFERROR(INDEX('CLM &amp; IM Mapping'!$B$2:$B$270,MATCH(TRIM(B883),'CLM &amp; IM Mapping'!$A$2:$A$270,0)),"Not Mapped"))</f>
        <v>Not Mapped</v>
      </c>
      <c r="D883" s="40" t="str">
        <f aca="false">IF(B883="","",IFERROR(INDEX('CLM &amp; IM Mapping'!$C$2:$C$270,MATCH(TRIM(B883),'CLM &amp; IM Mapping'!$A$2:$A$270,0)),"Not Mapped"))</f>
        <v>Not Mapped</v>
      </c>
      <c r="E883" s="41" t="n">
        <v>0</v>
      </c>
      <c r="F883" s="41" t="n">
        <v>0</v>
      </c>
      <c r="G883" s="41" t="n">
        <v>0</v>
      </c>
      <c r="H883" s="41" t="n">
        <v>0</v>
      </c>
      <c r="I883" s="41" t="n">
        <v>0</v>
      </c>
      <c r="J883" s="41" t="n">
        <v>0</v>
      </c>
      <c r="K883" s="41" t="n">
        <v>0</v>
      </c>
      <c r="L883" s="41" t="n">
        <v>0</v>
      </c>
    </row>
    <row r="884" customFormat="false" ht="15.75" hidden="false" customHeight="false" outlineLevel="0" collapsed="false">
      <c r="B884" s="39" t="s">
        <v>1030</v>
      </c>
      <c r="C884" s="40" t="str">
        <f aca="false">IF(B884="","",IFERROR(INDEX('CLM &amp; IM Mapping'!$B$2:$B$270,MATCH(TRIM(B884),'CLM &amp; IM Mapping'!$A$2:$A$270,0)),"Not Mapped"))</f>
        <v>Not Mapped</v>
      </c>
      <c r="D884" s="40" t="str">
        <f aca="false">IF(B884="","",IFERROR(INDEX('CLM &amp; IM Mapping'!$C$2:$C$270,MATCH(TRIM(B884),'CLM &amp; IM Mapping'!$A$2:$A$270,0)),"Not Mapped"))</f>
        <v>Not Mapped</v>
      </c>
      <c r="E884" s="41" t="n">
        <v>0</v>
      </c>
      <c r="F884" s="41" t="n">
        <v>0</v>
      </c>
      <c r="G884" s="41" t="n">
        <v>0</v>
      </c>
      <c r="H884" s="41" t="n">
        <v>0</v>
      </c>
      <c r="I884" s="41" t="n">
        <v>0</v>
      </c>
      <c r="J884" s="41" t="n">
        <v>0</v>
      </c>
      <c r="K884" s="41" t="n">
        <v>0</v>
      </c>
      <c r="L884" s="41" t="n">
        <v>0</v>
      </c>
    </row>
    <row r="885" customFormat="false" ht="15.75" hidden="false" customHeight="false" outlineLevel="0" collapsed="false">
      <c r="B885" s="39" t="s">
        <v>1031</v>
      </c>
      <c r="C885" s="40" t="str">
        <f aca="false">IF(B885="","",IFERROR(INDEX('CLM &amp; IM Mapping'!$B$2:$B$270,MATCH(TRIM(B885),'CLM &amp; IM Mapping'!$A$2:$A$270,0)),"Not Mapped"))</f>
        <v>Not Mapped</v>
      </c>
      <c r="D885" s="40" t="str">
        <f aca="false">IF(B885="","",IFERROR(INDEX('CLM &amp; IM Mapping'!$C$2:$C$270,MATCH(TRIM(B885),'CLM &amp; IM Mapping'!$A$2:$A$270,0)),"Not Mapped"))</f>
        <v>Not Mapped</v>
      </c>
      <c r="E885" s="41" t="n">
        <v>1639</v>
      </c>
      <c r="F885" s="41" t="n">
        <v>83</v>
      </c>
      <c r="G885" s="41" t="n">
        <v>1556</v>
      </c>
      <c r="H885" s="41" t="n">
        <v>0</v>
      </c>
      <c r="I885" s="41" t="n">
        <v>0</v>
      </c>
      <c r="J885" s="41" t="n">
        <v>0</v>
      </c>
      <c r="K885" s="41" t="n">
        <v>0</v>
      </c>
      <c r="L885" s="41" t="n">
        <v>0</v>
      </c>
    </row>
    <row r="886" customFormat="false" ht="15.75" hidden="false" customHeight="false" outlineLevel="0" collapsed="false">
      <c r="B886" s="23" t="s">
        <v>1032</v>
      </c>
      <c r="C886" s="44" t="str">
        <f aca="false">IF(B886="","",IFERROR(INDEX('CLM &amp; IM Mapping'!$B$2:$B$270,MATCH(TRIM(B886),'CLM &amp; IM Mapping'!$A$2:$A$270,0)),"Not Mapped"))</f>
        <v>Not Mapped</v>
      </c>
      <c r="D886" s="44" t="str">
        <f aca="false">IF(B886="","",IFERROR(INDEX('CLM &amp; IM Mapping'!$C$2:$C$270,MATCH(TRIM(B886),'CLM &amp; IM Mapping'!$A$2:$A$270,0)),"Not Mapped"))</f>
        <v>Not Mapped</v>
      </c>
      <c r="E886" s="41" t="n">
        <v>0</v>
      </c>
      <c r="F886" s="41" t="n">
        <v>0</v>
      </c>
      <c r="G886" s="41" t="n">
        <v>0</v>
      </c>
      <c r="H886" s="41" t="n">
        <v>0</v>
      </c>
      <c r="I886" s="41" t="n">
        <v>0</v>
      </c>
      <c r="J886" s="41" t="n">
        <v>0</v>
      </c>
      <c r="K886" s="41" t="n">
        <v>0</v>
      </c>
      <c r="L886" s="41" t="n">
        <v>0</v>
      </c>
    </row>
    <row r="887" customFormat="false" ht="15.75" hidden="false" customHeight="false" outlineLevel="0" collapsed="false">
      <c r="B887" s="39" t="s">
        <v>1033</v>
      </c>
      <c r="C887" s="40" t="str">
        <f aca="false">IF(B887="","",IFERROR(INDEX('CLM &amp; IM Mapping'!$B$2:$B$270,MATCH(TRIM(B887),'CLM &amp; IM Mapping'!$A$2:$A$270,0)),"Not Mapped"))</f>
        <v>Not Mapped</v>
      </c>
      <c r="D887" s="40" t="str">
        <f aca="false">IF(B887="","",IFERROR(INDEX('CLM &amp; IM Mapping'!$C$2:$C$270,MATCH(TRIM(B887),'CLM &amp; IM Mapping'!$A$2:$A$270,0)),"Not Mapped"))</f>
        <v>Not Mapped</v>
      </c>
      <c r="E887" s="41" t="n">
        <v>0</v>
      </c>
      <c r="F887" s="41" t="n">
        <v>0</v>
      </c>
      <c r="G887" s="41" t="n">
        <v>0</v>
      </c>
      <c r="H887" s="41" t="n">
        <v>0</v>
      </c>
      <c r="I887" s="41" t="n">
        <v>0</v>
      </c>
      <c r="J887" s="41" t="n">
        <v>0</v>
      </c>
      <c r="K887" s="41" t="n">
        <v>0</v>
      </c>
      <c r="L887" s="41" t="n">
        <v>0</v>
      </c>
    </row>
    <row r="888" customFormat="false" ht="15.75" hidden="false" customHeight="false" outlineLevel="0" collapsed="false">
      <c r="B888" s="39" t="s">
        <v>1034</v>
      </c>
      <c r="C888" s="40" t="str">
        <f aca="false">IF(B888="","",IFERROR(INDEX('CLM &amp; IM Mapping'!$B$2:$B$270,MATCH(TRIM(B888),'CLM &amp; IM Mapping'!$A$2:$A$270,0)),"Not Mapped"))</f>
        <v>Not Mapped</v>
      </c>
      <c r="D888" s="40" t="str">
        <f aca="false">IF(B888="","",IFERROR(INDEX('CLM &amp; IM Mapping'!$C$2:$C$270,MATCH(TRIM(B888),'CLM &amp; IM Mapping'!$A$2:$A$270,0)),"Not Mapped"))</f>
        <v>Not Mapped</v>
      </c>
      <c r="E888" s="41" t="n">
        <v>1002</v>
      </c>
      <c r="F888" s="41" t="n">
        <v>0</v>
      </c>
      <c r="G888" s="41" t="n">
        <v>1002</v>
      </c>
      <c r="H888" s="41" t="n">
        <v>0</v>
      </c>
      <c r="I888" s="41" t="n">
        <v>0</v>
      </c>
      <c r="J888" s="41" t="n">
        <v>0</v>
      </c>
      <c r="K888" s="41" t="n">
        <v>0</v>
      </c>
      <c r="L888" s="41" t="n">
        <v>0</v>
      </c>
    </row>
    <row r="889" customFormat="false" ht="15.75" hidden="false" customHeight="false" outlineLevel="0" collapsed="false">
      <c r="B889" s="39" t="s">
        <v>1035</v>
      </c>
      <c r="C889" s="40" t="str">
        <f aca="false">IF(B889="","",IFERROR(INDEX('CLM &amp; IM Mapping'!$B$2:$B$270,MATCH(TRIM(B889),'CLM &amp; IM Mapping'!$A$2:$A$270,0)),"Not Mapped"))</f>
        <v>Not Mapped</v>
      </c>
      <c r="D889" s="40" t="str">
        <f aca="false">IF(B889="","",IFERROR(INDEX('CLM &amp; IM Mapping'!$C$2:$C$270,MATCH(TRIM(B889),'CLM &amp; IM Mapping'!$A$2:$A$270,0)),"Not Mapped"))</f>
        <v>Not Mapped</v>
      </c>
      <c r="E889" s="41" t="n">
        <v>1</v>
      </c>
      <c r="F889" s="41" t="n">
        <v>0</v>
      </c>
      <c r="G889" s="41" t="n">
        <v>1</v>
      </c>
      <c r="H889" s="41" t="n">
        <v>0</v>
      </c>
      <c r="I889" s="41" t="n">
        <v>0</v>
      </c>
      <c r="J889" s="41" t="n">
        <v>0</v>
      </c>
      <c r="K889" s="41" t="n">
        <v>0</v>
      </c>
      <c r="L889" s="41" t="n">
        <v>0</v>
      </c>
    </row>
    <row r="890" customFormat="false" ht="15.75" hidden="false" customHeight="false" outlineLevel="0" collapsed="false">
      <c r="B890" s="39" t="s">
        <v>1036</v>
      </c>
      <c r="C890" s="40" t="str">
        <f aca="false">IF(B890="","",IFERROR(INDEX('CLM &amp; IM Mapping'!$B$2:$B$270,MATCH(TRIM(B890),'CLM &amp; IM Mapping'!$A$2:$A$270,0)),"Not Mapped"))</f>
        <v>Not Mapped</v>
      </c>
      <c r="D890" s="40" t="str">
        <f aca="false">IF(B890="","",IFERROR(INDEX('CLM &amp; IM Mapping'!$C$2:$C$270,MATCH(TRIM(B890),'CLM &amp; IM Mapping'!$A$2:$A$270,0)),"Not Mapped"))</f>
        <v>Not Mapped</v>
      </c>
      <c r="E890" s="41" t="n">
        <v>0</v>
      </c>
      <c r="F890" s="41" t="n">
        <v>0</v>
      </c>
      <c r="G890" s="41" t="n">
        <v>0</v>
      </c>
      <c r="H890" s="41" t="n">
        <v>0</v>
      </c>
      <c r="I890" s="41" t="n">
        <v>0</v>
      </c>
      <c r="J890" s="41" t="n">
        <v>0</v>
      </c>
      <c r="K890" s="41" t="n">
        <v>0</v>
      </c>
      <c r="L890" s="41" t="n">
        <v>0</v>
      </c>
    </row>
    <row r="891" customFormat="false" ht="15.75" hidden="false" customHeight="false" outlineLevel="0" collapsed="false">
      <c r="B891" s="39" t="s">
        <v>1037</v>
      </c>
      <c r="C891" s="40" t="str">
        <f aca="false">IF(B891="","",IFERROR(INDEX('CLM &amp; IM Mapping'!$B$2:$B$270,MATCH(TRIM(B891),'CLM &amp; IM Mapping'!$A$2:$A$270,0)),"Not Mapped"))</f>
        <v>Not Mapped</v>
      </c>
      <c r="D891" s="40" t="str">
        <f aca="false">IF(B891="","",IFERROR(INDEX('CLM &amp; IM Mapping'!$C$2:$C$270,MATCH(TRIM(B891),'CLM &amp; IM Mapping'!$A$2:$A$270,0)),"Not Mapped"))</f>
        <v>Not Mapped</v>
      </c>
      <c r="E891" s="41" t="n">
        <v>0</v>
      </c>
      <c r="F891" s="41" t="n">
        <v>0</v>
      </c>
      <c r="G891" s="41" t="n">
        <v>0</v>
      </c>
      <c r="H891" s="41" t="n">
        <v>0</v>
      </c>
      <c r="I891" s="41" t="n">
        <v>0</v>
      </c>
      <c r="J891" s="41" t="n">
        <v>0</v>
      </c>
      <c r="K891" s="41" t="n">
        <v>0</v>
      </c>
      <c r="L891" s="41" t="n">
        <v>0</v>
      </c>
    </row>
    <row r="892" customFormat="false" ht="15.75" hidden="false" customHeight="false" outlineLevel="0" collapsed="false">
      <c r="B892" s="39" t="s">
        <v>1038</v>
      </c>
      <c r="C892" s="40" t="str">
        <f aca="false">IF(B892="","",IFERROR(INDEX('CLM &amp; IM Mapping'!$B$2:$B$270,MATCH(TRIM(B892),'CLM &amp; IM Mapping'!$A$2:$A$270,0)),"Not Mapped"))</f>
        <v>Not Mapped</v>
      </c>
      <c r="D892" s="40" t="str">
        <f aca="false">IF(B892="","",IFERROR(INDEX('CLM &amp; IM Mapping'!$C$2:$C$270,MATCH(TRIM(B892),'CLM &amp; IM Mapping'!$A$2:$A$270,0)),"Not Mapped"))</f>
        <v>Not Mapped</v>
      </c>
      <c r="E892" s="41" t="n">
        <v>0</v>
      </c>
      <c r="F892" s="41" t="n">
        <v>0</v>
      </c>
      <c r="G892" s="41" t="n">
        <v>0</v>
      </c>
      <c r="H892" s="41" t="n">
        <v>0</v>
      </c>
      <c r="I892" s="41" t="n">
        <v>0</v>
      </c>
      <c r="J892" s="41" t="n">
        <v>0</v>
      </c>
      <c r="K892" s="41" t="n">
        <v>0</v>
      </c>
      <c r="L892" s="41" t="n">
        <v>0</v>
      </c>
    </row>
    <row r="893" customFormat="false" ht="15.75" hidden="false" customHeight="false" outlineLevel="0" collapsed="false">
      <c r="B893" s="39" t="s">
        <v>1039</v>
      </c>
      <c r="C893" s="40" t="str">
        <f aca="false">IF(B893="","",IFERROR(INDEX('CLM &amp; IM Mapping'!$B$2:$B$270,MATCH(TRIM(B893),'CLM &amp; IM Mapping'!$A$2:$A$270,0)),"Not Mapped"))</f>
        <v>Not Mapped</v>
      </c>
      <c r="D893" s="40" t="str">
        <f aca="false">IF(B893="","",IFERROR(INDEX('CLM &amp; IM Mapping'!$C$2:$C$270,MATCH(TRIM(B893),'CLM &amp; IM Mapping'!$A$2:$A$270,0)),"Not Mapped"))</f>
        <v>Not Mapped</v>
      </c>
      <c r="E893" s="41" t="n">
        <v>0</v>
      </c>
      <c r="F893" s="41" t="n">
        <v>0</v>
      </c>
      <c r="G893" s="41" t="n">
        <v>0</v>
      </c>
      <c r="H893" s="41" t="n">
        <v>0</v>
      </c>
      <c r="I893" s="41" t="n">
        <v>0</v>
      </c>
      <c r="J893" s="41" t="n">
        <v>0</v>
      </c>
      <c r="K893" s="41" t="n">
        <v>0</v>
      </c>
      <c r="L893" s="41" t="n">
        <v>0</v>
      </c>
    </row>
    <row r="894" customFormat="false" ht="15.75" hidden="false" customHeight="false" outlineLevel="0" collapsed="false">
      <c r="B894" s="39" t="s">
        <v>1040</v>
      </c>
      <c r="C894" s="40" t="str">
        <f aca="false">IF(B894="","",IFERROR(INDEX('CLM &amp; IM Mapping'!$B$2:$B$270,MATCH(TRIM(B894),'CLM &amp; IM Mapping'!$A$2:$A$270,0)),"Not Mapped"))</f>
        <v>Not Mapped</v>
      </c>
      <c r="D894" s="40" t="str">
        <f aca="false">IF(B894="","",IFERROR(INDEX('CLM &amp; IM Mapping'!$C$2:$C$270,MATCH(TRIM(B894),'CLM &amp; IM Mapping'!$A$2:$A$270,0)),"Not Mapped"))</f>
        <v>Not Mapped</v>
      </c>
      <c r="E894" s="41" t="n">
        <v>77</v>
      </c>
      <c r="F894" s="41" t="n">
        <v>77</v>
      </c>
      <c r="G894" s="41" t="n">
        <v>0</v>
      </c>
      <c r="H894" s="41" t="n">
        <v>0</v>
      </c>
      <c r="I894" s="41" t="n">
        <v>0</v>
      </c>
      <c r="J894" s="41" t="n">
        <v>0</v>
      </c>
      <c r="K894" s="41" t="n">
        <v>0</v>
      </c>
      <c r="L894" s="41" t="n">
        <v>0</v>
      </c>
    </row>
    <row r="895" customFormat="false" ht="15.75" hidden="false" customHeight="false" outlineLevel="0" collapsed="false">
      <c r="B895" s="39" t="s">
        <v>1041</v>
      </c>
      <c r="C895" s="40" t="str">
        <f aca="false">IF(B895="","",IFERROR(INDEX('CLM &amp; IM Mapping'!$B$2:$B$270,MATCH(TRIM(B895),'CLM &amp; IM Mapping'!$A$2:$A$270,0)),"Not Mapped"))</f>
        <v>Not Mapped</v>
      </c>
      <c r="D895" s="40" t="str">
        <f aca="false">IF(B895="","",IFERROR(INDEX('CLM &amp; IM Mapping'!$C$2:$C$270,MATCH(TRIM(B895),'CLM &amp; IM Mapping'!$A$2:$A$270,0)),"Not Mapped"))</f>
        <v>Not Mapped</v>
      </c>
      <c r="E895" s="41" t="n">
        <v>0</v>
      </c>
      <c r="F895" s="41" t="n">
        <v>0</v>
      </c>
      <c r="G895" s="41" t="n">
        <v>0</v>
      </c>
      <c r="H895" s="41" t="n">
        <v>0</v>
      </c>
      <c r="I895" s="41" t="n">
        <v>0</v>
      </c>
      <c r="J895" s="41" t="n">
        <v>0</v>
      </c>
      <c r="K895" s="41" t="n">
        <v>0</v>
      </c>
      <c r="L895" s="41" t="n">
        <v>0</v>
      </c>
    </row>
    <row r="896" customFormat="false" ht="15.75" hidden="false" customHeight="false" outlineLevel="0" collapsed="false">
      <c r="B896" s="39" t="s">
        <v>1042</v>
      </c>
      <c r="C896" s="40" t="str">
        <f aca="false">IF(B896="","",IFERROR(INDEX('CLM &amp; IM Mapping'!$B$2:$B$270,MATCH(TRIM(B896),'CLM &amp; IM Mapping'!$A$2:$A$270,0)),"Not Mapped"))</f>
        <v>Not Mapped</v>
      </c>
      <c r="D896" s="40" t="str">
        <f aca="false">IF(B896="","",IFERROR(INDEX('CLM &amp; IM Mapping'!$C$2:$C$270,MATCH(TRIM(B896),'CLM &amp; IM Mapping'!$A$2:$A$270,0)),"Not Mapped"))</f>
        <v>Not Mapped</v>
      </c>
      <c r="E896" s="41" t="n">
        <v>4614</v>
      </c>
      <c r="F896" s="41" t="n">
        <v>5</v>
      </c>
      <c r="G896" s="41" t="n">
        <v>4559</v>
      </c>
      <c r="H896" s="41" t="n">
        <v>0</v>
      </c>
      <c r="I896" s="41" t="n">
        <v>2</v>
      </c>
      <c r="J896" s="41" t="n">
        <v>0</v>
      </c>
      <c r="K896" s="41" t="n">
        <v>48</v>
      </c>
      <c r="L896" s="41" t="n">
        <v>50</v>
      </c>
    </row>
    <row r="897" customFormat="false" ht="15.75" hidden="false" customHeight="false" outlineLevel="0" collapsed="false">
      <c r="B897" s="39" t="s">
        <v>1043</v>
      </c>
      <c r="C897" s="40" t="str">
        <f aca="false">IF(B897="","",IFERROR(INDEX('CLM &amp; IM Mapping'!$B$2:$B$270,MATCH(TRIM(B897),'CLM &amp; IM Mapping'!$A$2:$A$270,0)),"Not Mapped"))</f>
        <v>Not Mapped</v>
      </c>
      <c r="D897" s="40" t="str">
        <f aca="false">IF(B897="","",IFERROR(INDEX('CLM &amp; IM Mapping'!$C$2:$C$270,MATCH(TRIM(B897),'CLM &amp; IM Mapping'!$A$2:$A$270,0)),"Not Mapped"))</f>
        <v>Not Mapped</v>
      </c>
      <c r="E897" s="41" t="n">
        <v>249</v>
      </c>
      <c r="F897" s="41" t="n">
        <v>0</v>
      </c>
      <c r="G897" s="41" t="n">
        <v>249</v>
      </c>
      <c r="H897" s="41" t="n">
        <v>0</v>
      </c>
      <c r="I897" s="41" t="n">
        <v>0</v>
      </c>
      <c r="J897" s="41" t="n">
        <v>0</v>
      </c>
      <c r="K897" s="41" t="n">
        <v>0</v>
      </c>
      <c r="L897" s="41" t="n">
        <v>0</v>
      </c>
    </row>
    <row r="898" customFormat="false" ht="15.75" hidden="false" customHeight="false" outlineLevel="0" collapsed="false">
      <c r="B898" s="39" t="s">
        <v>1044</v>
      </c>
      <c r="C898" s="40" t="str">
        <f aca="false">IF(B898="","",IFERROR(INDEX('CLM &amp; IM Mapping'!$B$2:$B$270,MATCH(TRIM(B898),'CLM &amp; IM Mapping'!$A$2:$A$270,0)),"Not Mapped"))</f>
        <v>Not Mapped</v>
      </c>
      <c r="D898" s="40" t="str">
        <f aca="false">IF(B898="","",IFERROR(INDEX('CLM &amp; IM Mapping'!$C$2:$C$270,MATCH(TRIM(B898),'CLM &amp; IM Mapping'!$A$2:$A$270,0)),"Not Mapped"))</f>
        <v>Not Mapped</v>
      </c>
      <c r="E898" s="41" t="n">
        <v>2479</v>
      </c>
      <c r="F898" s="41" t="n">
        <v>0</v>
      </c>
      <c r="G898" s="41" t="n">
        <v>2479</v>
      </c>
      <c r="H898" s="41" t="n">
        <v>0</v>
      </c>
      <c r="I898" s="41" t="n">
        <v>0</v>
      </c>
      <c r="J898" s="41" t="n">
        <v>0</v>
      </c>
      <c r="K898" s="41" t="n">
        <v>0</v>
      </c>
      <c r="L898" s="41" t="n">
        <v>0</v>
      </c>
    </row>
    <row r="899" customFormat="false" ht="15.75" hidden="false" customHeight="false" outlineLevel="0" collapsed="false">
      <c r="B899" s="39" t="s">
        <v>1045</v>
      </c>
      <c r="C899" s="40" t="str">
        <f aca="false">IF(B899="","",IFERROR(INDEX('CLM &amp; IM Mapping'!$B$2:$B$270,MATCH(TRIM(B899),'CLM &amp; IM Mapping'!$A$2:$A$270,0)),"Not Mapped"))</f>
        <v>Not Mapped</v>
      </c>
      <c r="D899" s="40" t="str">
        <f aca="false">IF(B899="","",IFERROR(INDEX('CLM &amp; IM Mapping'!$C$2:$C$270,MATCH(TRIM(B899),'CLM &amp; IM Mapping'!$A$2:$A$270,0)),"Not Mapped"))</f>
        <v>Not Mapped</v>
      </c>
      <c r="E899" s="41" t="n">
        <v>0</v>
      </c>
      <c r="F899" s="41" t="n">
        <v>0</v>
      </c>
      <c r="G899" s="41" t="n">
        <v>0</v>
      </c>
      <c r="H899" s="41" t="n">
        <v>0</v>
      </c>
      <c r="I899" s="41" t="n">
        <v>0</v>
      </c>
      <c r="J899" s="41" t="n">
        <v>0</v>
      </c>
      <c r="K899" s="41" t="n">
        <v>0</v>
      </c>
      <c r="L899" s="41" t="n">
        <v>0</v>
      </c>
    </row>
    <row r="900" customFormat="false" ht="15.75" hidden="false" customHeight="false" outlineLevel="0" collapsed="false">
      <c r="B900" s="39" t="s">
        <v>1046</v>
      </c>
      <c r="C900" s="40" t="str">
        <f aca="false">IF(B900="","",IFERROR(INDEX('CLM &amp; IM Mapping'!$B$2:$B$270,MATCH(TRIM(B900),'CLM &amp; IM Mapping'!$A$2:$A$270,0)),"Not Mapped"))</f>
        <v>Not Mapped</v>
      </c>
      <c r="D900" s="40" t="str">
        <f aca="false">IF(B900="","",IFERROR(INDEX('CLM &amp; IM Mapping'!$C$2:$C$270,MATCH(TRIM(B900),'CLM &amp; IM Mapping'!$A$2:$A$270,0)),"Not Mapped"))</f>
        <v>Not Mapped</v>
      </c>
      <c r="E900" s="41" t="n">
        <v>2198</v>
      </c>
      <c r="F900" s="41" t="n">
        <v>2030</v>
      </c>
      <c r="G900" s="41" t="n">
        <v>0</v>
      </c>
      <c r="H900" s="41" t="n">
        <v>0</v>
      </c>
      <c r="I900" s="41" t="n">
        <v>103</v>
      </c>
      <c r="J900" s="41" t="n">
        <v>0</v>
      </c>
      <c r="K900" s="41" t="n">
        <v>65</v>
      </c>
      <c r="L900" s="41" t="n">
        <v>168</v>
      </c>
    </row>
    <row r="901" customFormat="false" ht="15.75" hidden="false" customHeight="false" outlineLevel="0" collapsed="false">
      <c r="B901" s="39" t="s">
        <v>1047</v>
      </c>
      <c r="C901" s="40" t="str">
        <f aca="false">IF(B901="","",IFERROR(INDEX('CLM &amp; IM Mapping'!$B$2:$B$270,MATCH(TRIM(B901),'CLM &amp; IM Mapping'!$A$2:$A$270,0)),"Not Mapped"))</f>
        <v>Not Mapped</v>
      </c>
      <c r="D901" s="40" t="str">
        <f aca="false">IF(B901="","",IFERROR(INDEX('CLM &amp; IM Mapping'!$C$2:$C$270,MATCH(TRIM(B901),'CLM &amp; IM Mapping'!$A$2:$A$270,0)),"Not Mapped"))</f>
        <v>Not Mapped</v>
      </c>
      <c r="E901" s="41" t="n">
        <v>3387</v>
      </c>
      <c r="F901" s="41" t="n">
        <v>329</v>
      </c>
      <c r="G901" s="41" t="n">
        <v>2924</v>
      </c>
      <c r="H901" s="41" t="n">
        <v>0</v>
      </c>
      <c r="I901" s="41" t="n">
        <v>134</v>
      </c>
      <c r="J901" s="41" t="n">
        <v>0</v>
      </c>
      <c r="K901" s="41" t="n">
        <v>0</v>
      </c>
      <c r="L901" s="41" t="n">
        <v>134</v>
      </c>
    </row>
    <row r="902" customFormat="false" ht="15.75" hidden="false" customHeight="false" outlineLevel="0" collapsed="false">
      <c r="B902" s="39" t="s">
        <v>1048</v>
      </c>
      <c r="C902" s="40" t="str">
        <f aca="false">IF(B902="","",IFERROR(INDEX('CLM &amp; IM Mapping'!$B$2:$B$270,MATCH(TRIM(B902),'CLM &amp; IM Mapping'!$A$2:$A$270,0)),"Not Mapped"))</f>
        <v>Not Mapped</v>
      </c>
      <c r="D902" s="40" t="str">
        <f aca="false">IF(B902="","",IFERROR(INDEX('CLM &amp; IM Mapping'!$C$2:$C$270,MATCH(TRIM(B902),'CLM &amp; IM Mapping'!$A$2:$A$270,0)),"Not Mapped"))</f>
        <v>Not Mapped</v>
      </c>
      <c r="E902" s="41" t="n">
        <v>8238</v>
      </c>
      <c r="F902" s="41" t="n">
        <v>3252</v>
      </c>
      <c r="G902" s="41" t="n">
        <v>2811</v>
      </c>
      <c r="H902" s="41" t="n">
        <v>0</v>
      </c>
      <c r="I902" s="41" t="n">
        <v>2012</v>
      </c>
      <c r="J902" s="41" t="n">
        <v>0</v>
      </c>
      <c r="K902" s="41" t="n">
        <v>163</v>
      </c>
      <c r="L902" s="41" t="n">
        <v>2175</v>
      </c>
    </row>
    <row r="903" customFormat="false" ht="15.75" hidden="false" customHeight="false" outlineLevel="0" collapsed="false">
      <c r="B903" s="39" t="s">
        <v>1049</v>
      </c>
      <c r="C903" s="40" t="str">
        <f aca="false">IF(B903="","",IFERROR(INDEX('CLM &amp; IM Mapping'!$B$2:$B$270,MATCH(TRIM(B903),'CLM &amp; IM Mapping'!$A$2:$A$270,0)),"Not Mapped"))</f>
        <v>Not Mapped</v>
      </c>
      <c r="D903" s="40" t="str">
        <f aca="false">IF(B903="","",IFERROR(INDEX('CLM &amp; IM Mapping'!$C$2:$C$270,MATCH(TRIM(B903),'CLM &amp; IM Mapping'!$A$2:$A$270,0)),"Not Mapped"))</f>
        <v>Not Mapped</v>
      </c>
      <c r="E903" s="41" t="n">
        <v>347</v>
      </c>
      <c r="F903" s="41" t="n">
        <v>0</v>
      </c>
      <c r="G903" s="41" t="n">
        <v>0</v>
      </c>
      <c r="H903" s="41" t="n">
        <v>0</v>
      </c>
      <c r="I903" s="41" t="n">
        <v>155</v>
      </c>
      <c r="J903" s="41" t="n">
        <v>0</v>
      </c>
      <c r="K903" s="41" t="n">
        <v>192</v>
      </c>
      <c r="L903" s="41" t="n">
        <v>347</v>
      </c>
    </row>
    <row r="904" customFormat="false" ht="15.75" hidden="false" customHeight="false" outlineLevel="0" collapsed="false">
      <c r="B904" s="39" t="s">
        <v>1050</v>
      </c>
      <c r="C904" s="40" t="str">
        <f aca="false">IF(B904="","",IFERROR(INDEX('CLM &amp; IM Mapping'!$B$2:$B$270,MATCH(TRIM(B904),'CLM &amp; IM Mapping'!$A$2:$A$270,0)),"Not Mapped"))</f>
        <v>Not Mapped</v>
      </c>
      <c r="D904" s="40" t="str">
        <f aca="false">IF(B904="","",IFERROR(INDEX('CLM &amp; IM Mapping'!$C$2:$C$270,MATCH(TRIM(B904),'CLM &amp; IM Mapping'!$A$2:$A$270,0)),"Not Mapped"))</f>
        <v>Not Mapped</v>
      </c>
      <c r="E904" s="41" t="n">
        <v>4647</v>
      </c>
      <c r="F904" s="41" t="n">
        <v>3552</v>
      </c>
      <c r="G904" s="41" t="n">
        <v>0</v>
      </c>
      <c r="H904" s="41" t="n">
        <v>0</v>
      </c>
      <c r="I904" s="41" t="n">
        <v>1095</v>
      </c>
      <c r="J904" s="41" t="n">
        <v>0</v>
      </c>
      <c r="K904" s="41" t="n">
        <v>0</v>
      </c>
      <c r="L904" s="41" t="n">
        <v>1095</v>
      </c>
    </row>
    <row r="905" customFormat="false" ht="15.75" hidden="false" customHeight="false" outlineLevel="0" collapsed="false">
      <c r="B905" s="39" t="s">
        <v>1051</v>
      </c>
      <c r="C905" s="40" t="str">
        <f aca="false">IF(B905="","",IFERROR(INDEX('CLM &amp; IM Mapping'!$B$2:$B$270,MATCH(TRIM(B905),'CLM &amp; IM Mapping'!$A$2:$A$270,0)),"Not Mapped"))</f>
        <v>Not Mapped</v>
      </c>
      <c r="D905" s="40" t="str">
        <f aca="false">IF(B905="","",IFERROR(INDEX('CLM &amp; IM Mapping'!$C$2:$C$270,MATCH(TRIM(B905),'CLM &amp; IM Mapping'!$A$2:$A$270,0)),"Not Mapped"))</f>
        <v>Not Mapped</v>
      </c>
      <c r="E905" s="41" t="n">
        <v>1444</v>
      </c>
      <c r="F905" s="41" t="n">
        <v>1444</v>
      </c>
      <c r="G905" s="41" t="n">
        <v>0</v>
      </c>
      <c r="H905" s="41" t="n">
        <v>0</v>
      </c>
      <c r="I905" s="41" t="n">
        <v>0</v>
      </c>
      <c r="J905" s="41" t="n">
        <v>0</v>
      </c>
      <c r="K905" s="41" t="n">
        <v>0</v>
      </c>
      <c r="L905" s="41" t="n">
        <v>0</v>
      </c>
    </row>
    <row r="906" customFormat="false" ht="15.75" hidden="false" customHeight="false" outlineLevel="0" collapsed="false">
      <c r="B906" s="39" t="s">
        <v>1052</v>
      </c>
      <c r="C906" s="40" t="str">
        <f aca="false">IF(B906="","",IFERROR(INDEX('CLM &amp; IM Mapping'!$B$2:$B$270,MATCH(TRIM(B906),'CLM &amp; IM Mapping'!$A$2:$A$270,0)),"Not Mapped"))</f>
        <v>Not Mapped</v>
      </c>
      <c r="D906" s="40" t="str">
        <f aca="false">IF(B906="","",IFERROR(INDEX('CLM &amp; IM Mapping'!$C$2:$C$270,MATCH(TRIM(B906),'CLM &amp; IM Mapping'!$A$2:$A$270,0)),"Not Mapped"))</f>
        <v>Not Mapped</v>
      </c>
      <c r="E906" s="41" t="n">
        <v>3884</v>
      </c>
      <c r="F906" s="41" t="n">
        <v>0</v>
      </c>
      <c r="G906" s="41" t="n">
        <v>0</v>
      </c>
      <c r="H906" s="41" t="n">
        <v>0</v>
      </c>
      <c r="I906" s="41" t="n">
        <v>3884</v>
      </c>
      <c r="J906" s="41" t="n">
        <v>0</v>
      </c>
      <c r="K906" s="41" t="n">
        <v>0</v>
      </c>
      <c r="L906" s="41" t="n">
        <v>3884</v>
      </c>
    </row>
    <row r="907" customFormat="false" ht="15.75" hidden="false" customHeight="false" outlineLevel="0" collapsed="false">
      <c r="B907" s="39" t="s">
        <v>1053</v>
      </c>
      <c r="C907" s="40" t="str">
        <f aca="false">IF(B907="","",IFERROR(INDEX('CLM &amp; IM Mapping'!$B$2:$B$270,MATCH(TRIM(B907),'CLM &amp; IM Mapping'!$A$2:$A$270,0)),"Not Mapped"))</f>
        <v>Not Mapped</v>
      </c>
      <c r="D907" s="40" t="str">
        <f aca="false">IF(B907="","",IFERROR(INDEX('CLM &amp; IM Mapping'!$C$2:$C$270,MATCH(TRIM(B907),'CLM &amp; IM Mapping'!$A$2:$A$270,0)),"Not Mapped"))</f>
        <v>Not Mapped</v>
      </c>
      <c r="E907" s="41" t="n">
        <v>0</v>
      </c>
      <c r="F907" s="41" t="n">
        <v>0</v>
      </c>
      <c r="G907" s="41" t="n">
        <v>0</v>
      </c>
      <c r="H907" s="41" t="n">
        <v>0</v>
      </c>
      <c r="I907" s="41" t="n">
        <v>0</v>
      </c>
      <c r="J907" s="41" t="n">
        <v>0</v>
      </c>
      <c r="K907" s="41" t="n">
        <v>0</v>
      </c>
      <c r="L907" s="41" t="n">
        <v>0</v>
      </c>
    </row>
    <row r="908" customFormat="false" ht="15.75" hidden="false" customHeight="false" outlineLevel="0" collapsed="false">
      <c r="B908" s="39" t="s">
        <v>1054</v>
      </c>
      <c r="C908" s="40" t="str">
        <f aca="false">IF(B908="","",IFERROR(INDEX('CLM &amp; IM Mapping'!$B$2:$B$270,MATCH(TRIM(B908),'CLM &amp; IM Mapping'!$A$2:$A$270,0)),"Not Mapped"))</f>
        <v>Not Mapped</v>
      </c>
      <c r="D908" s="40" t="str">
        <f aca="false">IF(B908="","",IFERROR(INDEX('CLM &amp; IM Mapping'!$C$2:$C$270,MATCH(TRIM(B908),'CLM &amp; IM Mapping'!$A$2:$A$270,0)),"Not Mapped"))</f>
        <v>Not Mapped</v>
      </c>
      <c r="E908" s="41" t="n">
        <v>255</v>
      </c>
      <c r="F908" s="41" t="n">
        <v>255</v>
      </c>
      <c r="G908" s="41" t="n">
        <v>0</v>
      </c>
      <c r="H908" s="41" t="n">
        <v>0</v>
      </c>
      <c r="I908" s="41" t="n">
        <v>0</v>
      </c>
      <c r="J908" s="41" t="n">
        <v>0</v>
      </c>
      <c r="K908" s="41" t="n">
        <v>0</v>
      </c>
      <c r="L908" s="41" t="n">
        <v>0</v>
      </c>
    </row>
    <row r="909" customFormat="false" ht="15.75" hidden="false" customHeight="false" outlineLevel="0" collapsed="false">
      <c r="B909" s="39" t="s">
        <v>1055</v>
      </c>
      <c r="C909" s="40" t="str">
        <f aca="false">IF(B909="","",IFERROR(INDEX('CLM &amp; IM Mapping'!$B$2:$B$270,MATCH(TRIM(B909),'CLM &amp; IM Mapping'!$A$2:$A$270,0)),"Not Mapped"))</f>
        <v>Not Mapped</v>
      </c>
      <c r="D909" s="40" t="str">
        <f aca="false">IF(B909="","",IFERROR(INDEX('CLM &amp; IM Mapping'!$C$2:$C$270,MATCH(TRIM(B909),'CLM &amp; IM Mapping'!$A$2:$A$270,0)),"Not Mapped"))</f>
        <v>Not Mapped</v>
      </c>
      <c r="E909" s="41" t="n">
        <v>415</v>
      </c>
      <c r="F909" s="41" t="n">
        <v>403</v>
      </c>
      <c r="G909" s="41" t="n">
        <v>0</v>
      </c>
      <c r="H909" s="41" t="n">
        <v>0</v>
      </c>
      <c r="I909" s="41" t="n">
        <v>0</v>
      </c>
      <c r="J909" s="41" t="n">
        <v>0</v>
      </c>
      <c r="K909" s="41" t="n">
        <v>12</v>
      </c>
      <c r="L909" s="41" t="n">
        <v>12</v>
      </c>
    </row>
    <row r="910" customFormat="false" ht="15.75" hidden="false" customHeight="false" outlineLevel="0" collapsed="false">
      <c r="B910" s="39" t="s">
        <v>1056</v>
      </c>
      <c r="C910" s="40" t="str">
        <f aca="false">IF(B910="","",IFERROR(INDEX('CLM &amp; IM Mapping'!$B$2:$B$270,MATCH(TRIM(B910),'CLM &amp; IM Mapping'!$A$2:$A$270,0)),"Not Mapped"))</f>
        <v>Not Mapped</v>
      </c>
      <c r="D910" s="40" t="str">
        <f aca="false">IF(B910="","",IFERROR(INDEX('CLM &amp; IM Mapping'!$C$2:$C$270,MATCH(TRIM(B910),'CLM &amp; IM Mapping'!$A$2:$A$270,0)),"Not Mapped"))</f>
        <v>Not Mapped</v>
      </c>
      <c r="E910" s="41" t="n">
        <v>5153</v>
      </c>
      <c r="F910" s="41" t="n">
        <v>0</v>
      </c>
      <c r="G910" s="41" t="n">
        <v>0</v>
      </c>
      <c r="H910" s="41" t="n">
        <v>0</v>
      </c>
      <c r="I910" s="41" t="n">
        <v>4022</v>
      </c>
      <c r="J910" s="41" t="n">
        <v>0</v>
      </c>
      <c r="K910" s="41" t="n">
        <v>1131</v>
      </c>
      <c r="L910" s="41" t="n">
        <v>5153</v>
      </c>
    </row>
    <row r="911" customFormat="false" ht="15.75" hidden="false" customHeight="false" outlineLevel="0" collapsed="false">
      <c r="B911" s="39" t="s">
        <v>1057</v>
      </c>
      <c r="C911" s="40" t="str">
        <f aca="false">IF(B911="","",IFERROR(INDEX('CLM &amp; IM Mapping'!$B$2:$B$270,MATCH(TRIM(B911),'CLM &amp; IM Mapping'!$A$2:$A$270,0)),"Not Mapped"))</f>
        <v>Not Mapped</v>
      </c>
      <c r="D911" s="40" t="str">
        <f aca="false">IF(B911="","",IFERROR(INDEX('CLM &amp; IM Mapping'!$C$2:$C$270,MATCH(TRIM(B911),'CLM &amp; IM Mapping'!$A$2:$A$270,0)),"Not Mapped"))</f>
        <v>Not Mapped</v>
      </c>
      <c r="E911" s="41" t="n">
        <v>0</v>
      </c>
      <c r="F911" s="41" t="n">
        <v>0</v>
      </c>
      <c r="G911" s="41" t="n">
        <v>0</v>
      </c>
      <c r="H911" s="41" t="n">
        <v>0</v>
      </c>
      <c r="I911" s="41" t="n">
        <v>0</v>
      </c>
      <c r="J911" s="41" t="n">
        <v>0</v>
      </c>
      <c r="K911" s="41" t="n">
        <v>0</v>
      </c>
      <c r="L911" s="41" t="n">
        <v>0</v>
      </c>
    </row>
    <row r="912" customFormat="false" ht="15.75" hidden="false" customHeight="false" outlineLevel="0" collapsed="false">
      <c r="B912" s="39" t="s">
        <v>1058</v>
      </c>
      <c r="C912" s="40" t="str">
        <f aca="false">IF(B912="","",IFERROR(INDEX('CLM &amp; IM Mapping'!$B$2:$B$270,MATCH(TRIM(B912),'CLM &amp; IM Mapping'!$A$2:$A$270,0)),"Not Mapped"))</f>
        <v>Not Mapped</v>
      </c>
      <c r="D912" s="40" t="str">
        <f aca="false">IF(B912="","",IFERROR(INDEX('CLM &amp; IM Mapping'!$C$2:$C$270,MATCH(TRIM(B912),'CLM &amp; IM Mapping'!$A$2:$A$270,0)),"Not Mapped"))</f>
        <v>Not Mapped</v>
      </c>
      <c r="E912" s="41" t="n">
        <v>2065</v>
      </c>
      <c r="F912" s="41" t="n">
        <v>1908</v>
      </c>
      <c r="G912" s="41" t="n">
        <v>0</v>
      </c>
      <c r="H912" s="41" t="n">
        <v>0</v>
      </c>
      <c r="I912" s="41" t="n">
        <v>0</v>
      </c>
      <c r="J912" s="41" t="n">
        <v>0</v>
      </c>
      <c r="K912" s="41" t="n">
        <v>157</v>
      </c>
      <c r="L912" s="41" t="n">
        <v>157</v>
      </c>
    </row>
    <row r="913" customFormat="false" ht="15.75" hidden="false" customHeight="false" outlineLevel="0" collapsed="false">
      <c r="B913" s="39" t="s">
        <v>1059</v>
      </c>
      <c r="C913" s="40" t="str">
        <f aca="false">IF(B913="","",IFERROR(INDEX('CLM &amp; IM Mapping'!$B$2:$B$270,MATCH(TRIM(B913),'CLM &amp; IM Mapping'!$A$2:$A$270,0)),"Not Mapped"))</f>
        <v>Not Mapped</v>
      </c>
      <c r="D913" s="40" t="str">
        <f aca="false">IF(B913="","",IFERROR(INDEX('CLM &amp; IM Mapping'!$C$2:$C$270,MATCH(TRIM(B913),'CLM &amp; IM Mapping'!$A$2:$A$270,0)),"Not Mapped"))</f>
        <v>Not Mapped</v>
      </c>
      <c r="E913" s="41" t="n">
        <v>3172</v>
      </c>
      <c r="F913" s="41" t="n">
        <v>3172</v>
      </c>
      <c r="G913" s="41" t="n">
        <v>0</v>
      </c>
      <c r="H913" s="41" t="n">
        <v>0</v>
      </c>
      <c r="I913" s="41" t="n">
        <v>0</v>
      </c>
      <c r="J913" s="41" t="n">
        <v>0</v>
      </c>
      <c r="K913" s="41" t="n">
        <v>0</v>
      </c>
      <c r="L913" s="41" t="n">
        <v>0</v>
      </c>
    </row>
    <row r="914" customFormat="false" ht="15.75" hidden="false" customHeight="false" outlineLevel="0" collapsed="false">
      <c r="B914" s="39" t="s">
        <v>1060</v>
      </c>
      <c r="C914" s="40" t="str">
        <f aca="false">IF(B914="","",IFERROR(INDEX('CLM &amp; IM Mapping'!$B$2:$B$270,MATCH(TRIM(B914),'CLM &amp; IM Mapping'!$A$2:$A$270,0)),"Not Mapped"))</f>
        <v>Not Mapped</v>
      </c>
      <c r="D914" s="40" t="str">
        <f aca="false">IF(B914="","",IFERROR(INDEX('CLM &amp; IM Mapping'!$C$2:$C$270,MATCH(TRIM(B914),'CLM &amp; IM Mapping'!$A$2:$A$270,0)),"Not Mapped"))</f>
        <v>Not Mapped</v>
      </c>
      <c r="E914" s="41" t="n">
        <v>7484</v>
      </c>
      <c r="F914" s="41" t="n">
        <v>3170</v>
      </c>
      <c r="G914" s="41" t="n">
        <v>0</v>
      </c>
      <c r="H914" s="41" t="n">
        <v>0</v>
      </c>
      <c r="I914" s="41" t="n">
        <v>1804</v>
      </c>
      <c r="J914" s="41" t="n">
        <v>0</v>
      </c>
      <c r="K914" s="41" t="n">
        <v>2510</v>
      </c>
      <c r="L914" s="41" t="n">
        <v>4314</v>
      </c>
    </row>
    <row r="915" customFormat="false" ht="15.75" hidden="false" customHeight="false" outlineLevel="0" collapsed="false">
      <c r="B915" s="39" t="s">
        <v>1061</v>
      </c>
      <c r="C915" s="40" t="str">
        <f aca="false">IF(B915="","",IFERROR(INDEX('CLM &amp; IM Mapping'!$B$2:$B$270,MATCH(TRIM(B915),'CLM &amp; IM Mapping'!$A$2:$A$270,0)),"Not Mapped"))</f>
        <v>Not Mapped</v>
      </c>
      <c r="D915" s="40" t="str">
        <f aca="false">IF(B915="","",IFERROR(INDEX('CLM &amp; IM Mapping'!$C$2:$C$270,MATCH(TRIM(B915),'CLM &amp; IM Mapping'!$A$2:$A$270,0)),"Not Mapped"))</f>
        <v>Not Mapped</v>
      </c>
      <c r="E915" s="41" t="n">
        <v>1918</v>
      </c>
      <c r="F915" s="41" t="n">
        <v>1880</v>
      </c>
      <c r="G915" s="41" t="n">
        <v>0</v>
      </c>
      <c r="H915" s="41" t="n">
        <v>0</v>
      </c>
      <c r="I915" s="41" t="n">
        <v>34</v>
      </c>
      <c r="J915" s="41" t="n">
        <v>0</v>
      </c>
      <c r="K915" s="41" t="n">
        <v>4</v>
      </c>
      <c r="L915" s="41" t="n">
        <v>38</v>
      </c>
    </row>
    <row r="916" customFormat="false" ht="15.75" hidden="false" customHeight="false" outlineLevel="0" collapsed="false">
      <c r="B916" s="39" t="s">
        <v>1062</v>
      </c>
      <c r="C916" s="40" t="str">
        <f aca="false">IF(B916="","",IFERROR(INDEX('CLM &amp; IM Mapping'!$B$2:$B$270,MATCH(TRIM(B916),'CLM &amp; IM Mapping'!$A$2:$A$270,0)),"Not Mapped"))</f>
        <v>Not Mapped</v>
      </c>
      <c r="D916" s="40" t="str">
        <f aca="false">IF(B916="","",IFERROR(INDEX('CLM &amp; IM Mapping'!$C$2:$C$270,MATCH(TRIM(B916),'CLM &amp; IM Mapping'!$A$2:$A$270,0)),"Not Mapped"))</f>
        <v>Not Mapped</v>
      </c>
      <c r="E916" s="41" t="n">
        <v>0</v>
      </c>
      <c r="F916" s="41" t="n">
        <v>0</v>
      </c>
      <c r="G916" s="41" t="n">
        <v>0</v>
      </c>
      <c r="H916" s="41" t="n">
        <v>0</v>
      </c>
      <c r="I916" s="41" t="n">
        <v>0</v>
      </c>
      <c r="J916" s="41" t="n">
        <v>0</v>
      </c>
      <c r="K916" s="41" t="n">
        <v>0</v>
      </c>
      <c r="L916" s="41" t="n">
        <v>0</v>
      </c>
    </row>
    <row r="917" customFormat="false" ht="15.75" hidden="false" customHeight="false" outlineLevel="0" collapsed="false">
      <c r="B917" s="39" t="s">
        <v>1063</v>
      </c>
      <c r="C917" s="40" t="str">
        <f aca="false">IF(B917="","",IFERROR(INDEX('CLM &amp; IM Mapping'!$B$2:$B$270,MATCH(TRIM(B917),'CLM &amp; IM Mapping'!$A$2:$A$270,0)),"Not Mapped"))</f>
        <v>Not Mapped</v>
      </c>
      <c r="D917" s="40" t="str">
        <f aca="false">IF(B917="","",IFERROR(INDEX('CLM &amp; IM Mapping'!$C$2:$C$270,MATCH(TRIM(B917),'CLM &amp; IM Mapping'!$A$2:$A$270,0)),"Not Mapped"))</f>
        <v>Not Mapped</v>
      </c>
      <c r="E917" s="41" t="n">
        <v>0</v>
      </c>
      <c r="F917" s="41" t="n">
        <v>0</v>
      </c>
      <c r="G917" s="41" t="n">
        <v>0</v>
      </c>
      <c r="H917" s="41" t="n">
        <v>0</v>
      </c>
      <c r="I917" s="41" t="n">
        <v>0</v>
      </c>
      <c r="J917" s="41" t="n">
        <v>0</v>
      </c>
      <c r="K917" s="41" t="n">
        <v>0</v>
      </c>
      <c r="L917" s="41" t="n">
        <v>0</v>
      </c>
    </row>
    <row r="918" customFormat="false" ht="15.75" hidden="false" customHeight="false" outlineLevel="0" collapsed="false">
      <c r="B918" s="39" t="s">
        <v>1064</v>
      </c>
      <c r="C918" s="40" t="str">
        <f aca="false">IF(B918="","",IFERROR(INDEX('CLM &amp; IM Mapping'!$B$2:$B$270,MATCH(TRIM(B918),'CLM &amp; IM Mapping'!$A$2:$A$270,0)),"Not Mapped"))</f>
        <v>Not Mapped</v>
      </c>
      <c r="D918" s="40" t="str">
        <f aca="false">IF(B918="","",IFERROR(INDEX('CLM &amp; IM Mapping'!$C$2:$C$270,MATCH(TRIM(B918),'CLM &amp; IM Mapping'!$A$2:$A$270,0)),"Not Mapped"))</f>
        <v>Not Mapped</v>
      </c>
      <c r="E918" s="41" t="n">
        <v>0</v>
      </c>
      <c r="F918" s="41" t="n">
        <v>0</v>
      </c>
      <c r="G918" s="41" t="n">
        <v>0</v>
      </c>
      <c r="H918" s="41" t="n">
        <v>0</v>
      </c>
      <c r="I918" s="41" t="n">
        <v>0</v>
      </c>
      <c r="J918" s="41" t="n">
        <v>0</v>
      </c>
      <c r="K918" s="41" t="n">
        <v>0</v>
      </c>
      <c r="L918" s="41" t="n">
        <v>0</v>
      </c>
    </row>
    <row r="919" customFormat="false" ht="15.75" hidden="false" customHeight="false" outlineLevel="0" collapsed="false">
      <c r="B919" s="39" t="s">
        <v>1065</v>
      </c>
      <c r="C919" s="40" t="str">
        <f aca="false">IF(B919="","",IFERROR(INDEX('CLM &amp; IM Mapping'!$B$2:$B$270,MATCH(TRIM(B919),'CLM &amp; IM Mapping'!$A$2:$A$270,0)),"Not Mapped"))</f>
        <v>Not Mapped</v>
      </c>
      <c r="D919" s="40" t="str">
        <f aca="false">IF(B919="","",IFERROR(INDEX('CLM &amp; IM Mapping'!$C$2:$C$270,MATCH(TRIM(B919),'CLM &amp; IM Mapping'!$A$2:$A$270,0)),"Not Mapped"))</f>
        <v>Not Mapped</v>
      </c>
      <c r="E919" s="41" t="n">
        <v>0</v>
      </c>
      <c r="F919" s="41" t="n">
        <v>0</v>
      </c>
      <c r="G919" s="41" t="n">
        <v>0</v>
      </c>
      <c r="H919" s="41" t="n">
        <v>0</v>
      </c>
      <c r="I919" s="41" t="n">
        <v>0</v>
      </c>
      <c r="J919" s="41" t="n">
        <v>0</v>
      </c>
      <c r="K919" s="41" t="n">
        <v>0</v>
      </c>
      <c r="L919" s="41" t="n">
        <v>0</v>
      </c>
    </row>
    <row r="920" customFormat="false" ht="15.75" hidden="false" customHeight="false" outlineLevel="0" collapsed="false">
      <c r="B920" s="39" t="s">
        <v>1066</v>
      </c>
      <c r="C920" s="40" t="str">
        <f aca="false">IF(B920="","",IFERROR(INDEX('CLM &amp; IM Mapping'!$B$2:$B$270,MATCH(TRIM(B920),'CLM &amp; IM Mapping'!$A$2:$A$270,0)),"Not Mapped"))</f>
        <v>Not Mapped</v>
      </c>
      <c r="D920" s="40" t="str">
        <f aca="false">IF(B920="","",IFERROR(INDEX('CLM &amp; IM Mapping'!$C$2:$C$270,MATCH(TRIM(B920),'CLM &amp; IM Mapping'!$A$2:$A$270,0)),"Not Mapped"))</f>
        <v>Not Mapped</v>
      </c>
      <c r="E920" s="41" t="n">
        <v>0</v>
      </c>
      <c r="F920" s="41" t="n">
        <v>0</v>
      </c>
      <c r="G920" s="41" t="n">
        <v>0</v>
      </c>
      <c r="H920" s="41" t="n">
        <v>0</v>
      </c>
      <c r="I920" s="41" t="n">
        <v>0</v>
      </c>
      <c r="J920" s="41" t="n">
        <v>0</v>
      </c>
      <c r="K920" s="41" t="n">
        <v>0</v>
      </c>
      <c r="L920" s="41" t="n">
        <v>0</v>
      </c>
    </row>
    <row r="921" customFormat="false" ht="15.75" hidden="false" customHeight="false" outlineLevel="0" collapsed="false">
      <c r="B921" s="39" t="s">
        <v>1067</v>
      </c>
      <c r="C921" s="40" t="str">
        <f aca="false">IF(B921="","",IFERROR(INDEX('CLM &amp; IM Mapping'!$B$2:$B$270,MATCH(TRIM(B921),'CLM &amp; IM Mapping'!$A$2:$A$270,0)),"Not Mapped"))</f>
        <v>Not Mapped</v>
      </c>
      <c r="D921" s="40" t="str">
        <f aca="false">IF(B921="","",IFERROR(INDEX('CLM &amp; IM Mapping'!$C$2:$C$270,MATCH(TRIM(B921),'CLM &amp; IM Mapping'!$A$2:$A$270,0)),"Not Mapped"))</f>
        <v>Not Mapped</v>
      </c>
      <c r="E921" s="41" t="n">
        <v>441</v>
      </c>
      <c r="F921" s="41" t="n">
        <v>441</v>
      </c>
      <c r="G921" s="41" t="n">
        <v>0</v>
      </c>
      <c r="H921" s="41" t="n">
        <v>0</v>
      </c>
      <c r="I921" s="41" t="n">
        <v>0</v>
      </c>
      <c r="J921" s="41" t="n">
        <v>0</v>
      </c>
      <c r="K921" s="41" t="n">
        <v>0</v>
      </c>
      <c r="L921" s="41" t="n">
        <v>0</v>
      </c>
    </row>
    <row r="922" customFormat="false" ht="15.75" hidden="false" customHeight="false" outlineLevel="0" collapsed="false">
      <c r="B922" s="39" t="s">
        <v>1068</v>
      </c>
      <c r="C922" s="40" t="str">
        <f aca="false">IF(B922="","",IFERROR(INDEX('CLM &amp; IM Mapping'!$B$2:$B$270,MATCH(TRIM(B922),'CLM &amp; IM Mapping'!$A$2:$A$270,0)),"Not Mapped"))</f>
        <v>Not Mapped</v>
      </c>
      <c r="D922" s="40" t="str">
        <f aca="false">IF(B922="","",IFERROR(INDEX('CLM &amp; IM Mapping'!$C$2:$C$270,MATCH(TRIM(B922),'CLM &amp; IM Mapping'!$A$2:$A$270,0)),"Not Mapped"))</f>
        <v>Not Mapped</v>
      </c>
      <c r="E922" s="41" t="n">
        <v>1309</v>
      </c>
      <c r="F922" s="41" t="n">
        <v>1306</v>
      </c>
      <c r="G922" s="41" t="n">
        <v>0</v>
      </c>
      <c r="H922" s="41" t="n">
        <v>0</v>
      </c>
      <c r="I922" s="41" t="n">
        <v>3</v>
      </c>
      <c r="J922" s="41" t="n">
        <v>0</v>
      </c>
      <c r="K922" s="41" t="n">
        <v>0</v>
      </c>
      <c r="L922" s="41" t="n">
        <v>3</v>
      </c>
    </row>
    <row r="923" customFormat="false" ht="15.75" hidden="false" customHeight="false" outlineLevel="0" collapsed="false">
      <c r="B923" s="39" t="s">
        <v>1069</v>
      </c>
      <c r="C923" s="40" t="str">
        <f aca="false">IF(B923="","",IFERROR(INDEX('CLM &amp; IM Mapping'!$B$2:$B$270,MATCH(TRIM(B923),'CLM &amp; IM Mapping'!$A$2:$A$270,0)),"Not Mapped"))</f>
        <v>Not Mapped</v>
      </c>
      <c r="D923" s="40" t="str">
        <f aca="false">IF(B923="","",IFERROR(INDEX('CLM &amp; IM Mapping'!$C$2:$C$270,MATCH(TRIM(B923),'CLM &amp; IM Mapping'!$A$2:$A$270,0)),"Not Mapped"))</f>
        <v>Not Mapped</v>
      </c>
      <c r="E923" s="41" t="n">
        <v>1266</v>
      </c>
      <c r="F923" s="41" t="n">
        <v>0</v>
      </c>
      <c r="G923" s="41" t="n">
        <v>1266</v>
      </c>
      <c r="H923" s="41" t="n">
        <v>0</v>
      </c>
      <c r="I923" s="41" t="n">
        <v>0</v>
      </c>
      <c r="J923" s="41" t="n">
        <v>0</v>
      </c>
      <c r="K923" s="41" t="n">
        <v>0</v>
      </c>
      <c r="L923" s="41" t="n">
        <v>0</v>
      </c>
    </row>
    <row r="924" customFormat="false" ht="15.75" hidden="false" customHeight="false" outlineLevel="0" collapsed="false">
      <c r="B924" s="39" t="s">
        <v>1070</v>
      </c>
      <c r="C924" s="40" t="str">
        <f aca="false">IF(B924="","",IFERROR(INDEX('CLM &amp; IM Mapping'!$B$2:$B$270,MATCH(TRIM(B924),'CLM &amp; IM Mapping'!$A$2:$A$270,0)),"Not Mapped"))</f>
        <v>Not Mapped</v>
      </c>
      <c r="D924" s="40" t="str">
        <f aca="false">IF(B924="","",IFERROR(INDEX('CLM &amp; IM Mapping'!$C$2:$C$270,MATCH(TRIM(B924),'CLM &amp; IM Mapping'!$A$2:$A$270,0)),"Not Mapped"))</f>
        <v>Not Mapped</v>
      </c>
      <c r="E924" s="41" t="n">
        <v>877</v>
      </c>
      <c r="F924" s="41" t="n">
        <v>437</v>
      </c>
      <c r="G924" s="41" t="n">
        <v>440</v>
      </c>
      <c r="H924" s="41" t="n">
        <v>0</v>
      </c>
      <c r="I924" s="41" t="n">
        <v>0</v>
      </c>
      <c r="J924" s="41" t="n">
        <v>0</v>
      </c>
      <c r="K924" s="41" t="n">
        <v>0</v>
      </c>
      <c r="L924" s="41" t="n">
        <v>0</v>
      </c>
    </row>
    <row r="925" customFormat="false" ht="15.75" hidden="false" customHeight="false" outlineLevel="0" collapsed="false">
      <c r="B925" s="39" t="s">
        <v>1071</v>
      </c>
      <c r="C925" s="40" t="str">
        <f aca="false">IF(B925="","",IFERROR(INDEX('CLM &amp; IM Mapping'!$B$2:$B$270,MATCH(TRIM(B925),'CLM &amp; IM Mapping'!$A$2:$A$270,0)),"Not Mapped"))</f>
        <v>Not Mapped</v>
      </c>
      <c r="D925" s="40" t="str">
        <f aca="false">IF(B925="","",IFERROR(INDEX('CLM &amp; IM Mapping'!$C$2:$C$270,MATCH(TRIM(B925),'CLM &amp; IM Mapping'!$A$2:$A$270,0)),"Not Mapped"))</f>
        <v>Not Mapped</v>
      </c>
      <c r="E925" s="41" t="n">
        <v>485</v>
      </c>
      <c r="F925" s="41" t="n">
        <v>0</v>
      </c>
      <c r="G925" s="41" t="n">
        <v>485</v>
      </c>
      <c r="H925" s="41" t="n">
        <v>0</v>
      </c>
      <c r="I925" s="41" t="n">
        <v>0</v>
      </c>
      <c r="J925" s="41" t="n">
        <v>0</v>
      </c>
      <c r="K925" s="41" t="n">
        <v>0</v>
      </c>
      <c r="L925" s="41" t="n">
        <v>0</v>
      </c>
    </row>
    <row r="926" customFormat="false" ht="15.75" hidden="false" customHeight="false" outlineLevel="0" collapsed="false">
      <c r="B926" s="39" t="s">
        <v>1072</v>
      </c>
      <c r="C926" s="40" t="str">
        <f aca="false">IF(B926="","",IFERROR(INDEX('CLM &amp; IM Mapping'!$B$2:$B$270,MATCH(TRIM(B926),'CLM &amp; IM Mapping'!$A$2:$A$270,0)),"Not Mapped"))</f>
        <v>Not Mapped</v>
      </c>
      <c r="D926" s="40" t="str">
        <f aca="false">IF(B926="","",IFERROR(INDEX('CLM &amp; IM Mapping'!$C$2:$C$270,MATCH(TRIM(B926),'CLM &amp; IM Mapping'!$A$2:$A$270,0)),"Not Mapped"))</f>
        <v>Not Mapped</v>
      </c>
      <c r="E926" s="41" t="n">
        <v>0</v>
      </c>
      <c r="F926" s="41" t="n">
        <v>0</v>
      </c>
      <c r="G926" s="41" t="n">
        <v>0</v>
      </c>
      <c r="H926" s="41" t="n">
        <v>0</v>
      </c>
      <c r="I926" s="41" t="n">
        <v>0</v>
      </c>
      <c r="J926" s="41" t="n">
        <v>0</v>
      </c>
      <c r="K926" s="41" t="n">
        <v>0</v>
      </c>
      <c r="L926" s="41" t="n">
        <v>0</v>
      </c>
    </row>
    <row r="927" customFormat="false" ht="15.75" hidden="false" customHeight="false" outlineLevel="0" collapsed="false">
      <c r="B927" s="45" t="s">
        <v>1073</v>
      </c>
      <c r="C927" s="40" t="str">
        <f aca="false">IF(B927="","",IFERROR(INDEX('CLM &amp; IM Mapping'!$B$2:$B$270,MATCH(TRIM(B927),'CLM &amp; IM Mapping'!$A$2:$A$270,0)),"Not Mapped"))</f>
        <v>Not Mapped</v>
      </c>
      <c r="D927" s="40" t="str">
        <f aca="false">IF(B927="","",IFERROR(INDEX('CLM &amp; IM Mapping'!$C$2:$C$270,MATCH(TRIM(B927),'CLM &amp; IM Mapping'!$A$2:$A$270,0)),"Not Mapped"))</f>
        <v>Not Mapped</v>
      </c>
      <c r="E927" s="41" t="n">
        <v>514</v>
      </c>
      <c r="F927" s="41" t="n">
        <v>127</v>
      </c>
      <c r="G927" s="41" t="n">
        <v>387</v>
      </c>
      <c r="H927" s="41" t="n">
        <v>0</v>
      </c>
      <c r="I927" s="41" t="n">
        <v>0</v>
      </c>
      <c r="J927" s="41" t="n">
        <v>0</v>
      </c>
      <c r="K927" s="41" t="n">
        <v>0</v>
      </c>
      <c r="L927" s="41" t="n">
        <v>0</v>
      </c>
    </row>
    <row r="928" customFormat="false" ht="15.75" hidden="false" customHeight="false" outlineLevel="0" collapsed="false">
      <c r="B928" s="39" t="s">
        <v>1074</v>
      </c>
      <c r="C928" s="40" t="str">
        <f aca="false">IF(B928="","",IFERROR(INDEX('CLM &amp; IM Mapping'!$B$2:$B$270,MATCH(TRIM(B928),'CLM &amp; IM Mapping'!$A$2:$A$270,0)),"Not Mapped"))</f>
        <v>Not Mapped</v>
      </c>
      <c r="D928" s="40" t="str">
        <f aca="false">IF(B928="","",IFERROR(INDEX('CLM &amp; IM Mapping'!$C$2:$C$270,MATCH(TRIM(B928),'CLM &amp; IM Mapping'!$A$2:$A$270,0)),"Not Mapped"))</f>
        <v>Not Mapped</v>
      </c>
      <c r="E928" s="41" t="n">
        <v>0</v>
      </c>
      <c r="F928" s="41" t="n">
        <v>0</v>
      </c>
      <c r="G928" s="41" t="n">
        <v>0</v>
      </c>
      <c r="H928" s="41" t="n">
        <v>0</v>
      </c>
      <c r="I928" s="41" t="n">
        <v>0</v>
      </c>
      <c r="J928" s="41" t="n">
        <v>0</v>
      </c>
      <c r="K928" s="41" t="n">
        <v>0</v>
      </c>
      <c r="L928" s="41" t="n">
        <v>0</v>
      </c>
    </row>
    <row r="929" customFormat="false" ht="15.75" hidden="false" customHeight="false" outlineLevel="0" collapsed="false">
      <c r="B929" s="39" t="s">
        <v>1075</v>
      </c>
      <c r="C929" s="40" t="str">
        <f aca="false">IF(B929="","",IFERROR(INDEX('CLM &amp; IM Mapping'!$B$2:$B$270,MATCH(TRIM(B929),'CLM &amp; IM Mapping'!$A$2:$A$270,0)),"Not Mapped"))</f>
        <v>Not Mapped</v>
      </c>
      <c r="D929" s="40" t="str">
        <f aca="false">IF(B929="","",IFERROR(INDEX('CLM &amp; IM Mapping'!$C$2:$C$270,MATCH(TRIM(B929),'CLM &amp; IM Mapping'!$A$2:$A$270,0)),"Not Mapped"))</f>
        <v>Not Mapped</v>
      </c>
      <c r="E929" s="41" t="n">
        <v>4617</v>
      </c>
      <c r="F929" s="41" t="n">
        <v>24</v>
      </c>
      <c r="G929" s="41" t="n">
        <v>4593</v>
      </c>
      <c r="H929" s="41" t="n">
        <v>0</v>
      </c>
      <c r="I929" s="41" t="n">
        <v>0</v>
      </c>
      <c r="J929" s="41" t="n">
        <v>0</v>
      </c>
      <c r="K929" s="41" t="n">
        <v>0</v>
      </c>
      <c r="L929" s="41" t="n">
        <v>0</v>
      </c>
    </row>
    <row r="930" customFormat="false" ht="15.75" hidden="false" customHeight="false" outlineLevel="0" collapsed="false">
      <c r="B930" s="39" t="s">
        <v>1076</v>
      </c>
      <c r="C930" s="40" t="str">
        <f aca="false">IF(B930="","",IFERROR(INDEX('CLM &amp; IM Mapping'!$B$2:$B$270,MATCH(TRIM(B930),'CLM &amp; IM Mapping'!$A$2:$A$270,0)),"Not Mapped"))</f>
        <v>Not Mapped</v>
      </c>
      <c r="D930" s="40" t="str">
        <f aca="false">IF(B930="","",IFERROR(INDEX('CLM &amp; IM Mapping'!$C$2:$C$270,MATCH(TRIM(B930),'CLM &amp; IM Mapping'!$A$2:$A$270,0)),"Not Mapped"))</f>
        <v>Not Mapped</v>
      </c>
      <c r="E930" s="41" t="n">
        <v>2990</v>
      </c>
      <c r="F930" s="41" t="n">
        <v>115</v>
      </c>
      <c r="G930" s="41" t="n">
        <v>2875</v>
      </c>
      <c r="H930" s="41" t="n">
        <v>0</v>
      </c>
      <c r="I930" s="41" t="n">
        <v>0</v>
      </c>
      <c r="J930" s="41" t="n">
        <v>0</v>
      </c>
      <c r="K930" s="41" t="n">
        <v>0</v>
      </c>
      <c r="L930" s="41" t="n">
        <v>0</v>
      </c>
    </row>
    <row r="931" customFormat="false" ht="15.75" hidden="false" customHeight="false" outlineLevel="0" collapsed="false">
      <c r="B931" s="39" t="s">
        <v>1077</v>
      </c>
      <c r="C931" s="40" t="str">
        <f aca="false">IF(B931="","",IFERROR(INDEX('CLM &amp; IM Mapping'!$B$2:$B$270,MATCH(TRIM(B931),'CLM &amp; IM Mapping'!$A$2:$A$270,0)),"Not Mapped"))</f>
        <v>Not Mapped</v>
      </c>
      <c r="D931" s="40" t="str">
        <f aca="false">IF(B931="","",IFERROR(INDEX('CLM &amp; IM Mapping'!$C$2:$C$270,MATCH(TRIM(B931),'CLM &amp; IM Mapping'!$A$2:$A$270,0)),"Not Mapped"))</f>
        <v>Not Mapped</v>
      </c>
      <c r="E931" s="41" t="n">
        <v>4085</v>
      </c>
      <c r="F931" s="41" t="n">
        <v>26</v>
      </c>
      <c r="G931" s="41" t="n">
        <v>4059</v>
      </c>
      <c r="H931" s="41" t="n">
        <v>0</v>
      </c>
      <c r="I931" s="41" t="n">
        <v>0</v>
      </c>
      <c r="J931" s="41" t="n">
        <v>0</v>
      </c>
      <c r="K931" s="41" t="n">
        <v>0</v>
      </c>
      <c r="L931" s="41" t="n">
        <v>0</v>
      </c>
    </row>
    <row r="932" customFormat="false" ht="15.75" hidden="false" customHeight="false" outlineLevel="0" collapsed="false">
      <c r="B932" s="39" t="s">
        <v>1078</v>
      </c>
      <c r="C932" s="40" t="str">
        <f aca="false">IF(B932="","",IFERROR(INDEX('CLM &amp; IM Mapping'!$B$2:$B$270,MATCH(TRIM(B932),'CLM &amp; IM Mapping'!$A$2:$A$270,0)),"Not Mapped"))</f>
        <v>Not Mapped</v>
      </c>
      <c r="D932" s="40" t="str">
        <f aca="false">IF(B932="","",IFERROR(INDEX('CLM &amp; IM Mapping'!$C$2:$C$270,MATCH(TRIM(B932),'CLM &amp; IM Mapping'!$A$2:$A$270,0)),"Not Mapped"))</f>
        <v>Not Mapped</v>
      </c>
      <c r="E932" s="41" t="n">
        <v>1672</v>
      </c>
      <c r="F932" s="41" t="n">
        <v>0</v>
      </c>
      <c r="G932" s="41" t="n">
        <v>1672</v>
      </c>
      <c r="H932" s="41" t="n">
        <v>0</v>
      </c>
      <c r="I932" s="41" t="n">
        <v>0</v>
      </c>
      <c r="J932" s="41" t="n">
        <v>0</v>
      </c>
      <c r="K932" s="41" t="n">
        <v>0</v>
      </c>
      <c r="L932" s="41" t="n">
        <v>0</v>
      </c>
    </row>
    <row r="933" customFormat="false" ht="15.75" hidden="false" customHeight="false" outlineLevel="0" collapsed="false">
      <c r="B933" s="39" t="s">
        <v>1079</v>
      </c>
      <c r="C933" s="40" t="str">
        <f aca="false">IF(B933="","",IFERROR(INDEX('CLM &amp; IM Mapping'!$B$2:$B$270,MATCH(TRIM(B933),'CLM &amp; IM Mapping'!$A$2:$A$270,0)),"Not Mapped"))</f>
        <v>Not Mapped</v>
      </c>
      <c r="D933" s="40" t="str">
        <f aca="false">IF(B933="","",IFERROR(INDEX('CLM &amp; IM Mapping'!$C$2:$C$270,MATCH(TRIM(B933),'CLM &amp; IM Mapping'!$A$2:$A$270,0)),"Not Mapped"))</f>
        <v>Not Mapped</v>
      </c>
      <c r="E933" s="41" t="n">
        <v>2431</v>
      </c>
      <c r="F933" s="41" t="n">
        <v>0</v>
      </c>
      <c r="G933" s="41" t="n">
        <v>2332</v>
      </c>
      <c r="H933" s="41" t="n">
        <v>0</v>
      </c>
      <c r="I933" s="41" t="n">
        <v>99</v>
      </c>
      <c r="J933" s="41" t="n">
        <v>0</v>
      </c>
      <c r="K933" s="41" t="n">
        <v>0</v>
      </c>
      <c r="L933" s="41" t="n">
        <v>99</v>
      </c>
    </row>
    <row r="934" customFormat="false" ht="15.75" hidden="false" customHeight="false" outlineLevel="0" collapsed="false">
      <c r="B934" s="39" t="s">
        <v>80</v>
      </c>
      <c r="C934" s="40" t="str">
        <f aca="false">IF(B934="","",IFERROR(INDEX('CLM &amp; IM Mapping'!$B$2:$B$270,MATCH(TRIM(B934),'CLM &amp; IM Mapping'!$A$2:$A$270,0)),"Not Mapped"))</f>
        <v>Vishnu V</v>
      </c>
      <c r="D934" s="40" t="str">
        <f aca="false">IF(B934="","",IFERROR(INDEX('CLM &amp; IM Mapping'!$C$2:$C$270,MATCH(TRIM(B934),'CLM &amp; IM Mapping'!$A$2:$A$270,0)),"Not Mapped"))</f>
        <v>Arivind S</v>
      </c>
      <c r="E934" s="41" t="n">
        <v>3599</v>
      </c>
      <c r="F934" s="41" t="n">
        <v>3562</v>
      </c>
      <c r="G934" s="41" t="n">
        <v>37</v>
      </c>
      <c r="H934" s="41" t="n">
        <v>0</v>
      </c>
      <c r="I934" s="41" t="n">
        <v>0</v>
      </c>
      <c r="J934" s="41" t="n">
        <v>0</v>
      </c>
      <c r="K934" s="41" t="n">
        <v>0</v>
      </c>
      <c r="L934" s="41" t="n">
        <v>0</v>
      </c>
    </row>
    <row r="935" customFormat="false" ht="15.75" hidden="false" customHeight="false" outlineLevel="0" collapsed="false">
      <c r="B935" s="39" t="s">
        <v>185</v>
      </c>
      <c r="C935" s="40" t="str">
        <f aca="false">IF(B935="","",IFERROR(INDEX('CLM &amp; IM Mapping'!$B$2:$B$270,MATCH(TRIM(B935),'CLM &amp; IM Mapping'!$A$2:$A$270,0)),"Not Mapped"))</f>
        <v>Vishnu V</v>
      </c>
      <c r="D935" s="40" t="str">
        <f aca="false">IF(B935="","",IFERROR(INDEX('CLM &amp; IM Mapping'!$C$2:$C$270,MATCH(TRIM(B935),'CLM &amp; IM Mapping'!$A$2:$A$270,0)),"Not Mapped"))</f>
        <v>Arivind S</v>
      </c>
      <c r="E935" s="41" t="n">
        <v>2</v>
      </c>
      <c r="F935" s="41" t="n">
        <v>0</v>
      </c>
      <c r="G935" s="41" t="n">
        <v>0</v>
      </c>
      <c r="H935" s="41" t="n">
        <v>2</v>
      </c>
      <c r="I935" s="41" t="n">
        <v>0</v>
      </c>
      <c r="J935" s="41" t="n">
        <v>0</v>
      </c>
      <c r="K935" s="41" t="n">
        <v>0</v>
      </c>
      <c r="L935" s="41" t="n">
        <v>2</v>
      </c>
    </row>
    <row r="936" customFormat="false" ht="15.75" hidden="false" customHeight="false" outlineLevel="0" collapsed="false">
      <c r="B936" s="39" t="s">
        <v>45</v>
      </c>
      <c r="C936" s="40" t="str">
        <f aca="false">IF(B936="","",IFERROR(INDEX('CLM &amp; IM Mapping'!$B$2:$B$270,MATCH(TRIM(B936),'CLM &amp; IM Mapping'!$A$2:$A$270,0)),"Not Mapped"))</f>
        <v>Vishnu V</v>
      </c>
      <c r="D936" s="40" t="str">
        <f aca="false">IF(B936="","",IFERROR(INDEX('CLM &amp; IM Mapping'!$C$2:$C$270,MATCH(TRIM(B936),'CLM &amp; IM Mapping'!$A$2:$A$270,0)),"Not Mapped"))</f>
        <v>Arivind S</v>
      </c>
      <c r="E936" s="41" t="n">
        <v>0</v>
      </c>
      <c r="F936" s="41" t="n">
        <v>0</v>
      </c>
      <c r="G936" s="41" t="n">
        <v>0</v>
      </c>
      <c r="H936" s="41" t="n">
        <v>0</v>
      </c>
      <c r="I936" s="41" t="n">
        <v>0</v>
      </c>
      <c r="J936" s="41" t="n">
        <v>0</v>
      </c>
      <c r="K936" s="41" t="n">
        <v>0</v>
      </c>
      <c r="L936" s="41" t="n">
        <v>0</v>
      </c>
    </row>
    <row r="937" customFormat="false" ht="15.75" hidden="false" customHeight="false" outlineLevel="0" collapsed="false">
      <c r="B937" s="39" t="s">
        <v>171</v>
      </c>
      <c r="C937" s="40" t="str">
        <f aca="false">IF(B937="","",IFERROR(INDEX('CLM &amp; IM Mapping'!$B$2:$B$270,MATCH(TRIM(B937),'CLM &amp; IM Mapping'!$A$2:$A$270,0)),"Not Mapped"))</f>
        <v>Vishnu V</v>
      </c>
      <c r="D937" s="40" t="str">
        <f aca="false">IF(B937="","",IFERROR(INDEX('CLM &amp; IM Mapping'!$C$2:$C$270,MATCH(TRIM(B937),'CLM &amp; IM Mapping'!$A$2:$A$270,0)),"Not Mapped"))</f>
        <v>Arivind S</v>
      </c>
      <c r="E937" s="41" t="n">
        <v>2926</v>
      </c>
      <c r="F937" s="41" t="n">
        <v>0</v>
      </c>
      <c r="G937" s="41" t="n">
        <v>2925</v>
      </c>
      <c r="H937" s="41" t="n">
        <v>0</v>
      </c>
      <c r="I937" s="41" t="n">
        <v>0</v>
      </c>
      <c r="J937" s="41" t="n">
        <v>1</v>
      </c>
      <c r="K937" s="41" t="n">
        <v>0</v>
      </c>
      <c r="L937" s="41" t="n">
        <v>1</v>
      </c>
    </row>
    <row r="938" customFormat="false" ht="15.75" hidden="false" customHeight="false" outlineLevel="0" collapsed="false">
      <c r="B938" s="23" t="s">
        <v>136</v>
      </c>
      <c r="C938" s="44" t="str">
        <f aca="false">IF(B938="","",IFERROR(INDEX('CLM &amp; IM Mapping'!$B$2:$B$270,MATCH(TRIM(B938),'CLM &amp; IM Mapping'!$A$2:$A$270,0)),"Not Mapped"))</f>
        <v>Vishnu V</v>
      </c>
      <c r="D938" s="44" t="str">
        <f aca="false">IF(B938="","",IFERROR(INDEX('CLM &amp; IM Mapping'!$C$2:$C$270,MATCH(TRIM(B938),'CLM &amp; IM Mapping'!$A$2:$A$270,0)),"Not Mapped"))</f>
        <v>Arivind S</v>
      </c>
      <c r="E938" s="41" t="n">
        <v>0</v>
      </c>
      <c r="F938" s="41" t="n">
        <v>0</v>
      </c>
      <c r="G938" s="41" t="n">
        <v>0</v>
      </c>
      <c r="H938" s="41" t="n">
        <v>0</v>
      </c>
      <c r="I938" s="41" t="n">
        <v>0</v>
      </c>
      <c r="J938" s="41" t="n">
        <v>0</v>
      </c>
      <c r="K938" s="41" t="n">
        <v>0</v>
      </c>
      <c r="L938" s="41" t="n">
        <v>0</v>
      </c>
    </row>
    <row r="939" customFormat="false" ht="15.75" hidden="false" customHeight="false" outlineLevel="0" collapsed="false">
      <c r="B939" s="39" t="s">
        <v>52</v>
      </c>
      <c r="C939" s="40" t="str">
        <f aca="false">IF(B939="","",IFERROR(INDEX('CLM &amp; IM Mapping'!$B$2:$B$270,MATCH(TRIM(B939),'CLM &amp; IM Mapping'!$A$2:$A$270,0)),"Not Mapped"))</f>
        <v>Vishnu V</v>
      </c>
      <c r="D939" s="40" t="str">
        <f aca="false">IF(B939="","",IFERROR(INDEX('CLM &amp; IM Mapping'!$C$2:$C$270,MATCH(TRIM(B939),'CLM &amp; IM Mapping'!$A$2:$A$270,0)),"Not Mapped"))</f>
        <v>Arivind S</v>
      </c>
      <c r="E939" s="41" t="n">
        <v>1554</v>
      </c>
      <c r="F939" s="41" t="n">
        <v>0</v>
      </c>
      <c r="G939" s="41" t="n">
        <v>0</v>
      </c>
      <c r="H939" s="41" t="n">
        <v>1554</v>
      </c>
      <c r="I939" s="41" t="n">
        <v>0</v>
      </c>
      <c r="J939" s="41" t="n">
        <v>0</v>
      </c>
      <c r="K939" s="41" t="n">
        <v>0</v>
      </c>
      <c r="L939" s="41" t="n">
        <v>1554</v>
      </c>
    </row>
    <row r="940" customFormat="false" ht="15.75" hidden="false" customHeight="false" outlineLevel="0" collapsed="false">
      <c r="B940" s="39" t="s">
        <v>83</v>
      </c>
      <c r="C940" s="40" t="str">
        <f aca="false">IF(B940="","",IFERROR(INDEX('CLM &amp; IM Mapping'!$B$2:$B$270,MATCH(TRIM(B940),'CLM &amp; IM Mapping'!$A$2:$A$270,0)),"Not Mapped"))</f>
        <v>Vishnu V</v>
      </c>
      <c r="D940" s="40" t="str">
        <f aca="false">IF(B940="","",IFERROR(INDEX('CLM &amp; IM Mapping'!$C$2:$C$270,MATCH(TRIM(B940),'CLM &amp; IM Mapping'!$A$2:$A$270,0)),"Not Mapped"))</f>
        <v>Arivind S</v>
      </c>
      <c r="E940" s="41" t="n">
        <v>0</v>
      </c>
      <c r="F940" s="41" t="n">
        <v>0</v>
      </c>
      <c r="G940" s="41" t="n">
        <v>0</v>
      </c>
      <c r="H940" s="41" t="n">
        <v>0</v>
      </c>
      <c r="I940" s="41" t="n">
        <v>0</v>
      </c>
      <c r="J940" s="41" t="n">
        <v>0</v>
      </c>
      <c r="K940" s="41" t="n">
        <v>0</v>
      </c>
      <c r="L940" s="41" t="n">
        <v>0</v>
      </c>
    </row>
    <row r="941" customFormat="false" ht="15.75" hidden="false" customHeight="false" outlineLevel="0" collapsed="false">
      <c r="B941" s="39" t="s">
        <v>266</v>
      </c>
      <c r="C941" s="40" t="str">
        <f aca="false">IF(B941="","",IFERROR(INDEX('CLM &amp; IM Mapping'!$B$2:$B$270,MATCH(TRIM(B941),'CLM &amp; IM Mapping'!$A$2:$A$270,0)),"Not Mapped"))</f>
        <v>Vishnu V</v>
      </c>
      <c r="D941" s="40" t="str">
        <f aca="false">IF(B941="","",IFERROR(INDEX('CLM &amp; IM Mapping'!$C$2:$C$270,MATCH(TRIM(B941),'CLM &amp; IM Mapping'!$A$2:$A$270,0)),"Not Mapped"))</f>
        <v>Arivind S</v>
      </c>
      <c r="E941" s="41" t="n">
        <v>707</v>
      </c>
      <c r="F941" s="41" t="n">
        <v>0</v>
      </c>
      <c r="G941" s="41" t="n">
        <v>707</v>
      </c>
      <c r="H941" s="41" t="n">
        <v>0</v>
      </c>
      <c r="I941" s="41" t="n">
        <v>0</v>
      </c>
      <c r="J941" s="41" t="n">
        <v>0</v>
      </c>
      <c r="K941" s="41" t="n">
        <v>0</v>
      </c>
      <c r="L941" s="41" t="n">
        <v>0</v>
      </c>
    </row>
    <row r="942" customFormat="false" ht="15.75" hidden="false" customHeight="false" outlineLevel="0" collapsed="false">
      <c r="B942" s="39" t="s">
        <v>230</v>
      </c>
      <c r="C942" s="40" t="str">
        <f aca="false">IF(B942="","",IFERROR(INDEX('CLM &amp; IM Mapping'!$B$2:$B$270,MATCH(TRIM(B942),'CLM &amp; IM Mapping'!$A$2:$A$270,0)),"Not Mapped"))</f>
        <v>Vishnu V</v>
      </c>
      <c r="D942" s="40" t="str">
        <f aca="false">IF(B942="","",IFERROR(INDEX('CLM &amp; IM Mapping'!$C$2:$C$270,MATCH(TRIM(B942),'CLM &amp; IM Mapping'!$A$2:$A$270,0)),"Not Mapped"))</f>
        <v>Arivind S</v>
      </c>
      <c r="E942" s="41" t="n">
        <v>0</v>
      </c>
      <c r="F942" s="41" t="n">
        <v>0</v>
      </c>
      <c r="G942" s="41" t="n">
        <v>0</v>
      </c>
      <c r="H942" s="41" t="n">
        <v>0</v>
      </c>
      <c r="I942" s="41" t="n">
        <v>0</v>
      </c>
      <c r="J942" s="41" t="n">
        <v>0</v>
      </c>
      <c r="K942" s="41" t="n">
        <v>0</v>
      </c>
      <c r="L942" s="41" t="n">
        <v>0</v>
      </c>
    </row>
    <row r="943" customFormat="false" ht="15.75" hidden="false" customHeight="false" outlineLevel="0" collapsed="false">
      <c r="B943" s="39" t="s">
        <v>281</v>
      </c>
      <c r="C943" s="40" t="str">
        <f aca="false">IF(B943="","",IFERROR(INDEX('CLM &amp; IM Mapping'!$B$2:$B$270,MATCH(TRIM(B943),'CLM &amp; IM Mapping'!$A$2:$A$270,0)),"Not Mapped"))</f>
        <v>Vishnu V</v>
      </c>
      <c r="D943" s="40" t="str">
        <f aca="false">IF(B943="","",IFERROR(INDEX('CLM &amp; IM Mapping'!$C$2:$C$270,MATCH(TRIM(B943),'CLM &amp; IM Mapping'!$A$2:$A$270,0)),"Not Mapped"))</f>
        <v>Arivind S</v>
      </c>
      <c r="E943" s="41" t="n">
        <v>849</v>
      </c>
      <c r="F943" s="41" t="n">
        <v>0</v>
      </c>
      <c r="G943" s="41" t="n">
        <v>849</v>
      </c>
      <c r="H943" s="41" t="n">
        <v>0</v>
      </c>
      <c r="I943" s="41" t="n">
        <v>0</v>
      </c>
      <c r="J943" s="41" t="n">
        <v>0</v>
      </c>
      <c r="K943" s="41" t="n">
        <v>0</v>
      </c>
      <c r="L943" s="41" t="n">
        <v>0</v>
      </c>
    </row>
    <row r="944" customFormat="false" ht="15.75" hidden="false" customHeight="false" outlineLevel="0" collapsed="false">
      <c r="B944" s="39" t="s">
        <v>255</v>
      </c>
      <c r="C944" s="40" t="str">
        <f aca="false">IF(B944="","",IFERROR(INDEX('CLM &amp; IM Mapping'!$B$2:$B$270,MATCH(TRIM(B944),'CLM &amp; IM Mapping'!$A$2:$A$270,0)),"Not Mapped"))</f>
        <v>Vishnu V</v>
      </c>
      <c r="D944" s="40" t="str">
        <f aca="false">IF(B944="","",IFERROR(INDEX('CLM &amp; IM Mapping'!$C$2:$C$270,MATCH(TRIM(B944),'CLM &amp; IM Mapping'!$A$2:$A$270,0)),"Not Mapped"))</f>
        <v>Arivind S</v>
      </c>
      <c r="E944" s="41" t="n">
        <v>1212</v>
      </c>
      <c r="F944" s="41" t="n">
        <v>0</v>
      </c>
      <c r="G944" s="41" t="n">
        <v>0</v>
      </c>
      <c r="H944" s="41" t="n">
        <v>1212</v>
      </c>
      <c r="I944" s="41" t="n">
        <v>0</v>
      </c>
      <c r="J944" s="41" t="n">
        <v>0</v>
      </c>
      <c r="K944" s="41" t="n">
        <v>0</v>
      </c>
      <c r="L944" s="41" t="n">
        <v>1212</v>
      </c>
    </row>
    <row r="945" customFormat="false" ht="15.75" hidden="false" customHeight="false" outlineLevel="0" collapsed="false">
      <c r="B945" s="39" t="s">
        <v>89</v>
      </c>
      <c r="C945" s="40" t="str">
        <f aca="false">IF(B945="","",IFERROR(INDEX('CLM &amp; IM Mapping'!$B$2:$B$270,MATCH(TRIM(B945),'CLM &amp; IM Mapping'!$A$2:$A$270,0)),"Not Mapped"))</f>
        <v>Vishnu V</v>
      </c>
      <c r="D945" s="40" t="str">
        <f aca="false">IF(B945="","",IFERROR(INDEX('CLM &amp; IM Mapping'!$C$2:$C$270,MATCH(TRIM(B945),'CLM &amp; IM Mapping'!$A$2:$A$270,0)),"Not Mapped"))</f>
        <v>Arivind S</v>
      </c>
      <c r="E945" s="41" t="n">
        <v>3</v>
      </c>
      <c r="F945" s="41" t="n">
        <v>0</v>
      </c>
      <c r="G945" s="41" t="n">
        <v>0</v>
      </c>
      <c r="H945" s="41" t="n">
        <v>3</v>
      </c>
      <c r="I945" s="41" t="n">
        <v>0</v>
      </c>
      <c r="J945" s="41" t="n">
        <v>0</v>
      </c>
      <c r="K945" s="41" t="n">
        <v>0</v>
      </c>
      <c r="L945" s="41" t="n">
        <v>3</v>
      </c>
    </row>
    <row r="946" customFormat="false" ht="15.75" hidden="false" customHeight="false" outlineLevel="0" collapsed="false">
      <c r="B946" s="39" t="s">
        <v>49</v>
      </c>
      <c r="C946" s="40" t="str">
        <f aca="false">IF(B946="","",IFERROR(INDEX('CLM &amp; IM Mapping'!$B$2:$B$270,MATCH(TRIM(B946),'CLM &amp; IM Mapping'!$A$2:$A$270,0)),"Not Mapped"))</f>
        <v>Vishnu V</v>
      </c>
      <c r="D946" s="40" t="str">
        <f aca="false">IF(B946="","",IFERROR(INDEX('CLM &amp; IM Mapping'!$C$2:$C$270,MATCH(TRIM(B946),'CLM &amp; IM Mapping'!$A$2:$A$270,0)),"Not Mapped"))</f>
        <v>Arivind S</v>
      </c>
      <c r="E946" s="41" t="n">
        <v>1021</v>
      </c>
      <c r="F946" s="41" t="n">
        <v>157</v>
      </c>
      <c r="G946" s="41" t="n">
        <v>1</v>
      </c>
      <c r="H946" s="41" t="n">
        <v>863</v>
      </c>
      <c r="I946" s="41" t="n">
        <v>0</v>
      </c>
      <c r="J946" s="41" t="n">
        <v>0</v>
      </c>
      <c r="K946" s="41" t="n">
        <v>0</v>
      </c>
      <c r="L946" s="41" t="n">
        <v>863</v>
      </c>
    </row>
    <row r="947" customFormat="false" ht="15.75" hidden="false" customHeight="false" outlineLevel="0" collapsed="false">
      <c r="B947" s="51" t="s">
        <v>1080</v>
      </c>
      <c r="C947" s="40" t="str">
        <f aca="false">IF(B947="","",IFERROR(INDEX('CLM &amp; IM Mapping'!$B$2:$B$270,MATCH(TRIM(B947),'CLM &amp; IM Mapping'!$A$2:$A$270,0)),"Not Mapped"))</f>
        <v>Not Mapped</v>
      </c>
      <c r="D947" s="40" t="str">
        <f aca="false">IF(B947="","",IFERROR(INDEX('CLM &amp; IM Mapping'!$C$2:$C$270,MATCH(TRIM(B947),'CLM &amp; IM Mapping'!$A$2:$A$270,0)),"Not Mapped"))</f>
        <v>Not Mapped</v>
      </c>
      <c r="E947" s="41" t="n">
        <v>34</v>
      </c>
      <c r="F947" s="41" t="n">
        <v>0</v>
      </c>
      <c r="G947" s="41" t="n">
        <v>0</v>
      </c>
      <c r="H947" s="41" t="n">
        <v>0</v>
      </c>
      <c r="I947" s="41" t="n">
        <v>34</v>
      </c>
      <c r="J947" s="41" t="n">
        <v>0</v>
      </c>
      <c r="K947" s="41" t="n">
        <v>0</v>
      </c>
      <c r="L947" s="41" t="n">
        <v>34</v>
      </c>
    </row>
    <row r="948" customFormat="false" ht="15.75" hidden="false" customHeight="false" outlineLevel="0" collapsed="false">
      <c r="B948" s="39" t="s">
        <v>1081</v>
      </c>
      <c r="C948" s="40" t="str">
        <f aca="false">IF(B948="","",IFERROR(INDEX('CLM &amp; IM Mapping'!$B$2:$B$270,MATCH(TRIM(B948),'CLM &amp; IM Mapping'!$A$2:$A$270,0)),"Not Mapped"))</f>
        <v>Not Mapped</v>
      </c>
      <c r="D948" s="40" t="str">
        <f aca="false">IF(B948="","",IFERROR(INDEX('CLM &amp; IM Mapping'!$C$2:$C$270,MATCH(TRIM(B948),'CLM &amp; IM Mapping'!$A$2:$A$270,0)),"Not Mapped"))</f>
        <v>Not Mapped</v>
      </c>
      <c r="E948" s="41" t="n">
        <v>0</v>
      </c>
      <c r="F948" s="41" t="n">
        <v>0</v>
      </c>
      <c r="G948" s="41" t="n">
        <v>0</v>
      </c>
      <c r="H948" s="41" t="n">
        <v>0</v>
      </c>
      <c r="I948" s="41" t="n">
        <v>0</v>
      </c>
      <c r="J948" s="41" t="n">
        <v>0</v>
      </c>
      <c r="K948" s="41" t="n">
        <v>0</v>
      </c>
      <c r="L948" s="41" t="n">
        <v>0</v>
      </c>
    </row>
    <row r="949" customFormat="false" ht="15.75" hidden="false" customHeight="false" outlineLevel="0" collapsed="false">
      <c r="B949" s="39" t="s">
        <v>1082</v>
      </c>
      <c r="C949" s="40" t="str">
        <f aca="false">IF(B949="","",IFERROR(INDEX('CLM &amp; IM Mapping'!$B$2:$B$270,MATCH(TRIM(B949),'CLM &amp; IM Mapping'!$A$2:$A$270,0)),"Not Mapped"))</f>
        <v>Not Mapped</v>
      </c>
      <c r="D949" s="40" t="str">
        <f aca="false">IF(B949="","",IFERROR(INDEX('CLM &amp; IM Mapping'!$C$2:$C$270,MATCH(TRIM(B949),'CLM &amp; IM Mapping'!$A$2:$A$270,0)),"Not Mapped"))</f>
        <v>Not Mapped</v>
      </c>
      <c r="E949" s="41" t="n">
        <v>391</v>
      </c>
      <c r="F949" s="41" t="n">
        <v>301</v>
      </c>
      <c r="G949" s="41" t="n">
        <v>90</v>
      </c>
      <c r="H949" s="41" t="n">
        <v>0</v>
      </c>
      <c r="I949" s="41" t="n">
        <v>0</v>
      </c>
      <c r="J949" s="41" t="n">
        <v>0</v>
      </c>
      <c r="K949" s="41" t="n">
        <v>0</v>
      </c>
      <c r="L949" s="41" t="n">
        <v>0</v>
      </c>
    </row>
    <row r="950" customFormat="false" ht="15.75" hidden="false" customHeight="false" outlineLevel="0" collapsed="false">
      <c r="B950" s="39" t="s">
        <v>1083</v>
      </c>
      <c r="C950" s="40" t="str">
        <f aca="false">IF(B950="","",IFERROR(INDEX('CLM &amp; IM Mapping'!$B$2:$B$270,MATCH(TRIM(B950),'CLM &amp; IM Mapping'!$A$2:$A$270,0)),"Not Mapped"))</f>
        <v>Not Mapped</v>
      </c>
      <c r="D950" s="40" t="str">
        <f aca="false">IF(B950="","",IFERROR(INDEX('CLM &amp; IM Mapping'!$C$2:$C$270,MATCH(TRIM(B950),'CLM &amp; IM Mapping'!$A$2:$A$270,0)),"Not Mapped"))</f>
        <v>Not Mapped</v>
      </c>
      <c r="E950" s="41" t="n">
        <v>4634</v>
      </c>
      <c r="F950" s="41" t="n">
        <v>1646</v>
      </c>
      <c r="G950" s="41" t="n">
        <v>1524</v>
      </c>
      <c r="H950" s="41" t="n">
        <v>1357</v>
      </c>
      <c r="I950" s="41" t="n">
        <v>107</v>
      </c>
      <c r="J950" s="41" t="n">
        <v>0</v>
      </c>
      <c r="K950" s="41" t="n">
        <v>0</v>
      </c>
      <c r="L950" s="41" t="n">
        <v>1464</v>
      </c>
    </row>
    <row r="951" customFormat="false" ht="15.75" hidden="false" customHeight="false" outlineLevel="0" collapsed="false">
      <c r="B951" s="39" t="s">
        <v>1084</v>
      </c>
      <c r="C951" s="40" t="str">
        <f aca="false">IF(B951="","",IFERROR(INDEX('CLM &amp; IM Mapping'!$B$2:$B$270,MATCH(TRIM(B951),'CLM &amp; IM Mapping'!$A$2:$A$270,0)),"Not Mapped"))</f>
        <v>Not Mapped</v>
      </c>
      <c r="D951" s="40" t="str">
        <f aca="false">IF(B951="","",IFERROR(INDEX('CLM &amp; IM Mapping'!$C$2:$C$270,MATCH(TRIM(B951),'CLM &amp; IM Mapping'!$A$2:$A$270,0)),"Not Mapped"))</f>
        <v>Not Mapped</v>
      </c>
      <c r="E951" s="41" t="n">
        <v>0</v>
      </c>
      <c r="F951" s="41" t="n">
        <v>0</v>
      </c>
      <c r="G951" s="41" t="n">
        <v>0</v>
      </c>
      <c r="H951" s="41" t="n">
        <v>0</v>
      </c>
      <c r="I951" s="41" t="n">
        <v>0</v>
      </c>
      <c r="J951" s="41" t="n">
        <v>0</v>
      </c>
      <c r="K951" s="41" t="n">
        <v>0</v>
      </c>
      <c r="L951" s="41" t="n">
        <v>0</v>
      </c>
    </row>
    <row r="952" customFormat="false" ht="15.75" hidden="false" customHeight="false" outlineLevel="0" collapsed="false">
      <c r="B952" s="39" t="s">
        <v>1085</v>
      </c>
      <c r="C952" s="40" t="str">
        <f aca="false">IF(B952="","",IFERROR(INDEX('CLM &amp; IM Mapping'!$B$2:$B$270,MATCH(TRIM(B952),'CLM &amp; IM Mapping'!$A$2:$A$270,0)),"Not Mapped"))</f>
        <v>Not Mapped</v>
      </c>
      <c r="D952" s="40" t="str">
        <f aca="false">IF(B952="","",IFERROR(INDEX('CLM &amp; IM Mapping'!$C$2:$C$270,MATCH(TRIM(B952),'CLM &amp; IM Mapping'!$A$2:$A$270,0)),"Not Mapped"))</f>
        <v>Not Mapped</v>
      </c>
      <c r="E952" s="41" t="n">
        <v>3392</v>
      </c>
      <c r="F952" s="41" t="n">
        <v>0</v>
      </c>
      <c r="G952" s="41" t="n">
        <v>3201</v>
      </c>
      <c r="H952" s="41" t="n">
        <v>191</v>
      </c>
      <c r="I952" s="41" t="n">
        <v>0</v>
      </c>
      <c r="J952" s="41" t="n">
        <v>0</v>
      </c>
      <c r="K952" s="41" t="n">
        <v>0</v>
      </c>
      <c r="L952" s="41" t="n">
        <v>191</v>
      </c>
    </row>
    <row r="953" customFormat="false" ht="15.75" hidden="false" customHeight="false" outlineLevel="0" collapsed="false">
      <c r="B953" s="39" t="s">
        <v>1086</v>
      </c>
      <c r="C953" s="40" t="str">
        <f aca="false">IF(B953="","",IFERROR(INDEX('CLM &amp; IM Mapping'!$B$2:$B$270,MATCH(TRIM(B953),'CLM &amp; IM Mapping'!$A$2:$A$270,0)),"Not Mapped"))</f>
        <v>Not Mapped</v>
      </c>
      <c r="D953" s="40" t="str">
        <f aca="false">IF(B953="","",IFERROR(INDEX('CLM &amp; IM Mapping'!$C$2:$C$270,MATCH(TRIM(B953),'CLM &amp; IM Mapping'!$A$2:$A$270,0)),"Not Mapped"))</f>
        <v>Not Mapped</v>
      </c>
      <c r="E953" s="41" t="n">
        <v>975</v>
      </c>
      <c r="F953" s="41" t="n">
        <v>0</v>
      </c>
      <c r="G953" s="41" t="n">
        <v>975</v>
      </c>
      <c r="H953" s="41" t="n">
        <v>0</v>
      </c>
      <c r="I953" s="41" t="n">
        <v>0</v>
      </c>
      <c r="J953" s="41" t="n">
        <v>0</v>
      </c>
      <c r="K953" s="41" t="n">
        <v>0</v>
      </c>
      <c r="L953" s="41" t="n">
        <v>0</v>
      </c>
    </row>
    <row r="954" customFormat="false" ht="15.75" hidden="false" customHeight="false" outlineLevel="0" collapsed="false">
      <c r="B954" s="39" t="s">
        <v>1087</v>
      </c>
      <c r="C954" s="40" t="str">
        <f aca="false">IF(B954="","",IFERROR(INDEX('CLM &amp; IM Mapping'!$B$2:$B$270,MATCH(TRIM(B954),'CLM &amp; IM Mapping'!$A$2:$A$270,0)),"Not Mapped"))</f>
        <v>Not Mapped</v>
      </c>
      <c r="D954" s="40" t="str">
        <f aca="false">IF(B954="","",IFERROR(INDEX('CLM &amp; IM Mapping'!$C$2:$C$270,MATCH(TRIM(B954),'CLM &amp; IM Mapping'!$A$2:$A$270,0)),"Not Mapped"))</f>
        <v>Not Mapped</v>
      </c>
      <c r="E954" s="41" t="n">
        <v>1435</v>
      </c>
      <c r="F954" s="41" t="n">
        <v>1233</v>
      </c>
      <c r="G954" s="41" t="n">
        <v>202</v>
      </c>
      <c r="H954" s="41" t="n">
        <v>0</v>
      </c>
      <c r="I954" s="41" t="n">
        <v>0</v>
      </c>
      <c r="J954" s="41" t="n">
        <v>0</v>
      </c>
      <c r="K954" s="41" t="n">
        <v>0</v>
      </c>
      <c r="L954" s="41" t="n">
        <v>0</v>
      </c>
    </row>
    <row r="955" customFormat="false" ht="15.75" hidden="false" customHeight="false" outlineLevel="0" collapsed="false">
      <c r="B955" s="39" t="s">
        <v>1088</v>
      </c>
      <c r="C955" s="40" t="str">
        <f aca="false">IF(B955="","",IFERROR(INDEX('CLM &amp; IM Mapping'!$B$2:$B$270,MATCH(TRIM(B955),'CLM &amp; IM Mapping'!$A$2:$A$270,0)),"Not Mapped"))</f>
        <v>Not Mapped</v>
      </c>
      <c r="D955" s="40" t="str">
        <f aca="false">IF(B955="","",IFERROR(INDEX('CLM &amp; IM Mapping'!$C$2:$C$270,MATCH(TRIM(B955),'CLM &amp; IM Mapping'!$A$2:$A$270,0)),"Not Mapped"))</f>
        <v>Not Mapped</v>
      </c>
      <c r="E955" s="41" t="n">
        <v>473</v>
      </c>
      <c r="F955" s="41" t="n">
        <v>0</v>
      </c>
      <c r="G955" s="41" t="n">
        <v>473</v>
      </c>
      <c r="H955" s="41" t="n">
        <v>0</v>
      </c>
      <c r="I955" s="41" t="n">
        <v>0</v>
      </c>
      <c r="J955" s="41" t="n">
        <v>0</v>
      </c>
      <c r="K955" s="41" t="n">
        <v>0</v>
      </c>
      <c r="L955" s="41" t="n">
        <v>0</v>
      </c>
    </row>
    <row r="956" customFormat="false" ht="15.75" hidden="false" customHeight="false" outlineLevel="0" collapsed="false">
      <c r="B956" s="39" t="s">
        <v>1089</v>
      </c>
      <c r="C956" s="40" t="str">
        <f aca="false">IF(B956="","",IFERROR(INDEX('CLM &amp; IM Mapping'!$B$2:$B$270,MATCH(TRIM(B956),'CLM &amp; IM Mapping'!$A$2:$A$270,0)),"Not Mapped"))</f>
        <v>Not Mapped</v>
      </c>
      <c r="D956" s="40" t="str">
        <f aca="false">IF(B956="","",IFERROR(INDEX('CLM &amp; IM Mapping'!$C$2:$C$270,MATCH(TRIM(B956),'CLM &amp; IM Mapping'!$A$2:$A$270,0)),"Not Mapped"))</f>
        <v>Not Mapped</v>
      </c>
      <c r="E956" s="41" t="n">
        <v>0</v>
      </c>
      <c r="F956" s="41" t="n">
        <v>0</v>
      </c>
      <c r="G956" s="41" t="n">
        <v>0</v>
      </c>
      <c r="H956" s="41" t="n">
        <v>0</v>
      </c>
      <c r="I956" s="41" t="n">
        <v>0</v>
      </c>
      <c r="J956" s="41" t="n">
        <v>0</v>
      </c>
      <c r="K956" s="41" t="n">
        <v>0</v>
      </c>
      <c r="L956" s="41" t="n">
        <v>0</v>
      </c>
    </row>
    <row r="957" customFormat="false" ht="15.75" hidden="false" customHeight="false" outlineLevel="0" collapsed="false">
      <c r="B957" s="39" t="s">
        <v>1090</v>
      </c>
      <c r="C957" s="40" t="str">
        <f aca="false">IF(B957="","",IFERROR(INDEX('CLM &amp; IM Mapping'!$B$2:$B$270,MATCH(TRIM(B957),'CLM &amp; IM Mapping'!$A$2:$A$270,0)),"Not Mapped"))</f>
        <v>Not Mapped</v>
      </c>
      <c r="D957" s="40" t="str">
        <f aca="false">IF(B957="","",IFERROR(INDEX('CLM &amp; IM Mapping'!$C$2:$C$270,MATCH(TRIM(B957),'CLM &amp; IM Mapping'!$A$2:$A$270,0)),"Not Mapped"))</f>
        <v>Not Mapped</v>
      </c>
      <c r="E957" s="41" t="n">
        <v>553</v>
      </c>
      <c r="F957" s="41" t="n">
        <v>0</v>
      </c>
      <c r="G957" s="41" t="n">
        <v>52</v>
      </c>
      <c r="H957" s="41" t="n">
        <v>501</v>
      </c>
      <c r="I957" s="41" t="n">
        <v>0</v>
      </c>
      <c r="J957" s="41" t="n">
        <v>0</v>
      </c>
      <c r="K957" s="41" t="n">
        <v>0</v>
      </c>
      <c r="L957" s="41" t="n">
        <v>501</v>
      </c>
    </row>
    <row r="958" customFormat="false" ht="15.75" hidden="false" customHeight="false" outlineLevel="0" collapsed="false">
      <c r="B958" s="39" t="s">
        <v>1091</v>
      </c>
      <c r="C958" s="40" t="str">
        <f aca="false">IF(B958="","",IFERROR(INDEX('CLM &amp; IM Mapping'!$B$2:$B$270,MATCH(TRIM(B958),'CLM &amp; IM Mapping'!$A$2:$A$270,0)),"Not Mapped"))</f>
        <v>Not Mapped</v>
      </c>
      <c r="D958" s="40" t="str">
        <f aca="false">IF(B958="","",IFERROR(INDEX('CLM &amp; IM Mapping'!$C$2:$C$270,MATCH(TRIM(B958),'CLM &amp; IM Mapping'!$A$2:$A$270,0)),"Not Mapped"))</f>
        <v>Not Mapped</v>
      </c>
      <c r="E958" s="41" t="n">
        <v>780</v>
      </c>
      <c r="F958" s="41" t="n">
        <v>780</v>
      </c>
      <c r="G958" s="41" t="n">
        <v>0</v>
      </c>
      <c r="H958" s="41" t="n">
        <v>0</v>
      </c>
      <c r="I958" s="41" t="n">
        <v>0</v>
      </c>
      <c r="J958" s="41" t="n">
        <v>0</v>
      </c>
      <c r="K958" s="41" t="n">
        <v>0</v>
      </c>
      <c r="L958" s="41" t="n">
        <v>0</v>
      </c>
    </row>
    <row r="959" customFormat="false" ht="15.75" hidden="false" customHeight="false" outlineLevel="0" collapsed="false">
      <c r="B959" s="39" t="s">
        <v>1092</v>
      </c>
      <c r="C959" s="40" t="str">
        <f aca="false">IF(B959="","",IFERROR(INDEX('CLM &amp; IM Mapping'!$B$2:$B$270,MATCH(TRIM(B959),'CLM &amp; IM Mapping'!$A$2:$A$270,0)),"Not Mapped"))</f>
        <v>Not Mapped</v>
      </c>
      <c r="D959" s="40" t="str">
        <f aca="false">IF(B959="","",IFERROR(INDEX('CLM &amp; IM Mapping'!$C$2:$C$270,MATCH(TRIM(B959),'CLM &amp; IM Mapping'!$A$2:$A$270,0)),"Not Mapped"))</f>
        <v>Not Mapped</v>
      </c>
      <c r="E959" s="41" t="n">
        <v>1</v>
      </c>
      <c r="F959" s="41" t="n">
        <v>1</v>
      </c>
      <c r="G959" s="41" t="n">
        <v>0</v>
      </c>
      <c r="H959" s="41" t="n">
        <v>0</v>
      </c>
      <c r="I959" s="41" t="n">
        <v>0</v>
      </c>
      <c r="J959" s="41" t="n">
        <v>0</v>
      </c>
      <c r="K959" s="41" t="n">
        <v>0</v>
      </c>
      <c r="L959" s="41" t="n">
        <v>0</v>
      </c>
    </row>
    <row r="960" customFormat="false" ht="15.75" hidden="false" customHeight="false" outlineLevel="0" collapsed="false">
      <c r="B960" s="39" t="s">
        <v>1093</v>
      </c>
      <c r="C960" s="40" t="str">
        <f aca="false">IF(B960="","",IFERROR(INDEX('CLM &amp; IM Mapping'!$B$2:$B$270,MATCH(TRIM(B960),'CLM &amp; IM Mapping'!$A$2:$A$270,0)),"Not Mapped"))</f>
        <v>Not Mapped</v>
      </c>
      <c r="D960" s="40" t="str">
        <f aca="false">IF(B960="","",IFERROR(INDEX('CLM &amp; IM Mapping'!$C$2:$C$270,MATCH(TRIM(B960),'CLM &amp; IM Mapping'!$A$2:$A$270,0)),"Not Mapped"))</f>
        <v>Not Mapped</v>
      </c>
      <c r="E960" s="41" t="n">
        <v>0</v>
      </c>
      <c r="F960" s="41" t="n">
        <v>0</v>
      </c>
      <c r="G960" s="41" t="n">
        <v>0</v>
      </c>
      <c r="H960" s="41" t="n">
        <v>0</v>
      </c>
      <c r="I960" s="41" t="n">
        <v>0</v>
      </c>
      <c r="J960" s="41" t="n">
        <v>0</v>
      </c>
      <c r="K960" s="41" t="n">
        <v>0</v>
      </c>
      <c r="L960" s="41" t="n">
        <v>0</v>
      </c>
    </row>
    <row r="961" customFormat="false" ht="15.75" hidden="false" customHeight="false" outlineLevel="0" collapsed="false">
      <c r="B961" s="39" t="s">
        <v>1094</v>
      </c>
      <c r="C961" s="40" t="str">
        <f aca="false">IF(B961="","",IFERROR(INDEX('CLM &amp; IM Mapping'!$B$2:$B$270,MATCH(TRIM(B961),'CLM &amp; IM Mapping'!$A$2:$A$270,0)),"Not Mapped"))</f>
        <v>Not Mapped</v>
      </c>
      <c r="D961" s="40" t="str">
        <f aca="false">IF(B961="","",IFERROR(INDEX('CLM &amp; IM Mapping'!$C$2:$C$270,MATCH(TRIM(B961),'CLM &amp; IM Mapping'!$A$2:$A$270,0)),"Not Mapped"))</f>
        <v>Not Mapped</v>
      </c>
      <c r="E961" s="41" t="n">
        <v>10172</v>
      </c>
      <c r="F961" s="41" t="n">
        <v>3942</v>
      </c>
      <c r="G961" s="41" t="n">
        <v>2244</v>
      </c>
      <c r="H961" s="41" t="n">
        <v>0</v>
      </c>
      <c r="I961" s="41" t="n">
        <v>1909</v>
      </c>
      <c r="J961" s="41" t="n">
        <v>0</v>
      </c>
      <c r="K961" s="41" t="n">
        <v>2077</v>
      </c>
      <c r="L961" s="41" t="n">
        <v>3986</v>
      </c>
    </row>
    <row r="962" customFormat="false" ht="15.75" hidden="false" customHeight="false" outlineLevel="0" collapsed="false">
      <c r="B962" s="39" t="s">
        <v>1095</v>
      </c>
      <c r="C962" s="40" t="str">
        <f aca="false">IF(B962="","",IFERROR(INDEX('CLM &amp; IM Mapping'!$B$2:$B$270,MATCH(TRIM(B962),'CLM &amp; IM Mapping'!$A$2:$A$270,0)),"Not Mapped"))</f>
        <v>Not Mapped</v>
      </c>
      <c r="D962" s="40" t="str">
        <f aca="false">IF(B962="","",IFERROR(INDEX('CLM &amp; IM Mapping'!$C$2:$C$270,MATCH(TRIM(B962),'CLM &amp; IM Mapping'!$A$2:$A$270,0)),"Not Mapped"))</f>
        <v>Not Mapped</v>
      </c>
      <c r="E962" s="41" t="n">
        <v>2610</v>
      </c>
      <c r="F962" s="41" t="n">
        <v>2207</v>
      </c>
      <c r="G962" s="41" t="n">
        <v>0</v>
      </c>
      <c r="H962" s="41" t="n">
        <v>0</v>
      </c>
      <c r="I962" s="41" t="n">
        <v>325</v>
      </c>
      <c r="J962" s="41" t="n">
        <v>0</v>
      </c>
      <c r="K962" s="41" t="n">
        <v>78</v>
      </c>
      <c r="L962" s="41" t="n">
        <v>403</v>
      </c>
    </row>
    <row r="963" customFormat="false" ht="15.75" hidden="false" customHeight="false" outlineLevel="0" collapsed="false">
      <c r="B963" s="39" t="s">
        <v>1096</v>
      </c>
      <c r="C963" s="40" t="str">
        <f aca="false">IF(B963="","",IFERROR(INDEX('CLM &amp; IM Mapping'!$B$2:$B$270,MATCH(TRIM(B963),'CLM &amp; IM Mapping'!$A$2:$A$270,0)),"Not Mapped"))</f>
        <v>Not Mapped</v>
      </c>
      <c r="D963" s="40" t="str">
        <f aca="false">IF(B963="","",IFERROR(INDEX('CLM &amp; IM Mapping'!$C$2:$C$270,MATCH(TRIM(B963),'CLM &amp; IM Mapping'!$A$2:$A$270,0)),"Not Mapped"))</f>
        <v>Not Mapped</v>
      </c>
      <c r="E963" s="41" t="n">
        <v>699</v>
      </c>
      <c r="F963" s="41" t="n">
        <v>693</v>
      </c>
      <c r="G963" s="41" t="n">
        <v>0</v>
      </c>
      <c r="H963" s="41" t="n">
        <v>6</v>
      </c>
      <c r="I963" s="41" t="n">
        <v>0</v>
      </c>
      <c r="J963" s="41" t="n">
        <v>0</v>
      </c>
      <c r="K963" s="41" t="n">
        <v>0</v>
      </c>
      <c r="L963" s="41" t="n">
        <v>6</v>
      </c>
    </row>
    <row r="964" customFormat="false" ht="15.75" hidden="false" customHeight="false" outlineLevel="0" collapsed="false">
      <c r="B964" s="39" t="s">
        <v>1097</v>
      </c>
      <c r="C964" s="40" t="str">
        <f aca="false">IF(B964="","",IFERROR(INDEX('CLM &amp; IM Mapping'!$B$2:$B$270,MATCH(TRIM(B964),'CLM &amp; IM Mapping'!$A$2:$A$270,0)),"Not Mapped"))</f>
        <v>Not Mapped</v>
      </c>
      <c r="D964" s="40" t="str">
        <f aca="false">IF(B964="","",IFERROR(INDEX('CLM &amp; IM Mapping'!$C$2:$C$270,MATCH(TRIM(B964),'CLM &amp; IM Mapping'!$A$2:$A$270,0)),"Not Mapped"))</f>
        <v>Not Mapped</v>
      </c>
      <c r="E964" s="41" t="n">
        <v>0</v>
      </c>
      <c r="F964" s="41" t="n">
        <v>0</v>
      </c>
      <c r="G964" s="41" t="n">
        <v>0</v>
      </c>
      <c r="H964" s="41" t="n">
        <v>0</v>
      </c>
      <c r="I964" s="41" t="n">
        <v>0</v>
      </c>
      <c r="J964" s="41" t="n">
        <v>0</v>
      </c>
      <c r="K964" s="41" t="n">
        <v>0</v>
      </c>
      <c r="L964" s="41" t="n">
        <v>0</v>
      </c>
    </row>
    <row r="965" customFormat="false" ht="15.75" hidden="false" customHeight="false" outlineLevel="0" collapsed="false">
      <c r="B965" s="39" t="s">
        <v>1098</v>
      </c>
      <c r="C965" s="40" t="str">
        <f aca="false">IF(B965="","",IFERROR(INDEX('CLM &amp; IM Mapping'!$B$2:$B$270,MATCH(TRIM(B965),'CLM &amp; IM Mapping'!$A$2:$A$270,0)),"Not Mapped"))</f>
        <v>Not Mapped</v>
      </c>
      <c r="D965" s="40" t="str">
        <f aca="false">IF(B965="","",IFERROR(INDEX('CLM &amp; IM Mapping'!$C$2:$C$270,MATCH(TRIM(B965),'CLM &amp; IM Mapping'!$A$2:$A$270,0)),"Not Mapped"))</f>
        <v>Not Mapped</v>
      </c>
      <c r="E965" s="41" t="n">
        <v>1264</v>
      </c>
      <c r="F965" s="41" t="n">
        <v>260</v>
      </c>
      <c r="G965" s="41" t="n">
        <v>1004</v>
      </c>
      <c r="H965" s="41" t="n">
        <v>0</v>
      </c>
      <c r="I965" s="41" t="n">
        <v>0</v>
      </c>
      <c r="J965" s="41" t="n">
        <v>0</v>
      </c>
      <c r="K965" s="41" t="n">
        <v>0</v>
      </c>
      <c r="L965" s="41" t="n">
        <v>0</v>
      </c>
    </row>
    <row r="966" customFormat="false" ht="15.75" hidden="false" customHeight="false" outlineLevel="0" collapsed="false">
      <c r="B966" s="39" t="s">
        <v>1099</v>
      </c>
      <c r="C966" s="40" t="str">
        <f aca="false">IF(B966="","",IFERROR(INDEX('CLM &amp; IM Mapping'!$B$2:$B$270,MATCH(TRIM(B966),'CLM &amp; IM Mapping'!$A$2:$A$270,0)),"Not Mapped"))</f>
        <v>Not Mapped</v>
      </c>
      <c r="D966" s="40" t="str">
        <f aca="false">IF(B966="","",IFERROR(INDEX('CLM &amp; IM Mapping'!$C$2:$C$270,MATCH(TRIM(B966),'CLM &amp; IM Mapping'!$A$2:$A$270,0)),"Not Mapped"))</f>
        <v>Not Mapped</v>
      </c>
      <c r="E966" s="41" t="n">
        <v>2930</v>
      </c>
      <c r="F966" s="41" t="n">
        <v>1389</v>
      </c>
      <c r="G966" s="41" t="n">
        <v>1541</v>
      </c>
      <c r="H966" s="41" t="n">
        <v>0</v>
      </c>
      <c r="I966" s="41" t="n">
        <v>0</v>
      </c>
      <c r="J966" s="41" t="n">
        <v>0</v>
      </c>
      <c r="K966" s="41" t="n">
        <v>0</v>
      </c>
      <c r="L966" s="41" t="n">
        <v>0</v>
      </c>
    </row>
    <row r="967" customFormat="false" ht="15.75" hidden="false" customHeight="false" outlineLevel="0" collapsed="false">
      <c r="B967" s="39" t="s">
        <v>1100</v>
      </c>
      <c r="C967" s="40" t="str">
        <f aca="false">IF(B967="","",IFERROR(INDEX('CLM &amp; IM Mapping'!$B$2:$B$270,MATCH(TRIM(B967),'CLM &amp; IM Mapping'!$A$2:$A$270,0)),"Not Mapped"))</f>
        <v>Not Mapped</v>
      </c>
      <c r="D967" s="40" t="str">
        <f aca="false">IF(B967="","",IFERROR(INDEX('CLM &amp; IM Mapping'!$C$2:$C$270,MATCH(TRIM(B967),'CLM &amp; IM Mapping'!$A$2:$A$270,0)),"Not Mapped"))</f>
        <v>Not Mapped</v>
      </c>
      <c r="E967" s="41" t="n">
        <v>352</v>
      </c>
      <c r="F967" s="41" t="n">
        <v>352</v>
      </c>
      <c r="G967" s="41" t="n">
        <v>0</v>
      </c>
      <c r="H967" s="41" t="n">
        <v>0</v>
      </c>
      <c r="I967" s="41" t="n">
        <v>0</v>
      </c>
      <c r="J967" s="41" t="n">
        <v>0</v>
      </c>
      <c r="K967" s="41" t="n">
        <v>0</v>
      </c>
      <c r="L967" s="41" t="n">
        <v>0</v>
      </c>
    </row>
    <row r="968" customFormat="false" ht="15.75" hidden="false" customHeight="false" outlineLevel="0" collapsed="false">
      <c r="B968" s="39" t="s">
        <v>1101</v>
      </c>
      <c r="C968" s="40" t="str">
        <f aca="false">IF(B968="","",IFERROR(INDEX('CLM &amp; IM Mapping'!$B$2:$B$270,MATCH(TRIM(B968),'CLM &amp; IM Mapping'!$A$2:$A$270,0)),"Not Mapped"))</f>
        <v>Not Mapped</v>
      </c>
      <c r="D968" s="40" t="str">
        <f aca="false">IF(B968="","",IFERROR(INDEX('CLM &amp; IM Mapping'!$C$2:$C$270,MATCH(TRIM(B968),'CLM &amp; IM Mapping'!$A$2:$A$270,0)),"Not Mapped"))</f>
        <v>Not Mapped</v>
      </c>
      <c r="E968" s="41" t="n">
        <v>307</v>
      </c>
      <c r="F968" s="41" t="n">
        <v>307</v>
      </c>
      <c r="G968" s="41" t="n">
        <v>0</v>
      </c>
      <c r="H968" s="41" t="n">
        <v>0</v>
      </c>
      <c r="I968" s="41" t="n">
        <v>0</v>
      </c>
      <c r="J968" s="41" t="n">
        <v>0</v>
      </c>
      <c r="K968" s="41" t="n">
        <v>0</v>
      </c>
      <c r="L968" s="41" t="n">
        <v>0</v>
      </c>
    </row>
    <row r="969" customFormat="false" ht="15.75" hidden="false" customHeight="false" outlineLevel="0" collapsed="false">
      <c r="B969" s="39" t="s">
        <v>1102</v>
      </c>
      <c r="C969" s="40" t="str">
        <f aca="false">IF(B969="","",IFERROR(INDEX('CLM &amp; IM Mapping'!$B$2:$B$270,MATCH(TRIM(B969),'CLM &amp; IM Mapping'!$A$2:$A$270,0)),"Not Mapped"))</f>
        <v>Not Mapped</v>
      </c>
      <c r="D969" s="40" t="str">
        <f aca="false">IF(B969="","",IFERROR(INDEX('CLM &amp; IM Mapping'!$C$2:$C$270,MATCH(TRIM(B969),'CLM &amp; IM Mapping'!$A$2:$A$270,0)),"Not Mapped"))</f>
        <v>Not Mapped</v>
      </c>
      <c r="E969" s="41" t="n">
        <v>0</v>
      </c>
      <c r="F969" s="41" t="n">
        <v>0</v>
      </c>
      <c r="G969" s="41" t="n">
        <v>0</v>
      </c>
      <c r="H969" s="41" t="n">
        <v>0</v>
      </c>
      <c r="I969" s="41" t="n">
        <v>0</v>
      </c>
      <c r="J969" s="41" t="n">
        <v>0</v>
      </c>
      <c r="K969" s="41" t="n">
        <v>0</v>
      </c>
      <c r="L969" s="41" t="n">
        <v>0</v>
      </c>
    </row>
    <row r="970" customFormat="false" ht="15.75" hidden="false" customHeight="false" outlineLevel="0" collapsed="false">
      <c r="B970" s="39" t="s">
        <v>1103</v>
      </c>
      <c r="C970" s="40" t="str">
        <f aca="false">IF(B970="","",IFERROR(INDEX('CLM &amp; IM Mapping'!$B$2:$B$270,MATCH(TRIM(B970),'CLM &amp; IM Mapping'!$A$2:$A$270,0)),"Not Mapped"))</f>
        <v>Not Mapped</v>
      </c>
      <c r="D970" s="40" t="str">
        <f aca="false">IF(B970="","",IFERROR(INDEX('CLM &amp; IM Mapping'!$C$2:$C$270,MATCH(TRIM(B970),'CLM &amp; IM Mapping'!$A$2:$A$270,0)),"Not Mapped"))</f>
        <v>Not Mapped</v>
      </c>
      <c r="E970" s="41" t="n">
        <v>2419</v>
      </c>
      <c r="F970" s="41" t="n">
        <v>2360</v>
      </c>
      <c r="G970" s="41" t="n">
        <v>0</v>
      </c>
      <c r="H970" s="41" t="n">
        <v>59</v>
      </c>
      <c r="I970" s="41" t="n">
        <v>0</v>
      </c>
      <c r="J970" s="41" t="n">
        <v>0</v>
      </c>
      <c r="K970" s="41" t="n">
        <v>0</v>
      </c>
      <c r="L970" s="41" t="n">
        <v>59</v>
      </c>
    </row>
    <row r="971" customFormat="false" ht="15.75" hidden="false" customHeight="false" outlineLevel="0" collapsed="false">
      <c r="B971" s="39" t="s">
        <v>1104</v>
      </c>
      <c r="C971" s="40" t="str">
        <f aca="false">IF(B971="","",IFERROR(INDEX('CLM &amp; IM Mapping'!$B$2:$B$270,MATCH(TRIM(B971),'CLM &amp; IM Mapping'!$A$2:$A$270,0)),"Not Mapped"))</f>
        <v>Not Mapped</v>
      </c>
      <c r="D971" s="40" t="str">
        <f aca="false">IF(B971="","",IFERROR(INDEX('CLM &amp; IM Mapping'!$C$2:$C$270,MATCH(TRIM(B971),'CLM &amp; IM Mapping'!$A$2:$A$270,0)),"Not Mapped"))</f>
        <v>Not Mapped</v>
      </c>
      <c r="E971" s="41" t="n">
        <v>3415</v>
      </c>
      <c r="F971" s="41" t="n">
        <v>3415</v>
      </c>
      <c r="G971" s="41" t="n">
        <v>0</v>
      </c>
      <c r="H971" s="41" t="n">
        <v>0</v>
      </c>
      <c r="I971" s="41" t="n">
        <v>0</v>
      </c>
      <c r="J971" s="41" t="n">
        <v>0</v>
      </c>
      <c r="K971" s="41" t="n">
        <v>0</v>
      </c>
      <c r="L971" s="41" t="n">
        <v>0</v>
      </c>
    </row>
    <row r="972" customFormat="false" ht="15.75" hidden="false" customHeight="false" outlineLevel="0" collapsed="false">
      <c r="B972" s="39" t="s">
        <v>1105</v>
      </c>
      <c r="C972" s="40" t="str">
        <f aca="false">IF(B972="","",IFERROR(INDEX('CLM &amp; IM Mapping'!$B$2:$B$270,MATCH(TRIM(B972),'CLM &amp; IM Mapping'!$A$2:$A$270,0)),"Not Mapped"))</f>
        <v>Not Mapped</v>
      </c>
      <c r="D972" s="40" t="str">
        <f aca="false">IF(B972="","",IFERROR(INDEX('CLM &amp; IM Mapping'!$C$2:$C$270,MATCH(TRIM(B972),'CLM &amp; IM Mapping'!$A$2:$A$270,0)),"Not Mapped"))</f>
        <v>Not Mapped</v>
      </c>
      <c r="E972" s="41" t="n">
        <v>1307</v>
      </c>
      <c r="F972" s="41" t="n">
        <v>1307</v>
      </c>
      <c r="G972" s="41" t="n">
        <v>0</v>
      </c>
      <c r="H972" s="41" t="n">
        <v>0</v>
      </c>
      <c r="I972" s="41" t="n">
        <v>0</v>
      </c>
      <c r="J972" s="41" t="n">
        <v>0</v>
      </c>
      <c r="K972" s="41" t="n">
        <v>0</v>
      </c>
      <c r="L972" s="41" t="n">
        <v>0</v>
      </c>
    </row>
    <row r="973" customFormat="false" ht="15.75" hidden="false" customHeight="false" outlineLevel="0" collapsed="false">
      <c r="B973" s="39" t="s">
        <v>1106</v>
      </c>
      <c r="C973" s="40" t="str">
        <f aca="false">IF(B973="","",IFERROR(INDEX('CLM &amp; IM Mapping'!$B$2:$B$270,MATCH(TRIM(B973),'CLM &amp; IM Mapping'!$A$2:$A$270,0)),"Not Mapped"))</f>
        <v>Not Mapped</v>
      </c>
      <c r="D973" s="40" t="str">
        <f aca="false">IF(B973="","",IFERROR(INDEX('CLM &amp; IM Mapping'!$C$2:$C$270,MATCH(TRIM(B973),'CLM &amp; IM Mapping'!$A$2:$A$270,0)),"Not Mapped"))</f>
        <v>Not Mapped</v>
      </c>
      <c r="E973" s="41" t="n">
        <v>2092</v>
      </c>
      <c r="F973" s="41" t="n">
        <v>1780</v>
      </c>
      <c r="G973" s="41" t="n">
        <v>312</v>
      </c>
      <c r="H973" s="41" t="n">
        <v>0</v>
      </c>
      <c r="I973" s="41" t="n">
        <v>0</v>
      </c>
      <c r="J973" s="41" t="n">
        <v>0</v>
      </c>
      <c r="K973" s="41" t="n">
        <v>0</v>
      </c>
      <c r="L973" s="41" t="n">
        <v>0</v>
      </c>
    </row>
    <row r="974" customFormat="false" ht="15.75" hidden="false" customHeight="false" outlineLevel="0" collapsed="false">
      <c r="B974" s="39" t="s">
        <v>1107</v>
      </c>
      <c r="C974" s="40" t="str">
        <f aca="false">IF(B974="","",IFERROR(INDEX('CLM &amp; IM Mapping'!$B$2:$B$270,MATCH(TRIM(B974),'CLM &amp; IM Mapping'!$A$2:$A$270,0)),"Not Mapped"))</f>
        <v>Not Mapped</v>
      </c>
      <c r="D974" s="40" t="str">
        <f aca="false">IF(B974="","",IFERROR(INDEX('CLM &amp; IM Mapping'!$C$2:$C$270,MATCH(TRIM(B974),'CLM &amp; IM Mapping'!$A$2:$A$270,0)),"Not Mapped"))</f>
        <v>Not Mapped</v>
      </c>
      <c r="E974" s="41" t="n">
        <v>0</v>
      </c>
      <c r="F974" s="41" t="n">
        <v>0</v>
      </c>
      <c r="G974" s="41" t="n">
        <v>0</v>
      </c>
      <c r="H974" s="41" t="n">
        <v>0</v>
      </c>
      <c r="I974" s="41" t="n">
        <v>0</v>
      </c>
      <c r="J974" s="41" t="n">
        <v>0</v>
      </c>
      <c r="K974" s="41" t="n">
        <v>0</v>
      </c>
      <c r="L974" s="41" t="n">
        <v>0</v>
      </c>
    </row>
    <row r="975" customFormat="false" ht="15.75" hidden="false" customHeight="false" outlineLevel="0" collapsed="false">
      <c r="B975" s="39" t="s">
        <v>1108</v>
      </c>
      <c r="C975" s="40" t="str">
        <f aca="false">IF(B975="","",IFERROR(INDEX('CLM &amp; IM Mapping'!$B$2:$B$270,MATCH(TRIM(B975),'CLM &amp; IM Mapping'!$A$2:$A$270,0)),"Not Mapped"))</f>
        <v>Not Mapped</v>
      </c>
      <c r="D975" s="40" t="str">
        <f aca="false">IF(B975="","",IFERROR(INDEX('CLM &amp; IM Mapping'!$C$2:$C$270,MATCH(TRIM(B975),'CLM &amp; IM Mapping'!$A$2:$A$270,0)),"Not Mapped"))</f>
        <v>Not Mapped</v>
      </c>
      <c r="E975" s="41" t="n">
        <v>3842</v>
      </c>
      <c r="F975" s="41" t="n">
        <v>3842</v>
      </c>
      <c r="G975" s="41" t="n">
        <v>0</v>
      </c>
      <c r="H975" s="41" t="n">
        <v>0</v>
      </c>
      <c r="I975" s="41" t="n">
        <v>0</v>
      </c>
      <c r="J975" s="41" t="n">
        <v>0</v>
      </c>
      <c r="K975" s="41" t="n">
        <v>0</v>
      </c>
      <c r="L975" s="41" t="n">
        <v>0</v>
      </c>
    </row>
    <row r="976" customFormat="false" ht="15.75" hidden="false" customHeight="false" outlineLevel="0" collapsed="false">
      <c r="B976" s="39" t="s">
        <v>1109</v>
      </c>
      <c r="C976" s="40" t="str">
        <f aca="false">IF(B976="","",IFERROR(INDEX('CLM &amp; IM Mapping'!$B$2:$B$270,MATCH(TRIM(B976),'CLM &amp; IM Mapping'!$A$2:$A$270,0)),"Not Mapped"))</f>
        <v>Not Mapped</v>
      </c>
      <c r="D976" s="40" t="str">
        <f aca="false">IF(B976="","",IFERROR(INDEX('CLM &amp; IM Mapping'!$C$2:$C$270,MATCH(TRIM(B976),'CLM &amp; IM Mapping'!$A$2:$A$270,0)),"Not Mapped"))</f>
        <v>Not Mapped</v>
      </c>
      <c r="E976" s="41" t="n">
        <v>3210</v>
      </c>
      <c r="F976" s="41" t="n">
        <v>0</v>
      </c>
      <c r="G976" s="41" t="n">
        <v>2882</v>
      </c>
      <c r="H976" s="41" t="n">
        <v>281</v>
      </c>
      <c r="I976" s="41" t="n">
        <v>47</v>
      </c>
      <c r="J976" s="41" t="n">
        <v>0</v>
      </c>
      <c r="K976" s="41" t="n">
        <v>0</v>
      </c>
      <c r="L976" s="41" t="n">
        <v>328</v>
      </c>
    </row>
    <row r="977" customFormat="false" ht="15.75" hidden="false" customHeight="false" outlineLevel="0" collapsed="false">
      <c r="B977" s="39" t="s">
        <v>1110</v>
      </c>
      <c r="C977" s="40" t="str">
        <f aca="false">IF(B977="","",IFERROR(INDEX('CLM &amp; IM Mapping'!$B$2:$B$270,MATCH(TRIM(B977),'CLM &amp; IM Mapping'!$A$2:$A$270,0)),"Not Mapped"))</f>
        <v>Not Mapped</v>
      </c>
      <c r="D977" s="40" t="str">
        <f aca="false">IF(B977="","",IFERROR(INDEX('CLM &amp; IM Mapping'!$C$2:$C$270,MATCH(TRIM(B977),'CLM &amp; IM Mapping'!$A$2:$A$270,0)),"Not Mapped"))</f>
        <v>Not Mapped</v>
      </c>
      <c r="E977" s="41" t="n">
        <v>291</v>
      </c>
      <c r="F977" s="41" t="n">
        <v>291</v>
      </c>
      <c r="G977" s="41" t="n">
        <v>0</v>
      </c>
      <c r="H977" s="41" t="n">
        <v>0</v>
      </c>
      <c r="I977" s="41" t="n">
        <v>0</v>
      </c>
      <c r="J977" s="41" t="n">
        <v>0</v>
      </c>
      <c r="K977" s="41" t="n">
        <v>0</v>
      </c>
      <c r="L977" s="41" t="n">
        <v>0</v>
      </c>
    </row>
    <row r="978" customFormat="false" ht="15.75" hidden="false" customHeight="false" outlineLevel="0" collapsed="false">
      <c r="B978" s="39" t="s">
        <v>1111</v>
      </c>
      <c r="C978" s="40" t="str">
        <f aca="false">IF(B978="","",IFERROR(INDEX('CLM &amp; IM Mapping'!$B$2:$B$270,MATCH(TRIM(B978),'CLM &amp; IM Mapping'!$A$2:$A$270,0)),"Not Mapped"))</f>
        <v>Not Mapped</v>
      </c>
      <c r="D978" s="40" t="str">
        <f aca="false">IF(B978="","",IFERROR(INDEX('CLM &amp; IM Mapping'!$C$2:$C$270,MATCH(TRIM(B978),'CLM &amp; IM Mapping'!$A$2:$A$270,0)),"Not Mapped"))</f>
        <v>Not Mapped</v>
      </c>
      <c r="E978" s="41" t="n">
        <v>2521</v>
      </c>
      <c r="F978" s="41" t="n">
        <v>1064</v>
      </c>
      <c r="G978" s="41" t="n">
        <v>1457</v>
      </c>
      <c r="H978" s="41" t="n">
        <v>0</v>
      </c>
      <c r="I978" s="41" t="n">
        <v>0</v>
      </c>
      <c r="J978" s="41" t="n">
        <v>0</v>
      </c>
      <c r="K978" s="41" t="n">
        <v>0</v>
      </c>
      <c r="L978" s="41" t="n">
        <v>0</v>
      </c>
    </row>
    <row r="979" customFormat="false" ht="15.75" hidden="false" customHeight="false" outlineLevel="0" collapsed="false">
      <c r="B979" s="39" t="s">
        <v>1112</v>
      </c>
      <c r="C979" s="40" t="str">
        <f aca="false">IF(B979="","",IFERROR(INDEX('CLM &amp; IM Mapping'!$B$2:$B$270,MATCH(TRIM(B979),'CLM &amp; IM Mapping'!$A$2:$A$270,0)),"Not Mapped"))</f>
        <v>Not Mapped</v>
      </c>
      <c r="D979" s="40" t="str">
        <f aca="false">IF(B979="","",IFERROR(INDEX('CLM &amp; IM Mapping'!$C$2:$C$270,MATCH(TRIM(B979),'CLM &amp; IM Mapping'!$A$2:$A$270,0)),"Not Mapped"))</f>
        <v>Not Mapped</v>
      </c>
      <c r="E979" s="41" t="n">
        <v>2346</v>
      </c>
      <c r="F979" s="41" t="n">
        <v>2346</v>
      </c>
      <c r="G979" s="41" t="n">
        <v>0</v>
      </c>
      <c r="H979" s="41" t="n">
        <v>0</v>
      </c>
      <c r="I979" s="41" t="n">
        <v>0</v>
      </c>
      <c r="J979" s="41" t="n">
        <v>0</v>
      </c>
      <c r="K979" s="41" t="n">
        <v>0</v>
      </c>
      <c r="L979" s="41" t="n">
        <v>0</v>
      </c>
    </row>
    <row r="980" customFormat="false" ht="15.75" hidden="false" customHeight="false" outlineLevel="0" collapsed="false">
      <c r="B980" s="39" t="s">
        <v>1113</v>
      </c>
      <c r="C980" s="40" t="str">
        <f aca="false">IF(B980="","",IFERROR(INDEX('CLM &amp; IM Mapping'!$B$2:$B$270,MATCH(TRIM(B980),'CLM &amp; IM Mapping'!$A$2:$A$270,0)),"Not Mapped"))</f>
        <v>Not Mapped</v>
      </c>
      <c r="D980" s="40" t="str">
        <f aca="false">IF(B980="","",IFERROR(INDEX('CLM &amp; IM Mapping'!$C$2:$C$270,MATCH(TRIM(B980),'CLM &amp; IM Mapping'!$A$2:$A$270,0)),"Not Mapped"))</f>
        <v>Not Mapped</v>
      </c>
      <c r="E980" s="41" t="n">
        <v>435</v>
      </c>
      <c r="F980" s="41" t="n">
        <v>435</v>
      </c>
      <c r="G980" s="41" t="n">
        <v>0</v>
      </c>
      <c r="H980" s="41" t="n">
        <v>0</v>
      </c>
      <c r="I980" s="41" t="n">
        <v>0</v>
      </c>
      <c r="J980" s="41" t="n">
        <v>0</v>
      </c>
      <c r="K980" s="41" t="n">
        <v>0</v>
      </c>
      <c r="L980" s="41" t="n">
        <v>0</v>
      </c>
    </row>
    <row r="981" customFormat="false" ht="15.75" hidden="false" customHeight="false" outlineLevel="0" collapsed="false">
      <c r="B981" s="39" t="s">
        <v>1114</v>
      </c>
      <c r="C981" s="40" t="str">
        <f aca="false">IF(B981="","",IFERROR(INDEX('CLM &amp; IM Mapping'!$B$2:$B$270,MATCH(TRIM(B981),'CLM &amp; IM Mapping'!$A$2:$A$270,0)),"Not Mapped"))</f>
        <v>Not Mapped</v>
      </c>
      <c r="D981" s="40" t="str">
        <f aca="false">IF(B981="","",IFERROR(INDEX('CLM &amp; IM Mapping'!$C$2:$C$270,MATCH(TRIM(B981),'CLM &amp; IM Mapping'!$A$2:$A$270,0)),"Not Mapped"))</f>
        <v>Not Mapped</v>
      </c>
      <c r="E981" s="41" t="n">
        <v>0</v>
      </c>
      <c r="F981" s="41" t="n">
        <v>0</v>
      </c>
      <c r="G981" s="41" t="n">
        <v>0</v>
      </c>
      <c r="H981" s="41" t="n">
        <v>0</v>
      </c>
      <c r="I981" s="41" t="n">
        <v>0</v>
      </c>
      <c r="J981" s="41" t="n">
        <v>0</v>
      </c>
      <c r="K981" s="41" t="n">
        <v>0</v>
      </c>
      <c r="L981" s="41" t="n">
        <v>0</v>
      </c>
    </row>
    <row r="982" customFormat="false" ht="15.75" hidden="false" customHeight="false" outlineLevel="0" collapsed="false">
      <c r="B982" s="39" t="s">
        <v>1115</v>
      </c>
      <c r="C982" s="40" t="str">
        <f aca="false">IF(B982="","",IFERROR(INDEX('CLM &amp; IM Mapping'!$B$2:$B$270,MATCH(TRIM(B982),'CLM &amp; IM Mapping'!$A$2:$A$270,0)),"Not Mapped"))</f>
        <v>Not Mapped</v>
      </c>
      <c r="D982" s="40" t="str">
        <f aca="false">IF(B982="","",IFERROR(INDEX('CLM &amp; IM Mapping'!$C$2:$C$270,MATCH(TRIM(B982),'CLM &amp; IM Mapping'!$A$2:$A$270,0)),"Not Mapped"))</f>
        <v>Not Mapped</v>
      </c>
      <c r="E982" s="41" t="n">
        <v>22</v>
      </c>
      <c r="F982" s="41" t="n">
        <v>21</v>
      </c>
      <c r="G982" s="41" t="n">
        <v>0</v>
      </c>
      <c r="H982" s="41" t="n">
        <v>0</v>
      </c>
      <c r="I982" s="41" t="n">
        <v>0</v>
      </c>
      <c r="J982" s="41" t="n">
        <v>0</v>
      </c>
      <c r="K982" s="41" t="n">
        <v>1</v>
      </c>
      <c r="L982" s="41" t="n">
        <v>1</v>
      </c>
    </row>
    <row r="983" customFormat="false" ht="15.75" hidden="false" customHeight="false" outlineLevel="0" collapsed="false">
      <c r="B983" s="39" t="s">
        <v>1116</v>
      </c>
      <c r="C983" s="40" t="str">
        <f aca="false">IF(B983="","",IFERROR(INDEX('CLM &amp; IM Mapping'!$B$2:$B$270,MATCH(TRIM(B983),'CLM &amp; IM Mapping'!$A$2:$A$270,0)),"Not Mapped"))</f>
        <v>Not Mapped</v>
      </c>
      <c r="D983" s="40" t="str">
        <f aca="false">IF(B983="","",IFERROR(INDEX('CLM &amp; IM Mapping'!$C$2:$C$270,MATCH(TRIM(B983),'CLM &amp; IM Mapping'!$A$2:$A$270,0)),"Not Mapped"))</f>
        <v>Not Mapped</v>
      </c>
      <c r="E983" s="41" t="n">
        <v>2753</v>
      </c>
      <c r="F983" s="41" t="n">
        <v>1213</v>
      </c>
      <c r="G983" s="41" t="n">
        <v>1540</v>
      </c>
      <c r="H983" s="41" t="n">
        <v>0</v>
      </c>
      <c r="I983" s="41" t="n">
        <v>0</v>
      </c>
      <c r="J983" s="41" t="n">
        <v>0</v>
      </c>
      <c r="K983" s="41" t="n">
        <v>0</v>
      </c>
      <c r="L983" s="41" t="n">
        <v>0</v>
      </c>
    </row>
    <row r="984" customFormat="false" ht="15.75" hidden="false" customHeight="false" outlineLevel="0" collapsed="false">
      <c r="B984" s="39" t="s">
        <v>1117</v>
      </c>
      <c r="C984" s="40" t="str">
        <f aca="false">IF(B984="","",IFERROR(INDEX('CLM &amp; IM Mapping'!$B$2:$B$270,MATCH(TRIM(B984),'CLM &amp; IM Mapping'!$A$2:$A$270,0)),"Not Mapped"))</f>
        <v>Not Mapped</v>
      </c>
      <c r="D984" s="40" t="str">
        <f aca="false">IF(B984="","",IFERROR(INDEX('CLM &amp; IM Mapping'!$C$2:$C$270,MATCH(TRIM(B984),'CLM &amp; IM Mapping'!$A$2:$A$270,0)),"Not Mapped"))</f>
        <v>Not Mapped</v>
      </c>
      <c r="E984" s="41" t="n">
        <v>921</v>
      </c>
      <c r="F984" s="41" t="n">
        <v>0</v>
      </c>
      <c r="G984" s="41" t="n">
        <v>77</v>
      </c>
      <c r="H984" s="41" t="n">
        <v>828</v>
      </c>
      <c r="I984" s="41" t="n">
        <v>0</v>
      </c>
      <c r="J984" s="41" t="n">
        <v>16</v>
      </c>
      <c r="K984" s="41" t="n">
        <v>0</v>
      </c>
      <c r="L984" s="41" t="n">
        <v>844</v>
      </c>
    </row>
    <row r="985" customFormat="false" ht="15.75" hidden="false" customHeight="false" outlineLevel="0" collapsed="false">
      <c r="B985" s="39" t="s">
        <v>1118</v>
      </c>
      <c r="C985" s="40" t="str">
        <f aca="false">IF(B985="","",IFERROR(INDEX('CLM &amp; IM Mapping'!$B$2:$B$270,MATCH(TRIM(B985),'CLM &amp; IM Mapping'!$A$2:$A$270,0)),"Not Mapped"))</f>
        <v>Not Mapped</v>
      </c>
      <c r="D985" s="40" t="str">
        <f aca="false">IF(B985="","",IFERROR(INDEX('CLM &amp; IM Mapping'!$C$2:$C$270,MATCH(TRIM(B985),'CLM &amp; IM Mapping'!$A$2:$A$270,0)),"Not Mapped"))</f>
        <v>Not Mapped</v>
      </c>
      <c r="E985" s="41" t="n">
        <v>2983</v>
      </c>
      <c r="F985" s="41" t="n">
        <v>1372</v>
      </c>
      <c r="G985" s="41" t="n">
        <v>883</v>
      </c>
      <c r="H985" s="41" t="n">
        <v>728</v>
      </c>
      <c r="I985" s="41" t="n">
        <v>0</v>
      </c>
      <c r="J985" s="41" t="n">
        <v>0</v>
      </c>
      <c r="K985" s="41" t="n">
        <v>0</v>
      </c>
      <c r="L985" s="41" t="n">
        <v>728</v>
      </c>
    </row>
    <row r="986" customFormat="false" ht="15.75" hidden="false" customHeight="false" outlineLevel="0" collapsed="false">
      <c r="B986" s="39" t="s">
        <v>1119</v>
      </c>
      <c r="C986" s="40" t="str">
        <f aca="false">IF(B986="","",IFERROR(INDEX('CLM &amp; IM Mapping'!$B$2:$B$270,MATCH(TRIM(B986),'CLM &amp; IM Mapping'!$A$2:$A$270,0)),"Not Mapped"))</f>
        <v>Not Mapped</v>
      </c>
      <c r="D986" s="40" t="str">
        <f aca="false">IF(B986="","",IFERROR(INDEX('CLM &amp; IM Mapping'!$C$2:$C$270,MATCH(TRIM(B986),'CLM &amp; IM Mapping'!$A$2:$A$270,0)),"Not Mapped"))</f>
        <v>Not Mapped</v>
      </c>
      <c r="E986" s="41" t="n">
        <v>0</v>
      </c>
      <c r="F986" s="41" t="n">
        <v>0</v>
      </c>
      <c r="G986" s="41" t="n">
        <v>0</v>
      </c>
      <c r="H986" s="41" t="n">
        <v>0</v>
      </c>
      <c r="I986" s="41" t="n">
        <v>0</v>
      </c>
      <c r="J986" s="41" t="n">
        <v>0</v>
      </c>
      <c r="K986" s="41" t="n">
        <v>0</v>
      </c>
      <c r="L986" s="41" t="n">
        <v>0</v>
      </c>
    </row>
    <row r="987" customFormat="false" ht="15.75" hidden="false" customHeight="false" outlineLevel="0" collapsed="false">
      <c r="B987" s="39" t="s">
        <v>1120</v>
      </c>
      <c r="C987" s="40" t="str">
        <f aca="false">IF(B987="","",IFERROR(INDEX('CLM &amp; IM Mapping'!$B$2:$B$270,MATCH(TRIM(B987),'CLM &amp; IM Mapping'!$A$2:$A$270,0)),"Not Mapped"))</f>
        <v>Not Mapped</v>
      </c>
      <c r="D987" s="40" t="str">
        <f aca="false">IF(B987="","",IFERROR(INDEX('CLM &amp; IM Mapping'!$C$2:$C$270,MATCH(TRIM(B987),'CLM &amp; IM Mapping'!$A$2:$A$270,0)),"Not Mapped"))</f>
        <v>Not Mapped</v>
      </c>
      <c r="E987" s="41" t="n">
        <v>0</v>
      </c>
      <c r="F987" s="41" t="n">
        <v>0</v>
      </c>
      <c r="G987" s="41" t="n">
        <v>0</v>
      </c>
      <c r="H987" s="41" t="n">
        <v>0</v>
      </c>
      <c r="I987" s="41" t="n">
        <v>0</v>
      </c>
      <c r="J987" s="41" t="n">
        <v>0</v>
      </c>
      <c r="K987" s="41" t="n">
        <v>0</v>
      </c>
      <c r="L987" s="41" t="n">
        <v>0</v>
      </c>
    </row>
    <row r="988" customFormat="false" ht="15.75" hidden="false" customHeight="false" outlineLevel="0" collapsed="false">
      <c r="B988" s="23" t="s">
        <v>1121</v>
      </c>
      <c r="C988" s="44" t="str">
        <f aca="false">IF(B988="","",IFERROR(INDEX('CLM &amp; IM Mapping'!$B$2:$B$270,MATCH(TRIM(B988),'CLM &amp; IM Mapping'!$A$2:$A$270,0)),"Not Mapped"))</f>
        <v>Not Mapped</v>
      </c>
      <c r="D988" s="44" t="str">
        <f aca="false">IF(B988="","",IFERROR(INDEX('CLM &amp; IM Mapping'!$C$2:$C$270,MATCH(TRIM(B988),'CLM &amp; IM Mapping'!$A$2:$A$270,0)),"Not Mapped"))</f>
        <v>Not Mapped</v>
      </c>
      <c r="E988" s="41" t="n">
        <v>0</v>
      </c>
      <c r="F988" s="41" t="n">
        <v>0</v>
      </c>
      <c r="G988" s="41" t="n">
        <v>0</v>
      </c>
      <c r="H988" s="41" t="n">
        <v>0</v>
      </c>
      <c r="I988" s="41" t="n">
        <v>0</v>
      </c>
      <c r="J988" s="41" t="n">
        <v>0</v>
      </c>
      <c r="K988" s="41" t="n">
        <v>0</v>
      </c>
      <c r="L988" s="41" t="n">
        <v>0</v>
      </c>
    </row>
    <row r="989" customFormat="false" ht="15.75" hidden="false" customHeight="false" outlineLevel="0" collapsed="false">
      <c r="B989" s="39" t="s">
        <v>1122</v>
      </c>
      <c r="C989" s="40" t="str">
        <f aca="false">IF(B989="","",IFERROR(INDEX('CLM &amp; IM Mapping'!$B$2:$B$270,MATCH(TRIM(B989),'CLM &amp; IM Mapping'!$A$2:$A$270,0)),"Not Mapped"))</f>
        <v>Not Mapped</v>
      </c>
      <c r="D989" s="40" t="str">
        <f aca="false">IF(B989="","",IFERROR(INDEX('CLM &amp; IM Mapping'!$C$2:$C$270,MATCH(TRIM(B989),'CLM &amp; IM Mapping'!$A$2:$A$270,0)),"Not Mapped"))</f>
        <v>Not Mapped</v>
      </c>
      <c r="E989" s="41" t="n">
        <v>0</v>
      </c>
      <c r="F989" s="41" t="n">
        <v>0</v>
      </c>
      <c r="G989" s="41" t="n">
        <v>0</v>
      </c>
      <c r="H989" s="41" t="n">
        <v>0</v>
      </c>
      <c r="I989" s="41" t="n">
        <v>0</v>
      </c>
      <c r="J989" s="41" t="n">
        <v>0</v>
      </c>
      <c r="K989" s="41" t="n">
        <v>0</v>
      </c>
      <c r="L989" s="41" t="n">
        <v>0</v>
      </c>
    </row>
    <row r="990" customFormat="false" ht="15.75" hidden="false" customHeight="false" outlineLevel="0" collapsed="false">
      <c r="B990" s="23" t="s">
        <v>1123</v>
      </c>
      <c r="C990" s="44" t="str">
        <f aca="false">IF(B990="","",IFERROR(INDEX('CLM &amp; IM Mapping'!$B$2:$B$270,MATCH(TRIM(B990),'CLM &amp; IM Mapping'!$A$2:$A$270,0)),"Not Mapped"))</f>
        <v>Not Mapped</v>
      </c>
      <c r="D990" s="44" t="str">
        <f aca="false">IF(B990="","",IFERROR(INDEX('CLM &amp; IM Mapping'!$C$2:$C$270,MATCH(TRIM(B990),'CLM &amp; IM Mapping'!$A$2:$A$270,0)),"Not Mapped"))</f>
        <v>Not Mapped</v>
      </c>
      <c r="E990" s="41" t="n">
        <v>33</v>
      </c>
      <c r="F990" s="41" t="n">
        <v>33</v>
      </c>
      <c r="G990" s="41" t="n">
        <v>0</v>
      </c>
      <c r="H990" s="41" t="n">
        <v>0</v>
      </c>
      <c r="I990" s="41" t="n">
        <v>0</v>
      </c>
      <c r="J990" s="41" t="n">
        <v>0</v>
      </c>
      <c r="K990" s="41" t="n">
        <v>0</v>
      </c>
      <c r="L990" s="41" t="n">
        <v>0</v>
      </c>
    </row>
    <row r="991" customFormat="false" ht="15.75" hidden="false" customHeight="false" outlineLevel="0" collapsed="false">
      <c r="B991" s="39" t="s">
        <v>1124</v>
      </c>
      <c r="C991" s="40" t="str">
        <f aca="false">IF(B991="","",IFERROR(INDEX('CLM &amp; IM Mapping'!$B$2:$B$270,MATCH(TRIM(B991),'CLM &amp; IM Mapping'!$A$2:$A$270,0)),"Not Mapped"))</f>
        <v>Not Mapped</v>
      </c>
      <c r="D991" s="40" t="str">
        <f aca="false">IF(B991="","",IFERROR(INDEX('CLM &amp; IM Mapping'!$C$2:$C$270,MATCH(TRIM(B991),'CLM &amp; IM Mapping'!$A$2:$A$270,0)),"Not Mapped"))</f>
        <v>Not Mapped</v>
      </c>
      <c r="E991" s="41" t="n">
        <v>0</v>
      </c>
      <c r="F991" s="41" t="n">
        <v>0</v>
      </c>
      <c r="G991" s="41" t="n">
        <v>0</v>
      </c>
      <c r="H991" s="41" t="n">
        <v>0</v>
      </c>
      <c r="I991" s="41" t="n">
        <v>0</v>
      </c>
      <c r="J991" s="41" t="n">
        <v>0</v>
      </c>
      <c r="K991" s="41" t="n">
        <v>0</v>
      </c>
      <c r="L991" s="41" t="n">
        <v>0</v>
      </c>
    </row>
    <row r="992" customFormat="false" ht="15.75" hidden="false" customHeight="false" outlineLevel="0" collapsed="false">
      <c r="B992" s="39" t="s">
        <v>1125</v>
      </c>
      <c r="C992" s="40" t="str">
        <f aca="false">IF(B992="","",IFERROR(INDEX('CLM &amp; IM Mapping'!$B$2:$B$270,MATCH(TRIM(B992),'CLM &amp; IM Mapping'!$A$2:$A$270,0)),"Not Mapped"))</f>
        <v>Not Mapped</v>
      </c>
      <c r="D992" s="40" t="str">
        <f aca="false">IF(B992="","",IFERROR(INDEX('CLM &amp; IM Mapping'!$C$2:$C$270,MATCH(TRIM(B992),'CLM &amp; IM Mapping'!$A$2:$A$270,0)),"Not Mapped"))</f>
        <v>Not Mapped</v>
      </c>
      <c r="E992" s="41" t="n">
        <v>0</v>
      </c>
      <c r="F992" s="41" t="n">
        <v>0</v>
      </c>
      <c r="G992" s="41" t="n">
        <v>0</v>
      </c>
      <c r="H992" s="41" t="n">
        <v>0</v>
      </c>
      <c r="I992" s="41" t="n">
        <v>0</v>
      </c>
      <c r="J992" s="41" t="n">
        <v>0</v>
      </c>
      <c r="K992" s="41" t="n">
        <v>0</v>
      </c>
      <c r="L992" s="41" t="n">
        <v>0</v>
      </c>
    </row>
    <row r="993" customFormat="false" ht="15.75" hidden="false" customHeight="false" outlineLevel="0" collapsed="false">
      <c r="B993" s="39" t="s">
        <v>1126</v>
      </c>
      <c r="C993" s="40" t="str">
        <f aca="false">IF(B993="","",IFERROR(INDEX('CLM &amp; IM Mapping'!$B$2:$B$270,MATCH(TRIM(B993),'CLM &amp; IM Mapping'!$A$2:$A$270,0)),"Not Mapped"))</f>
        <v>Not Mapped</v>
      </c>
      <c r="D993" s="40" t="str">
        <f aca="false">IF(B993="","",IFERROR(INDEX('CLM &amp; IM Mapping'!$C$2:$C$270,MATCH(TRIM(B993),'CLM &amp; IM Mapping'!$A$2:$A$270,0)),"Not Mapped"))</f>
        <v>Not Mapped</v>
      </c>
      <c r="E993" s="41" t="n">
        <v>0</v>
      </c>
      <c r="F993" s="41" t="n">
        <v>0</v>
      </c>
      <c r="G993" s="41" t="n">
        <v>0</v>
      </c>
      <c r="H993" s="41" t="n">
        <v>0</v>
      </c>
      <c r="I993" s="41" t="n">
        <v>0</v>
      </c>
      <c r="J993" s="41" t="n">
        <v>0</v>
      </c>
      <c r="K993" s="41" t="n">
        <v>0</v>
      </c>
      <c r="L993" s="41" t="n">
        <v>0</v>
      </c>
    </row>
    <row r="994" customFormat="false" ht="15.75" hidden="false" customHeight="false" outlineLevel="0" collapsed="false">
      <c r="B994" s="39" t="s">
        <v>1127</v>
      </c>
      <c r="C994" s="40" t="str">
        <f aca="false">IF(B994="","",IFERROR(INDEX('CLM &amp; IM Mapping'!$B$2:$B$270,MATCH(TRIM(B994),'CLM &amp; IM Mapping'!$A$2:$A$270,0)),"Not Mapped"))</f>
        <v>Not Mapped</v>
      </c>
      <c r="D994" s="40" t="str">
        <f aca="false">IF(B994="","",IFERROR(INDEX('CLM &amp; IM Mapping'!$C$2:$C$270,MATCH(TRIM(B994),'CLM &amp; IM Mapping'!$A$2:$A$270,0)),"Not Mapped"))</f>
        <v>Not Mapped</v>
      </c>
      <c r="E994" s="41" t="n">
        <v>0</v>
      </c>
      <c r="F994" s="41" t="n">
        <v>0</v>
      </c>
      <c r="G994" s="41" t="n">
        <v>0</v>
      </c>
      <c r="H994" s="41" t="n">
        <v>0</v>
      </c>
      <c r="I994" s="41" t="n">
        <v>0</v>
      </c>
      <c r="J994" s="41" t="n">
        <v>0</v>
      </c>
      <c r="K994" s="41" t="n">
        <v>0</v>
      </c>
      <c r="L994" s="41" t="n">
        <v>0</v>
      </c>
    </row>
    <row r="995" customFormat="false" ht="15.75" hidden="false" customHeight="false" outlineLevel="0" collapsed="false">
      <c r="B995" s="39" t="s">
        <v>1128</v>
      </c>
      <c r="C995" s="40" t="str">
        <f aca="false">IF(B995="","",IFERROR(INDEX('CLM &amp; IM Mapping'!$B$2:$B$270,MATCH(TRIM(B995),'CLM &amp; IM Mapping'!$A$2:$A$270,0)),"Not Mapped"))</f>
        <v>Not Mapped</v>
      </c>
      <c r="D995" s="40" t="str">
        <f aca="false">IF(B995="","",IFERROR(INDEX('CLM &amp; IM Mapping'!$C$2:$C$270,MATCH(TRIM(B995),'CLM &amp; IM Mapping'!$A$2:$A$270,0)),"Not Mapped"))</f>
        <v>Not Mapped</v>
      </c>
      <c r="E995" s="41" t="n">
        <v>2171</v>
      </c>
      <c r="F995" s="41" t="n">
        <v>2171</v>
      </c>
      <c r="G995" s="41" t="n">
        <v>0</v>
      </c>
      <c r="H995" s="41" t="n">
        <v>0</v>
      </c>
      <c r="I995" s="41" t="n">
        <v>0</v>
      </c>
      <c r="J995" s="41" t="n">
        <v>0</v>
      </c>
      <c r="K995" s="41" t="n">
        <v>0</v>
      </c>
      <c r="L995" s="41" t="n">
        <v>0</v>
      </c>
    </row>
    <row r="996" customFormat="false" ht="15.75" hidden="false" customHeight="false" outlineLevel="0" collapsed="false">
      <c r="B996" s="39" t="s">
        <v>1129</v>
      </c>
      <c r="C996" s="40" t="str">
        <f aca="false">IF(B996="","",IFERROR(INDEX('CLM &amp; IM Mapping'!$B$2:$B$270,MATCH(TRIM(B996),'CLM &amp; IM Mapping'!$A$2:$A$270,0)),"Not Mapped"))</f>
        <v>Not Mapped</v>
      </c>
      <c r="D996" s="40" t="str">
        <f aca="false">IF(B996="","",IFERROR(INDEX('CLM &amp; IM Mapping'!$C$2:$C$270,MATCH(TRIM(B996),'CLM &amp; IM Mapping'!$A$2:$A$270,0)),"Not Mapped"))</f>
        <v>Not Mapped</v>
      </c>
      <c r="E996" s="41" t="n">
        <v>28</v>
      </c>
      <c r="F996" s="41" t="n">
        <v>11</v>
      </c>
      <c r="G996" s="41" t="n">
        <v>17</v>
      </c>
      <c r="H996" s="41" t="n">
        <v>0</v>
      </c>
      <c r="I996" s="41" t="n">
        <v>0</v>
      </c>
      <c r="J996" s="41" t="n">
        <v>0</v>
      </c>
      <c r="K996" s="41" t="n">
        <v>0</v>
      </c>
      <c r="L996" s="41" t="n">
        <v>0</v>
      </c>
    </row>
    <row r="997" customFormat="false" ht="15.75" hidden="false" customHeight="false" outlineLevel="0" collapsed="false">
      <c r="B997" s="39" t="s">
        <v>1130</v>
      </c>
      <c r="C997" s="40" t="str">
        <f aca="false">IF(B997="","",IFERROR(INDEX('CLM &amp; IM Mapping'!$B$2:$B$270,MATCH(TRIM(B997),'CLM &amp; IM Mapping'!$A$2:$A$270,0)),"Not Mapped"))</f>
        <v>Not Mapped</v>
      </c>
      <c r="D997" s="40" t="str">
        <f aca="false">IF(B997="","",IFERROR(INDEX('CLM &amp; IM Mapping'!$C$2:$C$270,MATCH(TRIM(B997),'CLM &amp; IM Mapping'!$A$2:$A$270,0)),"Not Mapped"))</f>
        <v>Not Mapped</v>
      </c>
      <c r="E997" s="41" t="n">
        <v>1292</v>
      </c>
      <c r="F997" s="41" t="n">
        <v>0</v>
      </c>
      <c r="G997" s="41" t="n">
        <v>1292</v>
      </c>
      <c r="H997" s="41" t="n">
        <v>0</v>
      </c>
      <c r="I997" s="41" t="n">
        <v>0</v>
      </c>
      <c r="J997" s="41" t="n">
        <v>0</v>
      </c>
      <c r="K997" s="41" t="n">
        <v>0</v>
      </c>
      <c r="L997" s="41" t="n">
        <v>0</v>
      </c>
    </row>
    <row r="998" customFormat="false" ht="15.75" hidden="false" customHeight="false" outlineLevel="0" collapsed="false">
      <c r="B998" s="39" t="s">
        <v>1131</v>
      </c>
      <c r="C998" s="40" t="str">
        <f aca="false">IF(B998="","",IFERROR(INDEX('CLM &amp; IM Mapping'!$B$2:$B$270,MATCH(TRIM(B998),'CLM &amp; IM Mapping'!$A$2:$A$270,0)),"Not Mapped"))</f>
        <v>Not Mapped</v>
      </c>
      <c r="D998" s="40" t="str">
        <f aca="false">IF(B998="","",IFERROR(INDEX('CLM &amp; IM Mapping'!$C$2:$C$270,MATCH(TRIM(B998),'CLM &amp; IM Mapping'!$A$2:$A$270,0)),"Not Mapped"))</f>
        <v>Not Mapped</v>
      </c>
      <c r="E998" s="41" t="n">
        <v>0</v>
      </c>
      <c r="F998" s="41" t="n">
        <v>0</v>
      </c>
      <c r="G998" s="41" t="n">
        <v>0</v>
      </c>
      <c r="H998" s="41" t="n">
        <v>0</v>
      </c>
      <c r="I998" s="41" t="n">
        <v>0</v>
      </c>
      <c r="J998" s="41" t="n">
        <v>0</v>
      </c>
      <c r="K998" s="41" t="n">
        <v>0</v>
      </c>
      <c r="L998" s="41" t="n">
        <v>0</v>
      </c>
    </row>
    <row r="999" customFormat="false" ht="15.75" hidden="false" customHeight="false" outlineLevel="0" collapsed="false">
      <c r="B999" s="39" t="s">
        <v>1132</v>
      </c>
      <c r="C999" s="40" t="str">
        <f aca="false">IF(B999="","",IFERROR(INDEX('CLM &amp; IM Mapping'!$B$2:$B$270,MATCH(TRIM(B999),'CLM &amp; IM Mapping'!$A$2:$A$270,0)),"Not Mapped"))</f>
        <v>Not Mapped</v>
      </c>
      <c r="D999" s="40" t="str">
        <f aca="false">IF(B999="","",IFERROR(INDEX('CLM &amp; IM Mapping'!$C$2:$C$270,MATCH(TRIM(B999),'CLM &amp; IM Mapping'!$A$2:$A$270,0)),"Not Mapped"))</f>
        <v>Not Mapped</v>
      </c>
      <c r="E999" s="41" t="n">
        <v>2751</v>
      </c>
      <c r="F999" s="41" t="n">
        <v>2751</v>
      </c>
      <c r="G999" s="41" t="n">
        <v>0</v>
      </c>
      <c r="H999" s="41" t="n">
        <v>0</v>
      </c>
      <c r="I999" s="41" t="n">
        <v>0</v>
      </c>
      <c r="J999" s="41" t="n">
        <v>0</v>
      </c>
      <c r="K999" s="41" t="n">
        <v>0</v>
      </c>
      <c r="L999" s="41" t="n">
        <v>0</v>
      </c>
    </row>
    <row r="1000" customFormat="false" ht="15.75" hidden="false" customHeight="false" outlineLevel="0" collapsed="false">
      <c r="B1000" s="39" t="s">
        <v>1133</v>
      </c>
      <c r="C1000" s="40" t="str">
        <f aca="false">IF(B1000="","",IFERROR(INDEX('CLM &amp; IM Mapping'!$B$2:$B$270,MATCH(TRIM(B1000),'CLM &amp; IM Mapping'!$A$2:$A$270,0)),"Not Mapped"))</f>
        <v>Not Mapped</v>
      </c>
      <c r="D1000" s="40" t="str">
        <f aca="false">IF(B1000="","",IFERROR(INDEX('CLM &amp; IM Mapping'!$C$2:$C$270,MATCH(TRIM(B1000),'CLM &amp; IM Mapping'!$A$2:$A$270,0)),"Not Mapped"))</f>
        <v>Not Mapped</v>
      </c>
      <c r="E1000" s="41" t="n">
        <v>484</v>
      </c>
      <c r="F1000" s="41" t="n">
        <v>0</v>
      </c>
      <c r="G1000" s="41" t="n">
        <v>371</v>
      </c>
      <c r="H1000" s="41" t="n">
        <v>113</v>
      </c>
      <c r="I1000" s="41" t="n">
        <v>0</v>
      </c>
      <c r="J1000" s="41" t="n">
        <v>0</v>
      </c>
      <c r="K1000" s="41" t="n">
        <v>0</v>
      </c>
      <c r="L1000" s="41" t="n">
        <v>113</v>
      </c>
    </row>
    <row r="1001" customFormat="false" ht="15.75" hidden="false" customHeight="false" outlineLevel="0" collapsed="false">
      <c r="B1001" s="39" t="s">
        <v>1134</v>
      </c>
      <c r="C1001" s="40" t="str">
        <f aca="false">IF(B1001="","",IFERROR(INDEX('CLM &amp; IM Mapping'!$B$2:$B$270,MATCH(TRIM(B1001),'CLM &amp; IM Mapping'!$A$2:$A$270,0)),"Not Mapped"))</f>
        <v>Not Mapped</v>
      </c>
      <c r="D1001" s="40" t="str">
        <f aca="false">IF(B1001="","",IFERROR(INDEX('CLM &amp; IM Mapping'!$C$2:$C$270,MATCH(TRIM(B1001),'CLM &amp; IM Mapping'!$A$2:$A$270,0)),"Not Mapped"))</f>
        <v>Not Mapped</v>
      </c>
      <c r="E1001" s="41" t="n">
        <v>533</v>
      </c>
      <c r="F1001" s="41" t="n">
        <v>0</v>
      </c>
      <c r="G1001" s="41" t="n">
        <v>523</v>
      </c>
      <c r="H1001" s="41" t="n">
        <v>10</v>
      </c>
      <c r="I1001" s="41" t="n">
        <v>0</v>
      </c>
      <c r="J1001" s="41" t="n">
        <v>0</v>
      </c>
      <c r="K1001" s="41" t="n">
        <v>0</v>
      </c>
      <c r="L1001" s="41" t="n">
        <v>10</v>
      </c>
    </row>
    <row r="1002" customFormat="false" ht="15.75" hidden="false" customHeight="false" outlineLevel="0" collapsed="false">
      <c r="B1002" s="39" t="s">
        <v>1135</v>
      </c>
      <c r="C1002" s="40" t="str">
        <f aca="false">IF(B1002="","",IFERROR(INDEX('CLM &amp; IM Mapping'!$B$2:$B$270,MATCH(TRIM(B1002),'CLM &amp; IM Mapping'!$A$2:$A$270,0)),"Not Mapped"))</f>
        <v>Not Mapped</v>
      </c>
      <c r="D1002" s="40" t="str">
        <f aca="false">IF(B1002="","",IFERROR(INDEX('CLM &amp; IM Mapping'!$C$2:$C$270,MATCH(TRIM(B1002),'CLM &amp; IM Mapping'!$A$2:$A$270,0)),"Not Mapped"))</f>
        <v>Not Mapped</v>
      </c>
      <c r="E1002" s="41" t="n">
        <v>195</v>
      </c>
      <c r="F1002" s="41" t="n">
        <v>0</v>
      </c>
      <c r="G1002" s="41" t="n">
        <v>195</v>
      </c>
      <c r="H1002" s="41" t="n">
        <v>0</v>
      </c>
      <c r="I1002" s="41" t="n">
        <v>0</v>
      </c>
      <c r="J1002" s="41" t="n">
        <v>0</v>
      </c>
      <c r="K1002" s="41" t="n">
        <v>0</v>
      </c>
      <c r="L1002" s="41" t="n">
        <v>0</v>
      </c>
    </row>
    <row r="1003" customFormat="false" ht="15.75" hidden="false" customHeight="false" outlineLevel="0" collapsed="false">
      <c r="B1003" s="39" t="s">
        <v>1136</v>
      </c>
      <c r="C1003" s="40" t="str">
        <f aca="false">IF(B1003="","",IFERROR(INDEX('CLM &amp; IM Mapping'!$B$2:$B$270,MATCH(TRIM(B1003),'CLM &amp; IM Mapping'!$A$2:$A$270,0)),"Not Mapped"))</f>
        <v>Not Mapped</v>
      </c>
      <c r="D1003" s="40" t="str">
        <f aca="false">IF(B1003="","",IFERROR(INDEX('CLM &amp; IM Mapping'!$C$2:$C$270,MATCH(TRIM(B1003),'CLM &amp; IM Mapping'!$A$2:$A$270,0)),"Not Mapped"))</f>
        <v>Not Mapped</v>
      </c>
      <c r="E1003" s="41" t="n">
        <v>129</v>
      </c>
      <c r="F1003" s="41" t="n">
        <v>129</v>
      </c>
      <c r="G1003" s="41" t="n">
        <v>0</v>
      </c>
      <c r="H1003" s="41" t="n">
        <v>0</v>
      </c>
      <c r="I1003" s="41" t="n">
        <v>0</v>
      </c>
      <c r="J1003" s="41" t="n">
        <v>0</v>
      </c>
      <c r="K1003" s="41" t="n">
        <v>0</v>
      </c>
      <c r="L1003" s="41" t="n">
        <v>0</v>
      </c>
    </row>
    <row r="1004" customFormat="false" ht="15.75" hidden="false" customHeight="false" outlineLevel="0" collapsed="false">
      <c r="B1004" s="39" t="s">
        <v>1137</v>
      </c>
      <c r="C1004" s="40" t="str">
        <f aca="false">IF(B1004="","",IFERROR(INDEX('CLM &amp; IM Mapping'!$B$2:$B$270,MATCH(TRIM(B1004),'CLM &amp; IM Mapping'!$A$2:$A$270,0)),"Not Mapped"))</f>
        <v>Not Mapped</v>
      </c>
      <c r="D1004" s="40" t="str">
        <f aca="false">IF(B1004="","",IFERROR(INDEX('CLM &amp; IM Mapping'!$C$2:$C$270,MATCH(TRIM(B1004),'CLM &amp; IM Mapping'!$A$2:$A$270,0)),"Not Mapped"))</f>
        <v>Not Mapped</v>
      </c>
      <c r="E1004" s="41" t="n">
        <v>597</v>
      </c>
      <c r="F1004" s="41" t="n">
        <v>0</v>
      </c>
      <c r="G1004" s="41" t="n">
        <v>0</v>
      </c>
      <c r="H1004" s="41" t="n">
        <v>597</v>
      </c>
      <c r="I1004" s="41" t="n">
        <v>0</v>
      </c>
      <c r="J1004" s="41" t="n">
        <v>0</v>
      </c>
      <c r="K1004" s="41" t="n">
        <v>0</v>
      </c>
      <c r="L1004" s="41" t="n">
        <v>597</v>
      </c>
    </row>
    <row r="1005" customFormat="false" ht="15.75" hidden="false" customHeight="false" outlineLevel="0" collapsed="false">
      <c r="B1005" s="39" t="s">
        <v>1138</v>
      </c>
      <c r="C1005" s="40" t="str">
        <f aca="false">IF(B1005="","",IFERROR(INDEX('CLM &amp; IM Mapping'!$B$2:$B$270,MATCH(TRIM(B1005),'CLM &amp; IM Mapping'!$A$2:$A$270,0)),"Not Mapped"))</f>
        <v>Not Mapped</v>
      </c>
      <c r="D1005" s="40" t="str">
        <f aca="false">IF(B1005="","",IFERROR(INDEX('CLM &amp; IM Mapping'!$C$2:$C$270,MATCH(TRIM(B1005),'CLM &amp; IM Mapping'!$A$2:$A$270,0)),"Not Mapped"))</f>
        <v>Not Mapped</v>
      </c>
      <c r="E1005" s="41" t="n">
        <v>2201</v>
      </c>
      <c r="F1005" s="41" t="n">
        <v>2155</v>
      </c>
      <c r="G1005" s="41" t="n">
        <v>46</v>
      </c>
      <c r="H1005" s="41" t="n">
        <v>0</v>
      </c>
      <c r="I1005" s="41" t="n">
        <v>0</v>
      </c>
      <c r="J1005" s="41" t="n">
        <v>0</v>
      </c>
      <c r="K1005" s="41" t="n">
        <v>0</v>
      </c>
      <c r="L1005" s="41" t="n">
        <v>0</v>
      </c>
    </row>
    <row r="1006" customFormat="false" ht="15.75" hidden="false" customHeight="false" outlineLevel="0" collapsed="false">
      <c r="B1006" s="39" t="s">
        <v>1139</v>
      </c>
      <c r="C1006" s="40" t="str">
        <f aca="false">IF(B1006="","",IFERROR(INDEX('CLM &amp; IM Mapping'!$B$2:$B$270,MATCH(TRIM(B1006),'CLM &amp; IM Mapping'!$A$2:$A$270,0)),"Not Mapped"))</f>
        <v>Not Mapped</v>
      </c>
      <c r="D1006" s="40" t="str">
        <f aca="false">IF(B1006="","",IFERROR(INDEX('CLM &amp; IM Mapping'!$C$2:$C$270,MATCH(TRIM(B1006),'CLM &amp; IM Mapping'!$A$2:$A$270,0)),"Not Mapped"))</f>
        <v>Not Mapped</v>
      </c>
      <c r="E1006" s="41" t="n">
        <v>4489</v>
      </c>
      <c r="F1006" s="41" t="n">
        <v>3089</v>
      </c>
      <c r="G1006" s="41" t="n">
        <v>1400</v>
      </c>
      <c r="H1006" s="41" t="n">
        <v>0</v>
      </c>
      <c r="I1006" s="41" t="n">
        <v>0</v>
      </c>
      <c r="J1006" s="41" t="n">
        <v>0</v>
      </c>
      <c r="K1006" s="41" t="n">
        <v>0</v>
      </c>
      <c r="L1006" s="41" t="n">
        <v>0</v>
      </c>
    </row>
    <row r="1007" customFormat="false" ht="15.75" hidden="false" customHeight="false" outlineLevel="0" collapsed="false">
      <c r="B1007" s="39" t="s">
        <v>1140</v>
      </c>
      <c r="C1007" s="40" t="str">
        <f aca="false">IF(B1007="","",IFERROR(INDEX('CLM &amp; IM Mapping'!$B$2:$B$270,MATCH(TRIM(B1007),'CLM &amp; IM Mapping'!$A$2:$A$270,0)),"Not Mapped"))</f>
        <v>Not Mapped</v>
      </c>
      <c r="D1007" s="40" t="str">
        <f aca="false">IF(B1007="","",IFERROR(INDEX('CLM &amp; IM Mapping'!$C$2:$C$270,MATCH(TRIM(B1007),'CLM &amp; IM Mapping'!$A$2:$A$270,0)),"Not Mapped"))</f>
        <v>Not Mapped</v>
      </c>
      <c r="E1007" s="41" t="n">
        <v>0</v>
      </c>
      <c r="F1007" s="41" t="n">
        <v>0</v>
      </c>
      <c r="G1007" s="41" t="n">
        <v>0</v>
      </c>
      <c r="H1007" s="41" t="n">
        <v>0</v>
      </c>
      <c r="I1007" s="41" t="n">
        <v>0</v>
      </c>
      <c r="J1007" s="41" t="n">
        <v>0</v>
      </c>
      <c r="K1007" s="41" t="n">
        <v>0</v>
      </c>
      <c r="L1007" s="41" t="n">
        <v>0</v>
      </c>
    </row>
    <row r="1008" customFormat="false" ht="15.75" hidden="false" customHeight="false" outlineLevel="0" collapsed="false">
      <c r="B1008" s="39" t="s">
        <v>1141</v>
      </c>
      <c r="C1008" s="40" t="str">
        <f aca="false">IF(B1008="","",IFERROR(INDEX('CLM &amp; IM Mapping'!$B$2:$B$270,MATCH(TRIM(B1008),'CLM &amp; IM Mapping'!$A$2:$A$270,0)),"Not Mapped"))</f>
        <v>Not Mapped</v>
      </c>
      <c r="D1008" s="40" t="str">
        <f aca="false">IF(B1008="","",IFERROR(INDEX('CLM &amp; IM Mapping'!$C$2:$C$270,MATCH(TRIM(B1008),'CLM &amp; IM Mapping'!$A$2:$A$270,0)),"Not Mapped"))</f>
        <v>Not Mapped</v>
      </c>
      <c r="E1008" s="41" t="n">
        <v>7</v>
      </c>
      <c r="F1008" s="41" t="n">
        <v>7</v>
      </c>
      <c r="G1008" s="41" t="n">
        <v>0</v>
      </c>
      <c r="H1008" s="41" t="n">
        <v>0</v>
      </c>
      <c r="I1008" s="41" t="n">
        <v>0</v>
      </c>
      <c r="J1008" s="41" t="n">
        <v>0</v>
      </c>
      <c r="K1008" s="41" t="n">
        <v>0</v>
      </c>
      <c r="L1008" s="41" t="n">
        <v>0</v>
      </c>
    </row>
    <row r="1009" customFormat="false" ht="15.75" hidden="false" customHeight="false" outlineLevel="0" collapsed="false">
      <c r="B1009" s="39" t="s">
        <v>1142</v>
      </c>
      <c r="C1009" s="40" t="str">
        <f aca="false">IF(B1009="","",IFERROR(INDEX('CLM &amp; IM Mapping'!$B$2:$B$270,MATCH(TRIM(B1009),'CLM &amp; IM Mapping'!$A$2:$A$270,0)),"Not Mapped"))</f>
        <v>Not Mapped</v>
      </c>
      <c r="D1009" s="40" t="str">
        <f aca="false">IF(B1009="","",IFERROR(INDEX('CLM &amp; IM Mapping'!$C$2:$C$270,MATCH(TRIM(B1009),'CLM &amp; IM Mapping'!$A$2:$A$270,0)),"Not Mapped"))</f>
        <v>Not Mapped</v>
      </c>
      <c r="E1009" s="41" t="n">
        <v>0</v>
      </c>
      <c r="F1009" s="41" t="n">
        <v>0</v>
      </c>
      <c r="G1009" s="41" t="n">
        <v>0</v>
      </c>
      <c r="H1009" s="41" t="n">
        <v>0</v>
      </c>
      <c r="I1009" s="41" t="n">
        <v>0</v>
      </c>
      <c r="J1009" s="41" t="n">
        <v>0</v>
      </c>
      <c r="K1009" s="41" t="n">
        <v>0</v>
      </c>
      <c r="L1009" s="41" t="n">
        <v>0</v>
      </c>
    </row>
    <row r="1010" customFormat="false" ht="15.75" hidden="false" customHeight="false" outlineLevel="0" collapsed="false">
      <c r="B1010" s="39" t="s">
        <v>1143</v>
      </c>
      <c r="C1010" s="40" t="str">
        <f aca="false">IF(B1010="","",IFERROR(INDEX('CLM &amp; IM Mapping'!$B$2:$B$270,MATCH(TRIM(B1010),'CLM &amp; IM Mapping'!$A$2:$A$270,0)),"Not Mapped"))</f>
        <v>Not Mapped</v>
      </c>
      <c r="D1010" s="40" t="str">
        <f aca="false">IF(B1010="","",IFERROR(INDEX('CLM &amp; IM Mapping'!$C$2:$C$270,MATCH(TRIM(B1010),'CLM &amp; IM Mapping'!$A$2:$A$270,0)),"Not Mapped"))</f>
        <v>Not Mapped</v>
      </c>
      <c r="E1010" s="41" t="n">
        <v>334</v>
      </c>
      <c r="F1010" s="41" t="n">
        <v>0</v>
      </c>
      <c r="G1010" s="41" t="n">
        <v>333</v>
      </c>
      <c r="H1010" s="41" t="n">
        <v>0</v>
      </c>
      <c r="I1010" s="41" t="n">
        <v>0</v>
      </c>
      <c r="J1010" s="41" t="n">
        <v>0</v>
      </c>
      <c r="K1010" s="41" t="n">
        <v>1</v>
      </c>
      <c r="L1010" s="41" t="n">
        <v>1</v>
      </c>
    </row>
    <row r="1011" customFormat="false" ht="15.75" hidden="false" customHeight="false" outlineLevel="0" collapsed="false">
      <c r="B1011" s="39" t="s">
        <v>1144</v>
      </c>
      <c r="C1011" s="40" t="str">
        <f aca="false">IF(B1011="","",IFERROR(INDEX('CLM &amp; IM Mapping'!$B$2:$B$270,MATCH(TRIM(B1011),'CLM &amp; IM Mapping'!$A$2:$A$270,0)),"Not Mapped"))</f>
        <v>Not Mapped</v>
      </c>
      <c r="D1011" s="40" t="str">
        <f aca="false">IF(B1011="","",IFERROR(INDEX('CLM &amp; IM Mapping'!$C$2:$C$270,MATCH(TRIM(B1011),'CLM &amp; IM Mapping'!$A$2:$A$270,0)),"Not Mapped"))</f>
        <v>Not Mapped</v>
      </c>
      <c r="E1011" s="41" t="n">
        <v>1545</v>
      </c>
      <c r="F1011" s="41" t="n">
        <v>1545</v>
      </c>
      <c r="G1011" s="41" t="n">
        <v>0</v>
      </c>
      <c r="H1011" s="41" t="n">
        <v>0</v>
      </c>
      <c r="I1011" s="41" t="n">
        <v>0</v>
      </c>
      <c r="J1011" s="41" t="n">
        <v>0</v>
      </c>
      <c r="K1011" s="41" t="n">
        <v>0</v>
      </c>
      <c r="L1011" s="41" t="n">
        <v>0</v>
      </c>
    </row>
    <row r="1012" customFormat="false" ht="15.75" hidden="false" customHeight="false" outlineLevel="0" collapsed="false">
      <c r="B1012" s="39" t="s">
        <v>1145</v>
      </c>
      <c r="C1012" s="40" t="str">
        <f aca="false">IF(B1012="","",IFERROR(INDEX('CLM &amp; IM Mapping'!$B$2:$B$270,MATCH(TRIM(B1012),'CLM &amp; IM Mapping'!$A$2:$A$270,0)),"Not Mapped"))</f>
        <v>Not Mapped</v>
      </c>
      <c r="D1012" s="40" t="str">
        <f aca="false">IF(B1012="","",IFERROR(INDEX('CLM &amp; IM Mapping'!$C$2:$C$270,MATCH(TRIM(B1012),'CLM &amp; IM Mapping'!$A$2:$A$270,0)),"Not Mapped"))</f>
        <v>Not Mapped</v>
      </c>
      <c r="E1012" s="41" t="n">
        <v>460</v>
      </c>
      <c r="F1012" s="41" t="n">
        <v>460</v>
      </c>
      <c r="G1012" s="41" t="n">
        <v>0</v>
      </c>
      <c r="H1012" s="41" t="n">
        <v>0</v>
      </c>
      <c r="I1012" s="41" t="n">
        <v>0</v>
      </c>
      <c r="J1012" s="41" t="n">
        <v>0</v>
      </c>
      <c r="K1012" s="41" t="n">
        <v>0</v>
      </c>
      <c r="L1012" s="41" t="n">
        <v>0</v>
      </c>
    </row>
    <row r="1013" customFormat="false" ht="15.75" hidden="false" customHeight="false" outlineLevel="0" collapsed="false">
      <c r="B1013" s="39" t="s">
        <v>284</v>
      </c>
      <c r="C1013" s="40" t="str">
        <f aca="false">IF(B1013="","",IFERROR(INDEX('CLM &amp; IM Mapping'!$B$2:$B$270,MATCH(TRIM(B1013),'CLM &amp; IM Mapping'!$A$2:$A$270,0)),"Not Mapped"))</f>
        <v>Vishnu V</v>
      </c>
      <c r="D1013" s="40" t="str">
        <f aca="false">IF(B1013="","",IFERROR(INDEX('CLM &amp; IM Mapping'!$C$2:$C$270,MATCH(TRIM(B1013),'CLM &amp; IM Mapping'!$A$2:$A$270,0)),"Not Mapped"))</f>
        <v>Arivind S</v>
      </c>
      <c r="E1013" s="41" t="n">
        <v>47</v>
      </c>
      <c r="F1013" s="41" t="n">
        <v>0</v>
      </c>
      <c r="G1013" s="41" t="n">
        <v>0</v>
      </c>
      <c r="H1013" s="41" t="n">
        <v>0</v>
      </c>
      <c r="I1013" s="41" t="n">
        <v>0</v>
      </c>
      <c r="J1013" s="41" t="n">
        <v>0</v>
      </c>
      <c r="K1013" s="41" t="n">
        <v>47</v>
      </c>
      <c r="L1013" s="41" t="n">
        <v>47</v>
      </c>
    </row>
    <row r="1014" customFormat="false" ht="15.75" hidden="false" customHeight="false" outlineLevel="0" collapsed="false">
      <c r="B1014" s="39" t="s">
        <v>1146</v>
      </c>
      <c r="C1014" s="40" t="str">
        <f aca="false">IF(B1014="","",IFERROR(INDEX('CLM &amp; IM Mapping'!$B$2:$B$270,MATCH(TRIM(B1014),'CLM &amp; IM Mapping'!$A$2:$A$270,0)),"Not Mapped"))</f>
        <v>Not Mapped</v>
      </c>
      <c r="D1014" s="40" t="str">
        <f aca="false">IF(B1014="","",IFERROR(INDEX('CLM &amp; IM Mapping'!$C$2:$C$270,MATCH(TRIM(B1014),'CLM &amp; IM Mapping'!$A$2:$A$270,0)),"Not Mapped"))</f>
        <v>Not Mapped</v>
      </c>
      <c r="E1014" s="41" t="n">
        <v>0</v>
      </c>
      <c r="F1014" s="41" t="n">
        <v>0</v>
      </c>
      <c r="G1014" s="41" t="n">
        <v>0</v>
      </c>
      <c r="H1014" s="41" t="n">
        <v>0</v>
      </c>
      <c r="I1014" s="41" t="n">
        <v>0</v>
      </c>
      <c r="J1014" s="41" t="n">
        <v>0</v>
      </c>
      <c r="K1014" s="41" t="n">
        <v>0</v>
      </c>
      <c r="L1014" s="41" t="n">
        <v>0</v>
      </c>
    </row>
    <row r="1015" customFormat="false" ht="15.75" hidden="false" customHeight="false" outlineLevel="0" collapsed="false">
      <c r="B1015" s="39" t="s">
        <v>1147</v>
      </c>
      <c r="C1015" s="40" t="str">
        <f aca="false">IF(B1015="","",IFERROR(INDEX('CLM &amp; IM Mapping'!$B$2:$B$270,MATCH(TRIM(B1015),'CLM &amp; IM Mapping'!$A$2:$A$270,0)),"Not Mapped"))</f>
        <v>Not Mapped</v>
      </c>
      <c r="D1015" s="40" t="str">
        <f aca="false">IF(B1015="","",IFERROR(INDEX('CLM &amp; IM Mapping'!$C$2:$C$270,MATCH(TRIM(B1015),'CLM &amp; IM Mapping'!$A$2:$A$270,0)),"Not Mapped"))</f>
        <v>Not Mapped</v>
      </c>
      <c r="E1015" s="41" t="n">
        <v>1421</v>
      </c>
      <c r="F1015" s="41" t="n">
        <v>1421</v>
      </c>
      <c r="G1015" s="41" t="n">
        <v>0</v>
      </c>
      <c r="H1015" s="41" t="n">
        <v>0</v>
      </c>
      <c r="I1015" s="41" t="n">
        <v>0</v>
      </c>
      <c r="J1015" s="41" t="n">
        <v>0</v>
      </c>
      <c r="K1015" s="41" t="n">
        <v>0</v>
      </c>
      <c r="L1015" s="41" t="n">
        <v>0</v>
      </c>
    </row>
    <row r="1016" customFormat="false" ht="15.75" hidden="false" customHeight="false" outlineLevel="0" collapsed="false">
      <c r="B1016" s="39" t="s">
        <v>1148</v>
      </c>
      <c r="C1016" s="40" t="str">
        <f aca="false">IF(B1016="","",IFERROR(INDEX('CLM &amp; IM Mapping'!$B$2:$B$270,MATCH(TRIM(B1016),'CLM &amp; IM Mapping'!$A$2:$A$270,0)),"Not Mapped"))</f>
        <v>Not Mapped</v>
      </c>
      <c r="D1016" s="40" t="str">
        <f aca="false">IF(B1016="","",IFERROR(INDEX('CLM &amp; IM Mapping'!$C$2:$C$270,MATCH(TRIM(B1016),'CLM &amp; IM Mapping'!$A$2:$A$270,0)),"Not Mapped"))</f>
        <v>Not Mapped</v>
      </c>
      <c r="E1016" s="41" t="n">
        <v>1243</v>
      </c>
      <c r="F1016" s="41" t="n">
        <v>0</v>
      </c>
      <c r="G1016" s="41" t="n">
        <v>1243</v>
      </c>
      <c r="H1016" s="41" t="n">
        <v>0</v>
      </c>
      <c r="I1016" s="41" t="n">
        <v>0</v>
      </c>
      <c r="J1016" s="41" t="n">
        <v>0</v>
      </c>
      <c r="K1016" s="41" t="n">
        <v>0</v>
      </c>
      <c r="L1016" s="41" t="n">
        <v>0</v>
      </c>
    </row>
    <row r="1017" customFormat="false" ht="15.75" hidden="false" customHeight="false" outlineLevel="0" collapsed="false">
      <c r="B1017" s="23" t="s">
        <v>1149</v>
      </c>
      <c r="C1017" s="44" t="str">
        <f aca="false">IF(B1017="","",IFERROR(INDEX('CLM &amp; IM Mapping'!$B$2:$B$270,MATCH(TRIM(B1017),'CLM &amp; IM Mapping'!$A$2:$A$270,0)),"Not Mapped"))</f>
        <v>Not Mapped</v>
      </c>
      <c r="D1017" s="44" t="str">
        <f aca="false">IF(B1017="","",IFERROR(INDEX('CLM &amp; IM Mapping'!$C$2:$C$270,MATCH(TRIM(B1017),'CLM &amp; IM Mapping'!$A$2:$A$270,0)),"Not Mapped"))</f>
        <v>Not Mapped</v>
      </c>
      <c r="E1017" s="41" t="n">
        <v>0</v>
      </c>
      <c r="F1017" s="41" t="n">
        <v>0</v>
      </c>
      <c r="G1017" s="41" t="n">
        <v>0</v>
      </c>
      <c r="H1017" s="41" t="n">
        <v>0</v>
      </c>
      <c r="I1017" s="41" t="n">
        <v>0</v>
      </c>
      <c r="J1017" s="41" t="n">
        <v>0</v>
      </c>
      <c r="K1017" s="41" t="n">
        <v>0</v>
      </c>
      <c r="L1017" s="41" t="n">
        <v>0</v>
      </c>
    </row>
    <row r="1018" customFormat="false" ht="15.75" hidden="false" customHeight="false" outlineLevel="0" collapsed="false">
      <c r="B1018" s="39" t="s">
        <v>1150</v>
      </c>
      <c r="C1018" s="40" t="str">
        <f aca="false">IF(B1018="","",IFERROR(INDEX('CLM &amp; IM Mapping'!$B$2:$B$270,MATCH(TRIM(B1018),'CLM &amp; IM Mapping'!$A$2:$A$270,0)),"Not Mapped"))</f>
        <v>Not Mapped</v>
      </c>
      <c r="D1018" s="40" t="str">
        <f aca="false">IF(B1018="","",IFERROR(INDEX('CLM &amp; IM Mapping'!$C$2:$C$270,MATCH(TRIM(B1018),'CLM &amp; IM Mapping'!$A$2:$A$270,0)),"Not Mapped"))</f>
        <v>Not Mapped</v>
      </c>
      <c r="E1018" s="41" t="n">
        <v>0</v>
      </c>
      <c r="F1018" s="41" t="n">
        <v>0</v>
      </c>
      <c r="G1018" s="41" t="n">
        <v>0</v>
      </c>
      <c r="H1018" s="41" t="n">
        <v>0</v>
      </c>
      <c r="I1018" s="41" t="n">
        <v>0</v>
      </c>
      <c r="J1018" s="41" t="n">
        <v>0</v>
      </c>
      <c r="K1018" s="41" t="n">
        <v>0</v>
      </c>
      <c r="L1018" s="41" t="n">
        <v>0</v>
      </c>
    </row>
    <row r="1019" customFormat="false" ht="15.75" hidden="false" customHeight="false" outlineLevel="0" collapsed="false">
      <c r="B1019" s="39" t="s">
        <v>1151</v>
      </c>
      <c r="C1019" s="40" t="str">
        <f aca="false">IF(B1019="","",IFERROR(INDEX('CLM &amp; IM Mapping'!$B$2:$B$270,MATCH(TRIM(B1019),'CLM &amp; IM Mapping'!$A$2:$A$270,0)),"Not Mapped"))</f>
        <v>Not Mapped</v>
      </c>
      <c r="D1019" s="40" t="str">
        <f aca="false">IF(B1019="","",IFERROR(INDEX('CLM &amp; IM Mapping'!$C$2:$C$270,MATCH(TRIM(B1019),'CLM &amp; IM Mapping'!$A$2:$A$270,0)),"Not Mapped"))</f>
        <v>Not Mapped</v>
      </c>
      <c r="E1019" s="41" t="n">
        <v>0</v>
      </c>
      <c r="F1019" s="41" t="n">
        <v>0</v>
      </c>
      <c r="G1019" s="41" t="n">
        <v>0</v>
      </c>
      <c r="H1019" s="41" t="n">
        <v>0</v>
      </c>
      <c r="I1019" s="41" t="n">
        <v>0</v>
      </c>
      <c r="J1019" s="41" t="n">
        <v>0</v>
      </c>
      <c r="K1019" s="41" t="n">
        <v>0</v>
      </c>
      <c r="L1019" s="41" t="n">
        <v>0</v>
      </c>
    </row>
    <row r="1020" customFormat="false" ht="15.75" hidden="false" customHeight="false" outlineLevel="0" collapsed="false">
      <c r="B1020" s="39" t="s">
        <v>1152</v>
      </c>
      <c r="C1020" s="40" t="str">
        <f aca="false">IF(B1020="","",IFERROR(INDEX('CLM &amp; IM Mapping'!$B$2:$B$270,MATCH(TRIM(B1020),'CLM &amp; IM Mapping'!$A$2:$A$270,0)),"Not Mapped"))</f>
        <v>Not Mapped</v>
      </c>
      <c r="D1020" s="40" t="str">
        <f aca="false">IF(B1020="","",IFERROR(INDEX('CLM &amp; IM Mapping'!$C$2:$C$270,MATCH(TRIM(B1020),'CLM &amp; IM Mapping'!$A$2:$A$270,0)),"Not Mapped"))</f>
        <v>Not Mapped</v>
      </c>
      <c r="E1020" s="41" t="n">
        <v>395</v>
      </c>
      <c r="F1020" s="41" t="n">
        <v>0</v>
      </c>
      <c r="G1020" s="41" t="n">
        <v>395</v>
      </c>
      <c r="H1020" s="41" t="n">
        <v>0</v>
      </c>
      <c r="I1020" s="41" t="n">
        <v>0</v>
      </c>
      <c r="J1020" s="41" t="n">
        <v>0</v>
      </c>
      <c r="K1020" s="41" t="n">
        <v>0</v>
      </c>
      <c r="L1020" s="41" t="n">
        <v>0</v>
      </c>
    </row>
    <row r="1021" customFormat="false" ht="15.75" hidden="false" customHeight="false" outlineLevel="0" collapsed="false">
      <c r="B1021" s="39" t="s">
        <v>1153</v>
      </c>
      <c r="C1021" s="40" t="str">
        <f aca="false">IF(B1021="","",IFERROR(INDEX('CLM &amp; IM Mapping'!$B$2:$B$270,MATCH(TRIM(B1021),'CLM &amp; IM Mapping'!$A$2:$A$270,0)),"Not Mapped"))</f>
        <v>Not Mapped</v>
      </c>
      <c r="D1021" s="40" t="str">
        <f aca="false">IF(B1021="","",IFERROR(INDEX('CLM &amp; IM Mapping'!$C$2:$C$270,MATCH(TRIM(B1021),'CLM &amp; IM Mapping'!$A$2:$A$270,0)),"Not Mapped"))</f>
        <v>Not Mapped</v>
      </c>
      <c r="E1021" s="41" t="n">
        <v>0</v>
      </c>
      <c r="F1021" s="41" t="n">
        <v>0</v>
      </c>
      <c r="G1021" s="41" t="n">
        <v>0</v>
      </c>
      <c r="H1021" s="41" t="n">
        <v>0</v>
      </c>
      <c r="I1021" s="41" t="n">
        <v>0</v>
      </c>
      <c r="J1021" s="41" t="n">
        <v>0</v>
      </c>
      <c r="K1021" s="41" t="n">
        <v>0</v>
      </c>
      <c r="L1021" s="41" t="n">
        <v>0</v>
      </c>
    </row>
    <row r="1022" customFormat="false" ht="15.75" hidden="false" customHeight="false" outlineLevel="0" collapsed="false">
      <c r="B1022" s="39" t="s">
        <v>1154</v>
      </c>
      <c r="C1022" s="40" t="str">
        <f aca="false">IF(B1022="","",IFERROR(INDEX('CLM &amp; IM Mapping'!$B$2:$B$270,MATCH(TRIM(B1022),'CLM &amp; IM Mapping'!$A$2:$A$270,0)),"Not Mapped"))</f>
        <v>Not Mapped</v>
      </c>
      <c r="D1022" s="40" t="str">
        <f aca="false">IF(B1022="","",IFERROR(INDEX('CLM &amp; IM Mapping'!$C$2:$C$270,MATCH(TRIM(B1022),'CLM &amp; IM Mapping'!$A$2:$A$270,0)),"Not Mapped"))</f>
        <v>Not Mapped</v>
      </c>
      <c r="E1022" s="41" t="n">
        <v>0</v>
      </c>
      <c r="F1022" s="41" t="n">
        <v>0</v>
      </c>
      <c r="G1022" s="41" t="n">
        <v>0</v>
      </c>
      <c r="H1022" s="41" t="n">
        <v>0</v>
      </c>
      <c r="I1022" s="41" t="n">
        <v>0</v>
      </c>
      <c r="J1022" s="41" t="n">
        <v>0</v>
      </c>
      <c r="K1022" s="41" t="n">
        <v>0</v>
      </c>
      <c r="L1022" s="41" t="n">
        <v>0</v>
      </c>
    </row>
    <row r="1023" customFormat="false" ht="15.75" hidden="false" customHeight="false" outlineLevel="0" collapsed="false">
      <c r="B1023" s="39" t="s">
        <v>1155</v>
      </c>
      <c r="C1023" s="40" t="str">
        <f aca="false">IF(B1023="","",IFERROR(INDEX('CLM &amp; IM Mapping'!$B$2:$B$270,MATCH(TRIM(B1023),'CLM &amp; IM Mapping'!$A$2:$A$270,0)),"Not Mapped"))</f>
        <v>Not Mapped</v>
      </c>
      <c r="D1023" s="40" t="str">
        <f aca="false">IF(B1023="","",IFERROR(INDEX('CLM &amp; IM Mapping'!$C$2:$C$270,MATCH(TRIM(B1023),'CLM &amp; IM Mapping'!$A$2:$A$270,0)),"Not Mapped"))</f>
        <v>Not Mapped</v>
      </c>
      <c r="E1023" s="41" t="n">
        <v>0</v>
      </c>
      <c r="F1023" s="41" t="n">
        <v>0</v>
      </c>
      <c r="G1023" s="41" t="n">
        <v>0</v>
      </c>
      <c r="H1023" s="41" t="n">
        <v>0</v>
      </c>
      <c r="I1023" s="41" t="n">
        <v>0</v>
      </c>
      <c r="J1023" s="41" t="n">
        <v>0</v>
      </c>
      <c r="K1023" s="41" t="n">
        <v>0</v>
      </c>
      <c r="L1023" s="41" t="n">
        <v>0</v>
      </c>
    </row>
    <row r="1024" customFormat="false" ht="15.75" hidden="false" customHeight="false" outlineLevel="0" collapsed="false">
      <c r="B1024" s="39" t="s">
        <v>1156</v>
      </c>
      <c r="C1024" s="40" t="str">
        <f aca="false">IF(B1024="","",IFERROR(INDEX('CLM &amp; IM Mapping'!$B$2:$B$270,MATCH(TRIM(B1024),'CLM &amp; IM Mapping'!$A$2:$A$270,0)),"Not Mapped"))</f>
        <v>Not Mapped</v>
      </c>
      <c r="D1024" s="40" t="str">
        <f aca="false">IF(B1024="","",IFERROR(INDEX('CLM &amp; IM Mapping'!$C$2:$C$270,MATCH(TRIM(B1024),'CLM &amp; IM Mapping'!$A$2:$A$270,0)),"Not Mapped"))</f>
        <v>Not Mapped</v>
      </c>
      <c r="E1024" s="41" t="n">
        <v>0</v>
      </c>
      <c r="F1024" s="41" t="n">
        <v>0</v>
      </c>
      <c r="G1024" s="41" t="n">
        <v>0</v>
      </c>
      <c r="H1024" s="41" t="n">
        <v>0</v>
      </c>
      <c r="I1024" s="41" t="n">
        <v>0</v>
      </c>
      <c r="J1024" s="41" t="n">
        <v>0</v>
      </c>
      <c r="K1024" s="41" t="n">
        <v>0</v>
      </c>
      <c r="L1024" s="41" t="n">
        <v>0</v>
      </c>
    </row>
    <row r="1025" customFormat="false" ht="15.75" hidden="false" customHeight="false" outlineLevel="0" collapsed="false">
      <c r="B1025" s="39" t="s">
        <v>1157</v>
      </c>
      <c r="C1025" s="40" t="str">
        <f aca="false">IF(B1025="","",IFERROR(INDEX('CLM &amp; IM Mapping'!$B$2:$B$270,MATCH(TRIM(B1025),'CLM &amp; IM Mapping'!$A$2:$A$270,0)),"Not Mapped"))</f>
        <v>Not Mapped</v>
      </c>
      <c r="D1025" s="40" t="str">
        <f aca="false">IF(B1025="","",IFERROR(INDEX('CLM &amp; IM Mapping'!$C$2:$C$270,MATCH(TRIM(B1025),'CLM &amp; IM Mapping'!$A$2:$A$270,0)),"Not Mapped"))</f>
        <v>Not Mapped</v>
      </c>
      <c r="E1025" s="41" t="n">
        <v>1680</v>
      </c>
      <c r="F1025" s="41" t="n">
        <v>1443</v>
      </c>
      <c r="G1025" s="41" t="n">
        <v>0</v>
      </c>
      <c r="H1025" s="41" t="n">
        <v>0</v>
      </c>
      <c r="I1025" s="41" t="n">
        <v>237</v>
      </c>
      <c r="J1025" s="41" t="n">
        <v>0</v>
      </c>
      <c r="K1025" s="41" t="n">
        <v>0</v>
      </c>
      <c r="L1025" s="41" t="n">
        <v>237</v>
      </c>
    </row>
    <row r="1026" customFormat="false" ht="15.75" hidden="false" customHeight="false" outlineLevel="0" collapsed="false">
      <c r="B1026" s="39" t="s">
        <v>1158</v>
      </c>
      <c r="C1026" s="40" t="str">
        <f aca="false">IF(B1026="","",IFERROR(INDEX('CLM &amp; IM Mapping'!$B$2:$B$270,MATCH(TRIM(B1026),'CLM &amp; IM Mapping'!$A$2:$A$270,0)),"Not Mapped"))</f>
        <v>Not Mapped</v>
      </c>
      <c r="D1026" s="40" t="str">
        <f aca="false">IF(B1026="","",IFERROR(INDEX('CLM &amp; IM Mapping'!$C$2:$C$270,MATCH(TRIM(B1026),'CLM &amp; IM Mapping'!$A$2:$A$270,0)),"Not Mapped"))</f>
        <v>Not Mapped</v>
      </c>
      <c r="E1026" s="41" t="n">
        <v>1505</v>
      </c>
      <c r="F1026" s="41" t="n">
        <v>893</v>
      </c>
      <c r="G1026" s="41" t="n">
        <v>612</v>
      </c>
      <c r="H1026" s="41" t="n">
        <v>0</v>
      </c>
      <c r="I1026" s="41" t="n">
        <v>0</v>
      </c>
      <c r="J1026" s="41" t="n">
        <v>0</v>
      </c>
      <c r="K1026" s="41" t="n">
        <v>0</v>
      </c>
      <c r="L1026" s="41" t="n">
        <v>0</v>
      </c>
    </row>
    <row r="1027" customFormat="false" ht="15.75" hidden="false" customHeight="false" outlineLevel="0" collapsed="false">
      <c r="B1027" s="39" t="s">
        <v>1159</v>
      </c>
      <c r="C1027" s="40" t="str">
        <f aca="false">IF(B1027="","",IFERROR(INDEX('CLM &amp; IM Mapping'!$B$2:$B$270,MATCH(TRIM(B1027),'CLM &amp; IM Mapping'!$A$2:$A$270,0)),"Not Mapped"))</f>
        <v>Not Mapped</v>
      </c>
      <c r="D1027" s="40" t="str">
        <f aca="false">IF(B1027="","",IFERROR(INDEX('CLM &amp; IM Mapping'!$C$2:$C$270,MATCH(TRIM(B1027),'CLM &amp; IM Mapping'!$A$2:$A$270,0)),"Not Mapped"))</f>
        <v>Not Mapped</v>
      </c>
      <c r="E1027" s="41" t="n">
        <v>0</v>
      </c>
      <c r="F1027" s="41" t="n">
        <v>0</v>
      </c>
      <c r="G1027" s="41" t="n">
        <v>0</v>
      </c>
      <c r="H1027" s="41" t="n">
        <v>0</v>
      </c>
      <c r="I1027" s="41" t="n">
        <v>0</v>
      </c>
      <c r="J1027" s="41" t="n">
        <v>0</v>
      </c>
      <c r="K1027" s="41" t="n">
        <v>0</v>
      </c>
      <c r="L1027" s="41" t="n">
        <v>0</v>
      </c>
    </row>
    <row r="1028" customFormat="false" ht="15.75" hidden="false" customHeight="false" outlineLevel="0" collapsed="false">
      <c r="B1028" s="39" t="s">
        <v>1160</v>
      </c>
      <c r="C1028" s="40" t="str">
        <f aca="false">IF(B1028="","",IFERROR(INDEX('CLM &amp; IM Mapping'!$B$2:$B$270,MATCH(TRIM(B1028),'CLM &amp; IM Mapping'!$A$2:$A$270,0)),"Not Mapped"))</f>
        <v>Not Mapped</v>
      </c>
      <c r="D1028" s="40" t="str">
        <f aca="false">IF(B1028="","",IFERROR(INDEX('CLM &amp; IM Mapping'!$C$2:$C$270,MATCH(TRIM(B1028),'CLM &amp; IM Mapping'!$A$2:$A$270,0)),"Not Mapped"))</f>
        <v>Not Mapped</v>
      </c>
      <c r="E1028" s="41" t="n">
        <v>0</v>
      </c>
      <c r="F1028" s="41" t="n">
        <v>0</v>
      </c>
      <c r="G1028" s="41" t="n">
        <v>0</v>
      </c>
      <c r="H1028" s="41" t="n">
        <v>0</v>
      </c>
      <c r="I1028" s="41" t="n">
        <v>0</v>
      </c>
      <c r="J1028" s="41" t="n">
        <v>0</v>
      </c>
      <c r="K1028" s="41" t="n">
        <v>0</v>
      </c>
      <c r="L1028" s="41" t="n">
        <v>0</v>
      </c>
    </row>
    <row r="1029" customFormat="false" ht="15.75" hidden="false" customHeight="false" outlineLevel="0" collapsed="false">
      <c r="B1029" s="39" t="s">
        <v>1161</v>
      </c>
      <c r="C1029" s="40" t="str">
        <f aca="false">IF(B1029="","",IFERROR(INDEX('CLM &amp; IM Mapping'!$B$2:$B$270,MATCH(TRIM(B1029),'CLM &amp; IM Mapping'!$A$2:$A$270,0)),"Not Mapped"))</f>
        <v>Not Mapped</v>
      </c>
      <c r="D1029" s="40" t="str">
        <f aca="false">IF(B1029="","",IFERROR(INDEX('CLM &amp; IM Mapping'!$C$2:$C$270,MATCH(TRIM(B1029),'CLM &amp; IM Mapping'!$A$2:$A$270,0)),"Not Mapped"))</f>
        <v>Not Mapped</v>
      </c>
      <c r="E1029" s="41" t="n">
        <v>2570</v>
      </c>
      <c r="F1029" s="41" t="n">
        <v>0</v>
      </c>
      <c r="G1029" s="41" t="n">
        <v>2570</v>
      </c>
      <c r="H1029" s="41" t="n">
        <v>0</v>
      </c>
      <c r="I1029" s="41" t="n">
        <v>0</v>
      </c>
      <c r="J1029" s="41" t="n">
        <v>0</v>
      </c>
      <c r="K1029" s="41" t="n">
        <v>0</v>
      </c>
      <c r="L1029" s="41" t="n">
        <v>0</v>
      </c>
    </row>
    <row r="1030" customFormat="false" ht="15.75" hidden="false" customHeight="false" outlineLevel="0" collapsed="false">
      <c r="B1030" s="39" t="s">
        <v>1162</v>
      </c>
      <c r="C1030" s="40" t="str">
        <f aca="false">IF(B1030="","",IFERROR(INDEX('CLM &amp; IM Mapping'!$B$2:$B$270,MATCH(TRIM(B1030),'CLM &amp; IM Mapping'!$A$2:$A$270,0)),"Not Mapped"))</f>
        <v>Not Mapped</v>
      </c>
      <c r="D1030" s="40" t="str">
        <f aca="false">IF(B1030="","",IFERROR(INDEX('CLM &amp; IM Mapping'!$C$2:$C$270,MATCH(TRIM(B1030),'CLM &amp; IM Mapping'!$A$2:$A$270,0)),"Not Mapped"))</f>
        <v>Not Mapped</v>
      </c>
      <c r="E1030" s="41" t="n">
        <v>0</v>
      </c>
      <c r="F1030" s="41" t="n">
        <v>0</v>
      </c>
      <c r="G1030" s="41" t="n">
        <v>0</v>
      </c>
      <c r="H1030" s="41" t="n">
        <v>0</v>
      </c>
      <c r="I1030" s="41" t="n">
        <v>0</v>
      </c>
      <c r="J1030" s="41" t="n">
        <v>0</v>
      </c>
      <c r="K1030" s="41" t="n">
        <v>0</v>
      </c>
      <c r="L1030" s="41" t="n">
        <v>0</v>
      </c>
    </row>
    <row r="1031" customFormat="false" ht="15.75" hidden="false" customHeight="false" outlineLevel="0" collapsed="false">
      <c r="B1031" s="23" t="s">
        <v>1163</v>
      </c>
      <c r="C1031" s="44" t="str">
        <f aca="false">IF(B1031="","",IFERROR(INDEX('CLM &amp; IM Mapping'!$B$2:$B$270,MATCH(TRIM(B1031),'CLM &amp; IM Mapping'!$A$2:$A$270,0)),"Not Mapped"))</f>
        <v>Not Mapped</v>
      </c>
      <c r="D1031" s="44" t="str">
        <f aca="false">IF(B1031="","",IFERROR(INDEX('CLM &amp; IM Mapping'!$C$2:$C$270,MATCH(TRIM(B1031),'CLM &amp; IM Mapping'!$A$2:$A$270,0)),"Not Mapped"))</f>
        <v>Not Mapped</v>
      </c>
      <c r="E1031" s="41" t="n">
        <v>0</v>
      </c>
      <c r="F1031" s="41" t="n">
        <v>0</v>
      </c>
      <c r="G1031" s="41" t="n">
        <v>0</v>
      </c>
      <c r="H1031" s="41" t="n">
        <v>0</v>
      </c>
      <c r="I1031" s="41" t="n">
        <v>0</v>
      </c>
      <c r="J1031" s="41" t="n">
        <v>0</v>
      </c>
      <c r="K1031" s="41" t="n">
        <v>0</v>
      </c>
      <c r="L1031" s="41" t="n">
        <v>0</v>
      </c>
    </row>
    <row r="1032" customFormat="false" ht="15.75" hidden="false" customHeight="false" outlineLevel="0" collapsed="false">
      <c r="B1032" s="39" t="s">
        <v>1164</v>
      </c>
      <c r="C1032" s="40" t="str">
        <f aca="false">IF(B1032="","",IFERROR(INDEX('CLM &amp; IM Mapping'!$B$2:$B$270,MATCH(TRIM(B1032),'CLM &amp; IM Mapping'!$A$2:$A$270,0)),"Not Mapped"))</f>
        <v>Not Mapped</v>
      </c>
      <c r="D1032" s="40" t="str">
        <f aca="false">IF(B1032="","",IFERROR(INDEX('CLM &amp; IM Mapping'!$C$2:$C$270,MATCH(TRIM(B1032),'CLM &amp; IM Mapping'!$A$2:$A$270,0)),"Not Mapped"))</f>
        <v>Not Mapped</v>
      </c>
      <c r="E1032" s="41" t="n">
        <v>1427</v>
      </c>
      <c r="F1032" s="41" t="n">
        <v>0</v>
      </c>
      <c r="G1032" s="41" t="n">
        <v>1427</v>
      </c>
      <c r="H1032" s="41" t="n">
        <v>0</v>
      </c>
      <c r="I1032" s="41" t="n">
        <v>0</v>
      </c>
      <c r="J1032" s="41" t="n">
        <v>0</v>
      </c>
      <c r="K1032" s="41" t="n">
        <v>0</v>
      </c>
      <c r="L1032" s="41" t="n">
        <v>0</v>
      </c>
    </row>
    <row r="1033" customFormat="false" ht="15.75" hidden="false" customHeight="false" outlineLevel="0" collapsed="false">
      <c r="B1033" s="39" t="s">
        <v>1165</v>
      </c>
      <c r="C1033" s="40" t="str">
        <f aca="false">IF(B1033="","",IFERROR(INDEX('CLM &amp; IM Mapping'!$B$2:$B$270,MATCH(TRIM(B1033),'CLM &amp; IM Mapping'!$A$2:$A$270,0)),"Not Mapped"))</f>
        <v>Not Mapped</v>
      </c>
      <c r="D1033" s="40" t="str">
        <f aca="false">IF(B1033="","",IFERROR(INDEX('CLM &amp; IM Mapping'!$C$2:$C$270,MATCH(TRIM(B1033),'CLM &amp; IM Mapping'!$A$2:$A$270,0)),"Not Mapped"))</f>
        <v>Not Mapped</v>
      </c>
      <c r="E1033" s="41" t="n">
        <v>0</v>
      </c>
      <c r="F1033" s="41" t="n">
        <v>0</v>
      </c>
      <c r="G1033" s="41" t="n">
        <v>0</v>
      </c>
      <c r="H1033" s="41" t="n">
        <v>0</v>
      </c>
      <c r="I1033" s="41" t="n">
        <v>0</v>
      </c>
      <c r="J1033" s="41" t="n">
        <v>0</v>
      </c>
      <c r="K1033" s="41" t="n">
        <v>0</v>
      </c>
      <c r="L1033" s="41" t="n">
        <v>0</v>
      </c>
    </row>
    <row r="1034" customFormat="false" ht="15.75" hidden="false" customHeight="false" outlineLevel="0" collapsed="false">
      <c r="B1034" s="39" t="s">
        <v>1166</v>
      </c>
      <c r="C1034" s="40" t="str">
        <f aca="false">IF(B1034="","",IFERROR(INDEX('CLM &amp; IM Mapping'!$B$2:$B$270,MATCH(TRIM(B1034),'CLM &amp; IM Mapping'!$A$2:$A$270,0)),"Not Mapped"))</f>
        <v>Not Mapped</v>
      </c>
      <c r="D1034" s="40" t="str">
        <f aca="false">IF(B1034="","",IFERROR(INDEX('CLM &amp; IM Mapping'!$C$2:$C$270,MATCH(TRIM(B1034),'CLM &amp; IM Mapping'!$A$2:$A$270,0)),"Not Mapped"))</f>
        <v>Not Mapped</v>
      </c>
      <c r="E1034" s="41" t="n">
        <v>758</v>
      </c>
      <c r="F1034" s="41" t="n">
        <v>0</v>
      </c>
      <c r="G1034" s="41" t="n">
        <v>0</v>
      </c>
      <c r="H1034" s="41" t="n">
        <v>604</v>
      </c>
      <c r="I1034" s="41" t="n">
        <v>154</v>
      </c>
      <c r="J1034" s="41" t="n">
        <v>0</v>
      </c>
      <c r="K1034" s="41" t="n">
        <v>0</v>
      </c>
      <c r="L1034" s="41" t="n">
        <v>154</v>
      </c>
    </row>
    <row r="1035" customFormat="false" ht="15.75" hidden="false" customHeight="false" outlineLevel="0" collapsed="false">
      <c r="B1035" s="39" t="s">
        <v>1167</v>
      </c>
      <c r="C1035" s="40" t="str">
        <f aca="false">IF(B1035="","",IFERROR(INDEX('CLM &amp; IM Mapping'!$B$2:$B$270,MATCH(TRIM(B1035),'CLM &amp; IM Mapping'!$A$2:$A$270,0)),"Not Mapped"))</f>
        <v>Not Mapped</v>
      </c>
      <c r="D1035" s="40" t="str">
        <f aca="false">IF(B1035="","",IFERROR(INDEX('CLM &amp; IM Mapping'!$C$2:$C$270,MATCH(TRIM(B1035),'CLM &amp; IM Mapping'!$A$2:$A$270,0)),"Not Mapped"))</f>
        <v>Not Mapped</v>
      </c>
      <c r="E1035" s="41" t="n">
        <v>0</v>
      </c>
      <c r="F1035" s="41" t="n">
        <v>0</v>
      </c>
      <c r="G1035" s="41" t="n">
        <v>0</v>
      </c>
      <c r="H1035" s="41" t="n">
        <v>0</v>
      </c>
      <c r="I1035" s="41" t="n">
        <v>0</v>
      </c>
      <c r="J1035" s="41" t="n">
        <v>0</v>
      </c>
      <c r="K1035" s="41" t="n">
        <v>0</v>
      </c>
      <c r="L1035" s="41" t="n">
        <v>0</v>
      </c>
    </row>
    <row r="1036" customFormat="false" ht="15.75" hidden="false" customHeight="false" outlineLevel="0" collapsed="false">
      <c r="B1036" s="23" t="s">
        <v>1168</v>
      </c>
      <c r="C1036" s="44" t="str">
        <f aca="false">IF(B1036="","",IFERROR(INDEX('CLM &amp; IM Mapping'!$B$2:$B$270,MATCH(TRIM(B1036),'CLM &amp; IM Mapping'!$A$2:$A$270,0)),"Not Mapped"))</f>
        <v>Not Mapped</v>
      </c>
      <c r="D1036" s="44" t="str">
        <f aca="false">IF(B1036="","",IFERROR(INDEX('CLM &amp; IM Mapping'!$C$2:$C$270,MATCH(TRIM(B1036),'CLM &amp; IM Mapping'!$A$2:$A$270,0)),"Not Mapped"))</f>
        <v>Not Mapped</v>
      </c>
      <c r="E1036" s="41" t="n">
        <v>1116</v>
      </c>
      <c r="F1036" s="41" t="n">
        <v>0</v>
      </c>
      <c r="G1036" s="41" t="n">
        <v>1116</v>
      </c>
      <c r="H1036" s="41" t="n">
        <v>0</v>
      </c>
      <c r="I1036" s="41" t="n">
        <v>0</v>
      </c>
      <c r="J1036" s="41" t="n">
        <v>0</v>
      </c>
      <c r="K1036" s="41" t="n">
        <v>0</v>
      </c>
      <c r="L1036" s="41" t="n">
        <v>0</v>
      </c>
    </row>
    <row r="1037" customFormat="false" ht="15.75" hidden="false" customHeight="false" outlineLevel="0" collapsed="false">
      <c r="B1037" s="39" t="s">
        <v>1169</v>
      </c>
      <c r="C1037" s="40" t="str">
        <f aca="false">IF(B1037="","",IFERROR(INDEX('CLM &amp; IM Mapping'!$B$2:$B$270,MATCH(TRIM(B1037),'CLM &amp; IM Mapping'!$A$2:$A$270,0)),"Not Mapped"))</f>
        <v>Not Mapped</v>
      </c>
      <c r="D1037" s="40" t="str">
        <f aca="false">IF(B1037="","",IFERROR(INDEX('CLM &amp; IM Mapping'!$C$2:$C$270,MATCH(TRIM(B1037),'CLM &amp; IM Mapping'!$A$2:$A$270,0)),"Not Mapped"))</f>
        <v>Not Mapped</v>
      </c>
      <c r="E1037" s="41" t="n">
        <v>0</v>
      </c>
      <c r="F1037" s="41" t="n">
        <v>0</v>
      </c>
      <c r="G1037" s="41" t="n">
        <v>0</v>
      </c>
      <c r="H1037" s="41" t="n">
        <v>0</v>
      </c>
      <c r="I1037" s="41" t="n">
        <v>0</v>
      </c>
      <c r="J1037" s="41" t="n">
        <v>0</v>
      </c>
      <c r="K1037" s="41" t="n">
        <v>0</v>
      </c>
      <c r="L1037" s="41" t="n">
        <v>0</v>
      </c>
    </row>
    <row r="1038" customFormat="false" ht="15.75" hidden="false" customHeight="false" outlineLevel="0" collapsed="false">
      <c r="B1038" s="39" t="s">
        <v>1170</v>
      </c>
      <c r="C1038" s="40" t="str">
        <f aca="false">IF(B1038="","",IFERROR(INDEX('CLM &amp; IM Mapping'!$B$2:$B$270,MATCH(TRIM(B1038),'CLM &amp; IM Mapping'!$A$2:$A$270,0)),"Not Mapped"))</f>
        <v>Not Mapped</v>
      </c>
      <c r="D1038" s="40" t="str">
        <f aca="false">IF(B1038="","",IFERROR(INDEX('CLM &amp; IM Mapping'!$C$2:$C$270,MATCH(TRIM(B1038),'CLM &amp; IM Mapping'!$A$2:$A$270,0)),"Not Mapped"))</f>
        <v>Not Mapped</v>
      </c>
      <c r="E1038" s="41" t="n">
        <v>1733</v>
      </c>
      <c r="F1038" s="41" t="n">
        <v>22</v>
      </c>
      <c r="G1038" s="41" t="n">
        <v>1711</v>
      </c>
      <c r="H1038" s="41" t="n">
        <v>0</v>
      </c>
      <c r="I1038" s="41" t="n">
        <v>0</v>
      </c>
      <c r="J1038" s="41" t="n">
        <v>0</v>
      </c>
      <c r="K1038" s="41" t="n">
        <v>0</v>
      </c>
      <c r="L1038" s="41" t="n">
        <v>0</v>
      </c>
    </row>
    <row r="1039" customFormat="false" ht="15.75" hidden="false" customHeight="false" outlineLevel="0" collapsed="false">
      <c r="B1039" s="39" t="s">
        <v>1171</v>
      </c>
      <c r="C1039" s="40" t="str">
        <f aca="false">IF(B1039="","",IFERROR(INDEX('CLM &amp; IM Mapping'!$B$2:$B$270,MATCH(TRIM(B1039),'CLM &amp; IM Mapping'!$A$2:$A$270,0)),"Not Mapped"))</f>
        <v>Not Mapped</v>
      </c>
      <c r="D1039" s="40" t="str">
        <f aca="false">IF(B1039="","",IFERROR(INDEX('CLM &amp; IM Mapping'!$C$2:$C$270,MATCH(TRIM(B1039),'CLM &amp; IM Mapping'!$A$2:$A$270,0)),"Not Mapped"))</f>
        <v>Not Mapped</v>
      </c>
      <c r="E1039" s="41" t="n">
        <v>0</v>
      </c>
      <c r="F1039" s="41" t="n">
        <v>0</v>
      </c>
      <c r="G1039" s="41" t="n">
        <v>0</v>
      </c>
      <c r="H1039" s="41" t="n">
        <v>0</v>
      </c>
      <c r="I1039" s="41" t="n">
        <v>0</v>
      </c>
      <c r="J1039" s="41" t="n">
        <v>0</v>
      </c>
      <c r="K1039" s="41" t="n">
        <v>0</v>
      </c>
      <c r="L1039" s="41" t="n">
        <v>0</v>
      </c>
    </row>
    <row r="1040" customFormat="false" ht="15.75" hidden="false" customHeight="false" outlineLevel="0" collapsed="false">
      <c r="B1040" s="39" t="s">
        <v>1172</v>
      </c>
      <c r="C1040" s="40" t="str">
        <f aca="false">IF(B1040="","",IFERROR(INDEX('CLM &amp; IM Mapping'!$B$2:$B$270,MATCH(TRIM(B1040),'CLM &amp; IM Mapping'!$A$2:$A$270,0)),"Not Mapped"))</f>
        <v>Not Mapped</v>
      </c>
      <c r="D1040" s="40" t="str">
        <f aca="false">IF(B1040="","",IFERROR(INDEX('CLM &amp; IM Mapping'!$C$2:$C$270,MATCH(TRIM(B1040),'CLM &amp; IM Mapping'!$A$2:$A$270,0)),"Not Mapped"))</f>
        <v>Not Mapped</v>
      </c>
      <c r="E1040" s="41" t="n">
        <v>0</v>
      </c>
      <c r="F1040" s="41" t="n">
        <v>0</v>
      </c>
      <c r="G1040" s="41" t="n">
        <v>0</v>
      </c>
      <c r="H1040" s="41" t="n">
        <v>0</v>
      </c>
      <c r="I1040" s="41" t="n">
        <v>0</v>
      </c>
      <c r="J1040" s="41" t="n">
        <v>0</v>
      </c>
      <c r="K1040" s="41" t="n">
        <v>0</v>
      </c>
      <c r="L1040" s="41" t="n">
        <v>0</v>
      </c>
    </row>
    <row r="1041" customFormat="false" ht="15.75" hidden="false" customHeight="false" outlineLevel="0" collapsed="false">
      <c r="B1041" s="39" t="s">
        <v>1173</v>
      </c>
      <c r="C1041" s="40" t="str">
        <f aca="false">IF(B1041="","",IFERROR(INDEX('CLM &amp; IM Mapping'!$B$2:$B$270,MATCH(TRIM(B1041),'CLM &amp; IM Mapping'!$A$2:$A$270,0)),"Not Mapped"))</f>
        <v>Not Mapped</v>
      </c>
      <c r="D1041" s="40" t="str">
        <f aca="false">IF(B1041="","",IFERROR(INDEX('CLM &amp; IM Mapping'!$C$2:$C$270,MATCH(TRIM(B1041),'CLM &amp; IM Mapping'!$A$2:$A$270,0)),"Not Mapped"))</f>
        <v>Not Mapped</v>
      </c>
      <c r="E1041" s="41" t="n">
        <v>0</v>
      </c>
      <c r="F1041" s="41" t="n">
        <v>0</v>
      </c>
      <c r="G1041" s="41" t="n">
        <v>0</v>
      </c>
      <c r="H1041" s="41" t="n">
        <v>0</v>
      </c>
      <c r="I1041" s="41" t="n">
        <v>0</v>
      </c>
      <c r="J1041" s="41" t="n">
        <v>0</v>
      </c>
      <c r="K1041" s="41" t="n">
        <v>0</v>
      </c>
      <c r="L1041" s="41" t="n">
        <v>0</v>
      </c>
    </row>
    <row r="1042" customFormat="false" ht="15.75" hidden="false" customHeight="false" outlineLevel="0" collapsed="false">
      <c r="B1042" s="39" t="s">
        <v>1174</v>
      </c>
      <c r="C1042" s="40" t="str">
        <f aca="false">IF(B1042="","",IFERROR(INDEX('CLM &amp; IM Mapping'!$B$2:$B$270,MATCH(TRIM(B1042),'CLM &amp; IM Mapping'!$A$2:$A$270,0)),"Not Mapped"))</f>
        <v>Not Mapped</v>
      </c>
      <c r="D1042" s="40" t="str">
        <f aca="false">IF(B1042="","",IFERROR(INDEX('CLM &amp; IM Mapping'!$C$2:$C$270,MATCH(TRIM(B1042),'CLM &amp; IM Mapping'!$A$2:$A$270,0)),"Not Mapped"))</f>
        <v>Not Mapped</v>
      </c>
      <c r="E1042" s="41" t="n">
        <v>0</v>
      </c>
      <c r="F1042" s="41" t="n">
        <v>0</v>
      </c>
      <c r="G1042" s="41" t="n">
        <v>0</v>
      </c>
      <c r="H1042" s="41" t="n">
        <v>0</v>
      </c>
      <c r="I1042" s="41" t="n">
        <v>0</v>
      </c>
      <c r="J1042" s="41" t="n">
        <v>0</v>
      </c>
      <c r="K1042" s="41" t="n">
        <v>0</v>
      </c>
      <c r="L1042" s="41" t="n">
        <v>0</v>
      </c>
    </row>
    <row r="1043" customFormat="false" ht="15.75" hidden="false" customHeight="false" outlineLevel="0" collapsed="false">
      <c r="B1043" s="39" t="s">
        <v>1175</v>
      </c>
      <c r="C1043" s="40" t="str">
        <f aca="false">IF(B1043="","",IFERROR(INDEX('CLM &amp; IM Mapping'!$B$2:$B$270,MATCH(TRIM(B1043),'CLM &amp; IM Mapping'!$A$2:$A$270,0)),"Not Mapped"))</f>
        <v>Not Mapped</v>
      </c>
      <c r="D1043" s="40" t="str">
        <f aca="false">IF(B1043="","",IFERROR(INDEX('CLM &amp; IM Mapping'!$C$2:$C$270,MATCH(TRIM(B1043),'CLM &amp; IM Mapping'!$A$2:$A$270,0)),"Not Mapped"))</f>
        <v>Not Mapped</v>
      </c>
      <c r="E1043" s="41" t="n">
        <v>1769</v>
      </c>
      <c r="F1043" s="41" t="n">
        <v>0</v>
      </c>
      <c r="G1043" s="41" t="n">
        <v>1769</v>
      </c>
      <c r="H1043" s="41" t="n">
        <v>0</v>
      </c>
      <c r="I1043" s="41" t="n">
        <v>0</v>
      </c>
      <c r="J1043" s="41" t="n">
        <v>0</v>
      </c>
      <c r="K1043" s="41" t="n">
        <v>0</v>
      </c>
      <c r="L1043" s="41" t="n">
        <v>0</v>
      </c>
    </row>
    <row r="1044" customFormat="false" ht="15.75" hidden="false" customHeight="false" outlineLevel="0" collapsed="false">
      <c r="B1044" s="39" t="s">
        <v>1176</v>
      </c>
      <c r="C1044" s="40" t="str">
        <f aca="false">IF(B1044="","",IFERROR(INDEX('CLM &amp; IM Mapping'!$B$2:$B$270,MATCH(TRIM(B1044),'CLM &amp; IM Mapping'!$A$2:$A$270,0)),"Not Mapped"))</f>
        <v>Not Mapped</v>
      </c>
      <c r="D1044" s="40" t="str">
        <f aca="false">IF(B1044="","",IFERROR(INDEX('CLM &amp; IM Mapping'!$C$2:$C$270,MATCH(TRIM(B1044),'CLM &amp; IM Mapping'!$A$2:$A$270,0)),"Not Mapped"))</f>
        <v>Not Mapped</v>
      </c>
      <c r="E1044" s="41" t="n">
        <v>1</v>
      </c>
      <c r="F1044" s="41" t="n">
        <v>1</v>
      </c>
      <c r="G1044" s="41" t="n">
        <v>0</v>
      </c>
      <c r="H1044" s="41" t="n">
        <v>0</v>
      </c>
      <c r="I1044" s="41" t="n">
        <v>0</v>
      </c>
      <c r="J1044" s="41" t="n">
        <v>0</v>
      </c>
      <c r="K1044" s="41" t="n">
        <v>0</v>
      </c>
      <c r="L1044" s="41" t="n">
        <v>0</v>
      </c>
    </row>
    <row r="1045" customFormat="false" ht="15.75" hidden="false" customHeight="false" outlineLevel="0" collapsed="false">
      <c r="B1045" s="39" t="s">
        <v>1177</v>
      </c>
      <c r="C1045" s="40" t="str">
        <f aca="false">IF(B1045="","",IFERROR(INDEX('CLM &amp; IM Mapping'!$B$2:$B$270,MATCH(TRIM(B1045),'CLM &amp; IM Mapping'!$A$2:$A$270,0)),"Not Mapped"))</f>
        <v>Not Mapped</v>
      </c>
      <c r="D1045" s="40" t="str">
        <f aca="false">IF(B1045="","",IFERROR(INDEX('CLM &amp; IM Mapping'!$C$2:$C$270,MATCH(TRIM(B1045),'CLM &amp; IM Mapping'!$A$2:$A$270,0)),"Not Mapped"))</f>
        <v>Not Mapped</v>
      </c>
      <c r="E1045" s="41" t="n">
        <v>0</v>
      </c>
      <c r="F1045" s="41" t="n">
        <v>0</v>
      </c>
      <c r="G1045" s="41" t="n">
        <v>0</v>
      </c>
      <c r="H1045" s="41" t="n">
        <v>0</v>
      </c>
      <c r="I1045" s="41" t="n">
        <v>0</v>
      </c>
      <c r="J1045" s="41" t="n">
        <v>0</v>
      </c>
      <c r="K1045" s="41" t="n">
        <v>0</v>
      </c>
      <c r="L1045" s="41" t="n">
        <v>0</v>
      </c>
    </row>
    <row r="1046" customFormat="false" ht="15.75" hidden="false" customHeight="false" outlineLevel="0" collapsed="false">
      <c r="B1046" s="39" t="s">
        <v>1178</v>
      </c>
      <c r="C1046" s="40" t="str">
        <f aca="false">IF(B1046="","",IFERROR(INDEX('CLM &amp; IM Mapping'!$B$2:$B$270,MATCH(TRIM(B1046),'CLM &amp; IM Mapping'!$A$2:$A$270,0)),"Not Mapped"))</f>
        <v>Not Mapped</v>
      </c>
      <c r="D1046" s="40" t="str">
        <f aca="false">IF(B1046="","",IFERROR(INDEX('CLM &amp; IM Mapping'!$C$2:$C$270,MATCH(TRIM(B1046),'CLM &amp; IM Mapping'!$A$2:$A$270,0)),"Not Mapped"))</f>
        <v>Not Mapped</v>
      </c>
      <c r="E1046" s="41" t="n">
        <v>4517</v>
      </c>
      <c r="F1046" s="41" t="n">
        <v>2962</v>
      </c>
      <c r="G1046" s="41" t="n">
        <v>37</v>
      </c>
      <c r="H1046" s="41" t="n">
        <v>1518</v>
      </c>
      <c r="I1046" s="41" t="n">
        <v>0</v>
      </c>
      <c r="J1046" s="41" t="n">
        <v>0</v>
      </c>
      <c r="K1046" s="41" t="n">
        <v>0</v>
      </c>
      <c r="L1046" s="41" t="n">
        <v>0</v>
      </c>
    </row>
    <row r="1047" customFormat="false" ht="15.75" hidden="false" customHeight="false" outlineLevel="0" collapsed="false">
      <c r="B1047" s="39" t="s">
        <v>1179</v>
      </c>
      <c r="C1047" s="40" t="str">
        <f aca="false">IF(B1047="","",IFERROR(INDEX('CLM &amp; IM Mapping'!$B$2:$B$270,MATCH(TRIM(B1047),'CLM &amp; IM Mapping'!$A$2:$A$270,0)),"Not Mapped"))</f>
        <v>Not Mapped</v>
      </c>
      <c r="D1047" s="40" t="str">
        <f aca="false">IF(B1047="","",IFERROR(INDEX('CLM &amp; IM Mapping'!$C$2:$C$270,MATCH(TRIM(B1047),'CLM &amp; IM Mapping'!$A$2:$A$270,0)),"Not Mapped"))</f>
        <v>Not Mapped</v>
      </c>
      <c r="E1047" s="41" t="n">
        <v>0</v>
      </c>
      <c r="F1047" s="41" t="n">
        <v>0</v>
      </c>
      <c r="G1047" s="41" t="n">
        <v>0</v>
      </c>
      <c r="H1047" s="41" t="n">
        <v>0</v>
      </c>
      <c r="I1047" s="41" t="n">
        <v>0</v>
      </c>
      <c r="J1047" s="41" t="n">
        <v>0</v>
      </c>
      <c r="K1047" s="41" t="n">
        <v>0</v>
      </c>
      <c r="L1047" s="41" t="n">
        <v>0</v>
      </c>
    </row>
    <row r="1048" customFormat="false" ht="15.75" hidden="false" customHeight="false" outlineLevel="0" collapsed="false">
      <c r="B1048" s="39" t="s">
        <v>1180</v>
      </c>
      <c r="C1048" s="40" t="str">
        <f aca="false">IF(B1048="","",IFERROR(INDEX('CLM &amp; IM Mapping'!$B$2:$B$270,MATCH(TRIM(B1048),'CLM &amp; IM Mapping'!$A$2:$A$270,0)),"Not Mapped"))</f>
        <v>Not Mapped</v>
      </c>
      <c r="D1048" s="40" t="str">
        <f aca="false">IF(B1048="","",IFERROR(INDEX('CLM &amp; IM Mapping'!$C$2:$C$270,MATCH(TRIM(B1048),'CLM &amp; IM Mapping'!$A$2:$A$270,0)),"Not Mapped"))</f>
        <v>Not Mapped</v>
      </c>
      <c r="E1048" s="41" t="n">
        <v>3955</v>
      </c>
      <c r="F1048" s="41" t="n">
        <v>3563</v>
      </c>
      <c r="G1048" s="41" t="n">
        <v>392</v>
      </c>
      <c r="H1048" s="41" t="n">
        <v>0</v>
      </c>
      <c r="I1048" s="41" t="n">
        <v>0</v>
      </c>
      <c r="J1048" s="41" t="n">
        <v>0</v>
      </c>
      <c r="K1048" s="41" t="n">
        <v>0</v>
      </c>
      <c r="L1048" s="41" t="n">
        <v>0</v>
      </c>
    </row>
    <row r="1049" customFormat="false" ht="15.75" hidden="false" customHeight="false" outlineLevel="0" collapsed="false">
      <c r="B1049" s="39" t="s">
        <v>1181</v>
      </c>
      <c r="C1049" s="40" t="str">
        <f aca="false">IF(B1049="","",IFERROR(INDEX('CLM &amp; IM Mapping'!$B$2:$B$270,MATCH(TRIM(B1049),'CLM &amp; IM Mapping'!$A$2:$A$270,0)),"Not Mapped"))</f>
        <v>Not Mapped</v>
      </c>
      <c r="D1049" s="40" t="str">
        <f aca="false">IF(B1049="","",IFERROR(INDEX('CLM &amp; IM Mapping'!$C$2:$C$270,MATCH(TRIM(B1049),'CLM &amp; IM Mapping'!$A$2:$A$270,0)),"Not Mapped"))</f>
        <v>Not Mapped</v>
      </c>
      <c r="E1049" s="41" t="n">
        <v>891</v>
      </c>
      <c r="F1049" s="41" t="n">
        <v>0</v>
      </c>
      <c r="G1049" s="41" t="n">
        <v>891</v>
      </c>
      <c r="H1049" s="41" t="n">
        <v>0</v>
      </c>
      <c r="I1049" s="41" t="n">
        <v>0</v>
      </c>
      <c r="J1049" s="41" t="n">
        <v>0</v>
      </c>
      <c r="K1049" s="41" t="n">
        <v>0</v>
      </c>
      <c r="L1049" s="41" t="n">
        <v>0</v>
      </c>
    </row>
    <row r="1050" customFormat="false" ht="15.75" hidden="false" customHeight="false" outlineLevel="0" collapsed="false">
      <c r="B1050" s="39" t="s">
        <v>1182</v>
      </c>
      <c r="C1050" s="40" t="str">
        <f aca="false">IF(B1050="","",IFERROR(INDEX('CLM &amp; IM Mapping'!$B$2:$B$270,MATCH(TRIM(B1050),'CLM &amp; IM Mapping'!$A$2:$A$270,0)),"Not Mapped"))</f>
        <v>Not Mapped</v>
      </c>
      <c r="D1050" s="40" t="str">
        <f aca="false">IF(B1050="","",IFERROR(INDEX('CLM &amp; IM Mapping'!$C$2:$C$270,MATCH(TRIM(B1050),'CLM &amp; IM Mapping'!$A$2:$A$270,0)),"Not Mapped"))</f>
        <v>Not Mapped</v>
      </c>
      <c r="E1050" s="41" t="n">
        <v>0</v>
      </c>
      <c r="F1050" s="41" t="n">
        <v>0</v>
      </c>
      <c r="G1050" s="41" t="n">
        <v>0</v>
      </c>
      <c r="H1050" s="41" t="n">
        <v>0</v>
      </c>
      <c r="I1050" s="41" t="n">
        <v>0</v>
      </c>
      <c r="J1050" s="41" t="n">
        <v>0</v>
      </c>
      <c r="K1050" s="41" t="n">
        <v>0</v>
      </c>
      <c r="L1050" s="41" t="n">
        <v>0</v>
      </c>
    </row>
    <row r="1051" customFormat="false" ht="15.75" hidden="false" customHeight="false" outlineLevel="0" collapsed="false">
      <c r="B1051" s="39" t="s">
        <v>1183</v>
      </c>
      <c r="C1051" s="40" t="str">
        <f aca="false">IF(B1051="","",IFERROR(INDEX('CLM &amp; IM Mapping'!$B$2:$B$270,MATCH(TRIM(B1051),'CLM &amp; IM Mapping'!$A$2:$A$270,0)),"Not Mapped"))</f>
        <v>Not Mapped</v>
      </c>
      <c r="D1051" s="40" t="str">
        <f aca="false">IF(B1051="","",IFERROR(INDEX('CLM &amp; IM Mapping'!$C$2:$C$270,MATCH(TRIM(B1051),'CLM &amp; IM Mapping'!$A$2:$A$270,0)),"Not Mapped"))</f>
        <v>Not Mapped</v>
      </c>
      <c r="E1051" s="41" t="n">
        <v>8329</v>
      </c>
      <c r="F1051" s="41" t="n">
        <v>685</v>
      </c>
      <c r="G1051" s="41" t="n">
        <v>4293</v>
      </c>
      <c r="H1051" s="41" t="n">
        <v>0</v>
      </c>
      <c r="I1051" s="41" t="n">
        <v>876</v>
      </c>
      <c r="J1051" s="41" t="n">
        <v>1913</v>
      </c>
      <c r="K1051" s="41" t="n">
        <v>562</v>
      </c>
      <c r="L1051" s="52" t="n">
        <v>3351</v>
      </c>
    </row>
    <row r="1052" customFormat="false" ht="15.75" hidden="false" customHeight="false" outlineLevel="0" collapsed="false">
      <c r="B1052" s="39" t="s">
        <v>1184</v>
      </c>
      <c r="C1052" s="40" t="str">
        <f aca="false">IF(B1052="","",IFERROR(INDEX('CLM &amp; IM Mapping'!$B$2:$B$270,MATCH(TRIM(B1052),'CLM &amp; IM Mapping'!$A$2:$A$270,0)),"Not Mapped"))</f>
        <v>Not Mapped</v>
      </c>
      <c r="D1052" s="40" t="str">
        <f aca="false">IF(B1052="","",IFERROR(INDEX('CLM &amp; IM Mapping'!$C$2:$C$270,MATCH(TRIM(B1052),'CLM &amp; IM Mapping'!$A$2:$A$270,0)),"Not Mapped"))</f>
        <v>Not Mapped</v>
      </c>
      <c r="E1052" s="41" t="n">
        <v>0</v>
      </c>
      <c r="F1052" s="41" t="n">
        <v>0</v>
      </c>
      <c r="G1052" s="41" t="n">
        <v>0</v>
      </c>
      <c r="H1052" s="41" t="n">
        <v>0</v>
      </c>
      <c r="I1052" s="41" t="n">
        <v>0</v>
      </c>
      <c r="J1052" s="41" t="n">
        <v>0</v>
      </c>
      <c r="K1052" s="41" t="n">
        <v>0</v>
      </c>
      <c r="L1052" s="41" t="n">
        <v>0</v>
      </c>
    </row>
    <row r="1053" customFormat="false" ht="15.75" hidden="false" customHeight="false" outlineLevel="0" collapsed="false">
      <c r="B1053" s="39" t="s">
        <v>1185</v>
      </c>
      <c r="C1053" s="40" t="str">
        <f aca="false">IF(B1053="","",IFERROR(INDEX('CLM &amp; IM Mapping'!$B$2:$B$270,MATCH(TRIM(B1053),'CLM &amp; IM Mapping'!$A$2:$A$270,0)),"Not Mapped"))</f>
        <v>Not Mapped</v>
      </c>
      <c r="D1053" s="40" t="str">
        <f aca="false">IF(B1053="","",IFERROR(INDEX('CLM &amp; IM Mapping'!$C$2:$C$270,MATCH(TRIM(B1053),'CLM &amp; IM Mapping'!$A$2:$A$270,0)),"Not Mapped"))</f>
        <v>Not Mapped</v>
      </c>
      <c r="E1053" s="41" t="n">
        <v>0</v>
      </c>
      <c r="F1053" s="41" t="n">
        <v>0</v>
      </c>
      <c r="G1053" s="41" t="n">
        <v>0</v>
      </c>
      <c r="H1053" s="41" t="n">
        <v>0</v>
      </c>
      <c r="I1053" s="41" t="n">
        <v>0</v>
      </c>
      <c r="J1053" s="41" t="n">
        <v>0</v>
      </c>
      <c r="K1053" s="41" t="n">
        <v>0</v>
      </c>
      <c r="L1053" s="41" t="n">
        <v>0</v>
      </c>
    </row>
    <row r="1054" customFormat="false" ht="15.75" hidden="false" customHeight="false" outlineLevel="0" collapsed="false">
      <c r="B1054" s="39" t="s">
        <v>1186</v>
      </c>
      <c r="C1054" s="40" t="str">
        <f aca="false">IF(B1054="","",IFERROR(INDEX('CLM &amp; IM Mapping'!$B$2:$B$270,MATCH(TRIM(B1054),'CLM &amp; IM Mapping'!$A$2:$A$270,0)),"Not Mapped"))</f>
        <v>Not Mapped</v>
      </c>
      <c r="D1054" s="40" t="str">
        <f aca="false">IF(B1054="","",IFERROR(INDEX('CLM &amp; IM Mapping'!$C$2:$C$270,MATCH(TRIM(B1054),'CLM &amp; IM Mapping'!$A$2:$A$270,0)),"Not Mapped"))</f>
        <v>Not Mapped</v>
      </c>
      <c r="E1054" s="41" t="n">
        <v>0</v>
      </c>
      <c r="F1054" s="41" t="n">
        <v>0</v>
      </c>
      <c r="G1054" s="41" t="n">
        <v>0</v>
      </c>
      <c r="H1054" s="41" t="n">
        <v>0</v>
      </c>
      <c r="I1054" s="41" t="n">
        <v>0</v>
      </c>
      <c r="J1054" s="41" t="n">
        <v>0</v>
      </c>
      <c r="K1054" s="41" t="n">
        <v>0</v>
      </c>
      <c r="L1054" s="41" t="n">
        <v>0</v>
      </c>
    </row>
    <row r="1055" customFormat="false" ht="15.75" hidden="false" customHeight="false" outlineLevel="0" collapsed="false">
      <c r="B1055" s="39" t="s">
        <v>1187</v>
      </c>
      <c r="C1055" s="40" t="str">
        <f aca="false">IF(B1055="","",IFERROR(INDEX('CLM &amp; IM Mapping'!$B$2:$B$270,MATCH(TRIM(B1055),'CLM &amp; IM Mapping'!$A$2:$A$270,0)),"Not Mapped"))</f>
        <v>Not Mapped</v>
      </c>
      <c r="D1055" s="40" t="str">
        <f aca="false">IF(B1055="","",IFERROR(INDEX('CLM &amp; IM Mapping'!$C$2:$C$270,MATCH(TRIM(B1055),'CLM &amp; IM Mapping'!$A$2:$A$270,0)),"Not Mapped"))</f>
        <v>Not Mapped</v>
      </c>
      <c r="E1055" s="41" t="n">
        <v>0</v>
      </c>
      <c r="F1055" s="41" t="n">
        <v>0</v>
      </c>
      <c r="G1055" s="41" t="n">
        <v>0</v>
      </c>
      <c r="H1055" s="41" t="n">
        <v>0</v>
      </c>
      <c r="I1055" s="41" t="n">
        <v>0</v>
      </c>
      <c r="J1055" s="41" t="n">
        <v>0</v>
      </c>
      <c r="K1055" s="41" t="n">
        <v>0</v>
      </c>
      <c r="L1055" s="41" t="n">
        <v>0</v>
      </c>
    </row>
    <row r="1056" customFormat="false" ht="15.75" hidden="false" customHeight="false" outlineLevel="0" collapsed="false">
      <c r="B1056" s="39" t="s">
        <v>1188</v>
      </c>
      <c r="C1056" s="40" t="str">
        <f aca="false">IF(B1056="","",IFERROR(INDEX('CLM &amp; IM Mapping'!$B$2:$B$270,MATCH(TRIM(B1056),'CLM &amp; IM Mapping'!$A$2:$A$270,0)),"Not Mapped"))</f>
        <v>Not Mapped</v>
      </c>
      <c r="D1056" s="40" t="str">
        <f aca="false">IF(B1056="","",IFERROR(INDEX('CLM &amp; IM Mapping'!$C$2:$C$270,MATCH(TRIM(B1056),'CLM &amp; IM Mapping'!$A$2:$A$270,0)),"Not Mapped"))</f>
        <v>Not Mapped</v>
      </c>
      <c r="E1056" s="41" t="n">
        <v>467</v>
      </c>
      <c r="F1056" s="41" t="n">
        <v>0</v>
      </c>
      <c r="G1056" s="41" t="n">
        <v>467</v>
      </c>
      <c r="H1056" s="41" t="n">
        <v>0</v>
      </c>
      <c r="I1056" s="41" t="n">
        <v>0</v>
      </c>
      <c r="J1056" s="41" t="n">
        <v>0</v>
      </c>
      <c r="K1056" s="41" t="n">
        <v>0</v>
      </c>
      <c r="L1056" s="41" t="n">
        <v>0</v>
      </c>
    </row>
    <row r="1057" customFormat="false" ht="15.75" hidden="false" customHeight="false" outlineLevel="0" collapsed="false">
      <c r="B1057" s="39" t="s">
        <v>1189</v>
      </c>
      <c r="C1057" s="40" t="str">
        <f aca="false">IF(B1057="","",IFERROR(INDEX('CLM &amp; IM Mapping'!$B$2:$B$270,MATCH(TRIM(B1057),'CLM &amp; IM Mapping'!$A$2:$A$270,0)),"Not Mapped"))</f>
        <v>Not Mapped</v>
      </c>
      <c r="D1057" s="40" t="str">
        <f aca="false">IF(B1057="","",IFERROR(INDEX('CLM &amp; IM Mapping'!$C$2:$C$270,MATCH(TRIM(B1057),'CLM &amp; IM Mapping'!$A$2:$A$270,0)),"Not Mapped"))</f>
        <v>Not Mapped</v>
      </c>
      <c r="E1057" s="41" t="n">
        <v>130</v>
      </c>
      <c r="F1057" s="41" t="n">
        <v>0</v>
      </c>
      <c r="G1057" s="41" t="n">
        <v>80</v>
      </c>
      <c r="H1057" s="41" t="n">
        <v>0</v>
      </c>
      <c r="I1057" s="41" t="n">
        <v>50</v>
      </c>
      <c r="J1057" s="41" t="n">
        <v>0</v>
      </c>
      <c r="K1057" s="41" t="n">
        <v>0</v>
      </c>
      <c r="L1057" s="41" t="n">
        <v>50</v>
      </c>
    </row>
    <row r="1058" customFormat="false" ht="15.75" hidden="false" customHeight="false" outlineLevel="0" collapsed="false">
      <c r="B1058" s="39" t="s">
        <v>1190</v>
      </c>
      <c r="C1058" s="40" t="str">
        <f aca="false">IF(B1058="","",IFERROR(INDEX('CLM &amp; IM Mapping'!$B$2:$B$270,MATCH(TRIM(B1058),'CLM &amp; IM Mapping'!$A$2:$A$270,0)),"Not Mapped"))</f>
        <v>Not Mapped</v>
      </c>
      <c r="D1058" s="40" t="str">
        <f aca="false">IF(B1058="","",IFERROR(INDEX('CLM &amp; IM Mapping'!$C$2:$C$270,MATCH(TRIM(B1058),'CLM &amp; IM Mapping'!$A$2:$A$270,0)),"Not Mapped"))</f>
        <v>Not Mapped</v>
      </c>
      <c r="E1058" s="41" t="n">
        <v>0</v>
      </c>
      <c r="F1058" s="41" t="n">
        <v>0</v>
      </c>
      <c r="G1058" s="41" t="n">
        <v>0</v>
      </c>
      <c r="H1058" s="41" t="n">
        <v>0</v>
      </c>
      <c r="I1058" s="41" t="n">
        <v>0</v>
      </c>
      <c r="J1058" s="41" t="n">
        <v>0</v>
      </c>
      <c r="K1058" s="41" t="n">
        <v>0</v>
      </c>
      <c r="L1058" s="41" t="n">
        <v>0</v>
      </c>
    </row>
    <row r="1059" customFormat="false" ht="15.75" hidden="false" customHeight="false" outlineLevel="0" collapsed="false">
      <c r="B1059" s="39" t="s">
        <v>1191</v>
      </c>
      <c r="C1059" s="40" t="str">
        <f aca="false">IF(B1059="","",IFERROR(INDEX('CLM &amp; IM Mapping'!$B$2:$B$270,MATCH(TRIM(B1059),'CLM &amp; IM Mapping'!$A$2:$A$270,0)),"Not Mapped"))</f>
        <v>Not Mapped</v>
      </c>
      <c r="D1059" s="40" t="str">
        <f aca="false">IF(B1059="","",IFERROR(INDEX('CLM &amp; IM Mapping'!$C$2:$C$270,MATCH(TRIM(B1059),'CLM &amp; IM Mapping'!$A$2:$A$270,0)),"Not Mapped"))</f>
        <v>Not Mapped</v>
      </c>
      <c r="E1059" s="41" t="n">
        <v>0</v>
      </c>
      <c r="F1059" s="41" t="n">
        <v>0</v>
      </c>
      <c r="G1059" s="41" t="n">
        <v>0</v>
      </c>
      <c r="H1059" s="41" t="n">
        <v>0</v>
      </c>
      <c r="I1059" s="41" t="n">
        <v>0</v>
      </c>
      <c r="J1059" s="41" t="n">
        <v>0</v>
      </c>
      <c r="K1059" s="41" t="n">
        <v>0</v>
      </c>
      <c r="L1059" s="41" t="n">
        <v>0</v>
      </c>
    </row>
    <row r="1060" customFormat="false" ht="15.75" hidden="false" customHeight="false" outlineLevel="0" collapsed="false">
      <c r="B1060" s="39" t="s">
        <v>1192</v>
      </c>
      <c r="C1060" s="40" t="str">
        <f aca="false">IF(B1060="","",IFERROR(INDEX('CLM &amp; IM Mapping'!$B$2:$B$270,MATCH(TRIM(B1060),'CLM &amp; IM Mapping'!$A$2:$A$270,0)),"Not Mapped"))</f>
        <v>Not Mapped</v>
      </c>
      <c r="D1060" s="40" t="str">
        <f aca="false">IF(B1060="","",IFERROR(INDEX('CLM &amp; IM Mapping'!$C$2:$C$270,MATCH(TRIM(B1060),'CLM &amp; IM Mapping'!$A$2:$A$270,0)),"Not Mapped"))</f>
        <v>Not Mapped</v>
      </c>
      <c r="E1060" s="41" t="n">
        <v>2862</v>
      </c>
      <c r="F1060" s="41" t="n">
        <v>2862</v>
      </c>
      <c r="G1060" s="41" t="n">
        <v>0</v>
      </c>
      <c r="H1060" s="41" t="n">
        <v>0</v>
      </c>
      <c r="I1060" s="41" t="n">
        <v>0</v>
      </c>
      <c r="J1060" s="41" t="n">
        <v>0</v>
      </c>
      <c r="K1060" s="41" t="n">
        <v>0</v>
      </c>
      <c r="L1060" s="41" t="n">
        <v>0</v>
      </c>
    </row>
    <row r="1061" customFormat="false" ht="15.75" hidden="false" customHeight="false" outlineLevel="0" collapsed="false">
      <c r="B1061" s="39" t="s">
        <v>1193</v>
      </c>
      <c r="C1061" s="40" t="str">
        <f aca="false">IF(B1061="","",IFERROR(INDEX('CLM &amp; IM Mapping'!$B$2:$B$270,MATCH(TRIM(B1061),'CLM &amp; IM Mapping'!$A$2:$A$270,0)),"Not Mapped"))</f>
        <v>Not Mapped</v>
      </c>
      <c r="D1061" s="40" t="str">
        <f aca="false">IF(B1061="","",IFERROR(INDEX('CLM &amp; IM Mapping'!$C$2:$C$270,MATCH(TRIM(B1061),'CLM &amp; IM Mapping'!$A$2:$A$270,0)),"Not Mapped"))</f>
        <v>Not Mapped</v>
      </c>
      <c r="E1061" s="41" t="n">
        <v>252</v>
      </c>
      <c r="F1061" s="41" t="n">
        <v>0</v>
      </c>
      <c r="G1061" s="41" t="n">
        <v>252</v>
      </c>
      <c r="H1061" s="41" t="n">
        <v>0</v>
      </c>
      <c r="I1061" s="41" t="n">
        <v>0</v>
      </c>
      <c r="J1061" s="41" t="n">
        <v>0</v>
      </c>
      <c r="K1061" s="41" t="n">
        <v>0</v>
      </c>
      <c r="L1061" s="41" t="n">
        <v>0</v>
      </c>
    </row>
    <row r="1062" customFormat="false" ht="15.75" hidden="false" customHeight="false" outlineLevel="0" collapsed="false">
      <c r="B1062" s="39" t="s">
        <v>1194</v>
      </c>
      <c r="C1062" s="40" t="str">
        <f aca="false">IF(B1062="","",IFERROR(INDEX('CLM &amp; IM Mapping'!$B$2:$B$270,MATCH(TRIM(B1062),'CLM &amp; IM Mapping'!$A$2:$A$270,0)),"Not Mapped"))</f>
        <v>Not Mapped</v>
      </c>
      <c r="D1062" s="40" t="str">
        <f aca="false">IF(B1062="","",IFERROR(INDEX('CLM &amp; IM Mapping'!$C$2:$C$270,MATCH(TRIM(B1062),'CLM &amp; IM Mapping'!$A$2:$A$270,0)),"Not Mapped"))</f>
        <v>Not Mapped</v>
      </c>
      <c r="E1062" s="41" t="n">
        <v>5794</v>
      </c>
      <c r="F1062" s="41" t="n">
        <v>5307</v>
      </c>
      <c r="G1062" s="41" t="n">
        <v>0</v>
      </c>
      <c r="H1062" s="41" t="n">
        <v>0</v>
      </c>
      <c r="I1062" s="41" t="n">
        <v>487</v>
      </c>
      <c r="J1062" s="41" t="n">
        <v>0</v>
      </c>
      <c r="K1062" s="41" t="n">
        <v>0</v>
      </c>
      <c r="L1062" s="41" t="n">
        <v>487</v>
      </c>
    </row>
    <row r="1063" customFormat="false" ht="15.75" hidden="false" customHeight="false" outlineLevel="0" collapsed="false">
      <c r="B1063" s="39" t="s">
        <v>1195</v>
      </c>
      <c r="C1063" s="40" t="str">
        <f aca="false">IF(B1063="","",IFERROR(INDEX('CLM &amp; IM Mapping'!$B$2:$B$270,MATCH(TRIM(B1063),'CLM &amp; IM Mapping'!$A$2:$A$270,0)),"Not Mapped"))</f>
        <v>Not Mapped</v>
      </c>
      <c r="D1063" s="40" t="str">
        <f aca="false">IF(B1063="","",IFERROR(INDEX('CLM &amp; IM Mapping'!$C$2:$C$270,MATCH(TRIM(B1063),'CLM &amp; IM Mapping'!$A$2:$A$270,0)),"Not Mapped"))</f>
        <v>Not Mapped</v>
      </c>
      <c r="E1063" s="41" t="n">
        <v>602</v>
      </c>
      <c r="F1063" s="41" t="n">
        <v>602</v>
      </c>
      <c r="G1063" s="41" t="n">
        <v>0</v>
      </c>
      <c r="H1063" s="41" t="n">
        <v>0</v>
      </c>
      <c r="I1063" s="41" t="n">
        <v>0</v>
      </c>
      <c r="J1063" s="41" t="n">
        <v>0</v>
      </c>
      <c r="K1063" s="41" t="n">
        <v>0</v>
      </c>
      <c r="L1063" s="41" t="n">
        <v>0</v>
      </c>
    </row>
    <row r="1064" customFormat="false" ht="15.75" hidden="false" customHeight="false" outlineLevel="0" collapsed="false">
      <c r="B1064" s="39" t="s">
        <v>1196</v>
      </c>
      <c r="C1064" s="40" t="str">
        <f aca="false">IF(B1064="","",IFERROR(INDEX('CLM &amp; IM Mapping'!$B$2:$B$270,MATCH(TRIM(B1064),'CLM &amp; IM Mapping'!$A$2:$A$270,0)),"Not Mapped"))</f>
        <v>Not Mapped</v>
      </c>
      <c r="D1064" s="40" t="str">
        <f aca="false">IF(B1064="","",IFERROR(INDEX('CLM &amp; IM Mapping'!$C$2:$C$270,MATCH(TRIM(B1064),'CLM &amp; IM Mapping'!$A$2:$A$270,0)),"Not Mapped"))</f>
        <v>Not Mapped</v>
      </c>
      <c r="E1064" s="41" t="n">
        <v>4223</v>
      </c>
      <c r="F1064" s="41" t="n">
        <v>3792</v>
      </c>
      <c r="G1064" s="41" t="n">
        <v>0</v>
      </c>
      <c r="H1064" s="41" t="n">
        <v>0</v>
      </c>
      <c r="I1064" s="41" t="n">
        <v>326</v>
      </c>
      <c r="J1064" s="41" t="n">
        <v>0</v>
      </c>
      <c r="K1064" s="41" t="n">
        <v>105</v>
      </c>
      <c r="L1064" s="41" t="n">
        <v>431</v>
      </c>
    </row>
    <row r="1065" customFormat="false" ht="15.75" hidden="false" customHeight="false" outlineLevel="0" collapsed="false">
      <c r="B1065" s="39" t="s">
        <v>1197</v>
      </c>
      <c r="C1065" s="40" t="str">
        <f aca="false">IF(B1065="","",IFERROR(INDEX('CLM &amp; IM Mapping'!$B$2:$B$270,MATCH(TRIM(B1065),'CLM &amp; IM Mapping'!$A$2:$A$270,0)),"Not Mapped"))</f>
        <v>Not Mapped</v>
      </c>
      <c r="D1065" s="40" t="str">
        <f aca="false">IF(B1065="","",IFERROR(INDEX('CLM &amp; IM Mapping'!$C$2:$C$270,MATCH(TRIM(B1065),'CLM &amp; IM Mapping'!$A$2:$A$270,0)),"Not Mapped"))</f>
        <v>Not Mapped</v>
      </c>
      <c r="E1065" s="41" t="n">
        <v>796</v>
      </c>
      <c r="F1065" s="41" t="n">
        <v>0</v>
      </c>
      <c r="G1065" s="41" t="n">
        <v>783</v>
      </c>
      <c r="H1065" s="41" t="n">
        <v>0</v>
      </c>
      <c r="I1065" s="41" t="n">
        <v>0</v>
      </c>
      <c r="J1065" s="41" t="n">
        <v>0</v>
      </c>
      <c r="K1065" s="41" t="n">
        <v>13</v>
      </c>
      <c r="L1065" s="41" t="n">
        <v>13</v>
      </c>
    </row>
    <row r="1066" customFormat="false" ht="15.75" hidden="false" customHeight="false" outlineLevel="0" collapsed="false">
      <c r="B1066" s="39" t="s">
        <v>1198</v>
      </c>
      <c r="C1066" s="40" t="str">
        <f aca="false">IF(B1066="","",IFERROR(INDEX('CLM &amp; IM Mapping'!$B$2:$B$270,MATCH(TRIM(B1066),'CLM &amp; IM Mapping'!$A$2:$A$270,0)),"Not Mapped"))</f>
        <v>Not Mapped</v>
      </c>
      <c r="D1066" s="40" t="str">
        <f aca="false">IF(B1066="","",IFERROR(INDEX('CLM &amp; IM Mapping'!$C$2:$C$270,MATCH(TRIM(B1066),'CLM &amp; IM Mapping'!$A$2:$A$270,0)),"Not Mapped"))</f>
        <v>Not Mapped</v>
      </c>
      <c r="E1066" s="41" t="n">
        <v>0</v>
      </c>
      <c r="F1066" s="41" t="n">
        <v>0</v>
      </c>
      <c r="G1066" s="41" t="n">
        <v>0</v>
      </c>
      <c r="H1066" s="41" t="n">
        <v>0</v>
      </c>
      <c r="I1066" s="41" t="n">
        <v>0</v>
      </c>
      <c r="J1066" s="41" t="n">
        <v>0</v>
      </c>
      <c r="K1066" s="41" t="n">
        <v>0</v>
      </c>
      <c r="L1066" s="41" t="n">
        <v>0</v>
      </c>
    </row>
    <row r="1067" customFormat="false" ht="15.75" hidden="false" customHeight="false" outlineLevel="0" collapsed="false">
      <c r="B1067" s="39" t="s">
        <v>1199</v>
      </c>
      <c r="C1067" s="40" t="str">
        <f aca="false">IF(B1067="","",IFERROR(INDEX('CLM &amp; IM Mapping'!$B$2:$B$270,MATCH(TRIM(B1067),'CLM &amp; IM Mapping'!$A$2:$A$270,0)),"Not Mapped"))</f>
        <v>Not Mapped</v>
      </c>
      <c r="D1067" s="40" t="str">
        <f aca="false">IF(B1067="","",IFERROR(INDEX('CLM &amp; IM Mapping'!$C$2:$C$270,MATCH(TRIM(B1067),'CLM &amp; IM Mapping'!$A$2:$A$270,0)),"Not Mapped"))</f>
        <v>Not Mapped</v>
      </c>
      <c r="E1067" s="41" t="n">
        <v>0</v>
      </c>
      <c r="F1067" s="41" t="n">
        <v>0</v>
      </c>
      <c r="G1067" s="41" t="n">
        <v>0</v>
      </c>
      <c r="H1067" s="41" t="n">
        <v>0</v>
      </c>
      <c r="I1067" s="41" t="n">
        <v>0</v>
      </c>
      <c r="J1067" s="41" t="n">
        <v>0</v>
      </c>
      <c r="K1067" s="41" t="n">
        <v>0</v>
      </c>
      <c r="L1067" s="41" t="n">
        <v>0</v>
      </c>
    </row>
    <row r="1068" customFormat="false" ht="15.75" hidden="false" customHeight="false" outlineLevel="0" collapsed="false">
      <c r="B1068" s="39" t="s">
        <v>1200</v>
      </c>
      <c r="C1068" s="40" t="str">
        <f aca="false">IF(B1068="","",IFERROR(INDEX('CLM &amp; IM Mapping'!$B$2:$B$270,MATCH(TRIM(B1068),'CLM &amp; IM Mapping'!$A$2:$A$270,0)),"Not Mapped"))</f>
        <v>Not Mapped</v>
      </c>
      <c r="D1068" s="40" t="str">
        <f aca="false">IF(B1068="","",IFERROR(INDEX('CLM &amp; IM Mapping'!$C$2:$C$270,MATCH(TRIM(B1068),'CLM &amp; IM Mapping'!$A$2:$A$270,0)),"Not Mapped"))</f>
        <v>Not Mapped</v>
      </c>
      <c r="E1068" s="41" t="n">
        <v>973</v>
      </c>
      <c r="F1068" s="41" t="n">
        <v>0</v>
      </c>
      <c r="G1068" s="41" t="n">
        <v>973</v>
      </c>
      <c r="H1068" s="41" t="n">
        <v>0</v>
      </c>
      <c r="I1068" s="41" t="n">
        <v>0</v>
      </c>
      <c r="J1068" s="41" t="n">
        <v>0</v>
      </c>
      <c r="K1068" s="41" t="n">
        <v>0</v>
      </c>
      <c r="L1068" s="41" t="n">
        <v>0</v>
      </c>
    </row>
    <row r="1069" customFormat="false" ht="15.75" hidden="false" customHeight="false" outlineLevel="0" collapsed="false">
      <c r="B1069" s="39" t="s">
        <v>1201</v>
      </c>
      <c r="C1069" s="40" t="str">
        <f aca="false">IF(B1069="","",IFERROR(INDEX('CLM &amp; IM Mapping'!$B$2:$B$270,MATCH(TRIM(B1069),'CLM &amp; IM Mapping'!$A$2:$A$270,0)),"Not Mapped"))</f>
        <v>Not Mapped</v>
      </c>
      <c r="D1069" s="40" t="str">
        <f aca="false">IF(B1069="","",IFERROR(INDEX('CLM &amp; IM Mapping'!$C$2:$C$270,MATCH(TRIM(B1069),'CLM &amp; IM Mapping'!$A$2:$A$270,0)),"Not Mapped"))</f>
        <v>Not Mapped</v>
      </c>
      <c r="E1069" s="41" t="n">
        <v>1763</v>
      </c>
      <c r="F1069" s="41" t="n">
        <v>0</v>
      </c>
      <c r="G1069" s="41" t="n">
        <v>1763</v>
      </c>
      <c r="H1069" s="41" t="n">
        <v>0</v>
      </c>
      <c r="I1069" s="41" t="n">
        <v>0</v>
      </c>
      <c r="J1069" s="41" t="n">
        <v>0</v>
      </c>
      <c r="K1069" s="41" t="n">
        <v>0</v>
      </c>
      <c r="L1069" s="41" t="n">
        <v>0</v>
      </c>
    </row>
    <row r="1070" customFormat="false" ht="15.75" hidden="false" customHeight="false" outlineLevel="0" collapsed="false">
      <c r="B1070" s="39" t="s">
        <v>1202</v>
      </c>
      <c r="C1070" s="40" t="str">
        <f aca="false">IF(B1070="","",IFERROR(INDEX('CLM &amp; IM Mapping'!$B$2:$B$270,MATCH(TRIM(B1070),'CLM &amp; IM Mapping'!$A$2:$A$270,0)),"Not Mapped"))</f>
        <v>Not Mapped</v>
      </c>
      <c r="D1070" s="40" t="str">
        <f aca="false">IF(B1070="","",IFERROR(INDEX('CLM &amp; IM Mapping'!$C$2:$C$270,MATCH(TRIM(B1070),'CLM &amp; IM Mapping'!$A$2:$A$270,0)),"Not Mapped"))</f>
        <v>Not Mapped</v>
      </c>
      <c r="E1070" s="41" t="n">
        <v>2344</v>
      </c>
      <c r="F1070" s="41" t="n">
        <v>0</v>
      </c>
      <c r="G1070" s="41" t="n">
        <v>2330</v>
      </c>
      <c r="H1070" s="41" t="n">
        <v>0</v>
      </c>
      <c r="I1070" s="41" t="n">
        <v>14</v>
      </c>
      <c r="J1070" s="41" t="n">
        <v>0</v>
      </c>
      <c r="K1070" s="41" t="n">
        <v>0</v>
      </c>
      <c r="L1070" s="41" t="n">
        <v>14</v>
      </c>
    </row>
    <row r="1071" customFormat="false" ht="15.75" hidden="false" customHeight="false" outlineLevel="0" collapsed="false">
      <c r="B1071" s="39" t="s">
        <v>1203</v>
      </c>
      <c r="C1071" s="40" t="str">
        <f aca="false">IF(B1071="","",IFERROR(INDEX('CLM &amp; IM Mapping'!$B$2:$B$270,MATCH(TRIM(B1071),'CLM &amp; IM Mapping'!$A$2:$A$270,0)),"Not Mapped"))</f>
        <v>Not Mapped</v>
      </c>
      <c r="D1071" s="40" t="str">
        <f aca="false">IF(B1071="","",IFERROR(INDEX('CLM &amp; IM Mapping'!$C$2:$C$270,MATCH(TRIM(B1071),'CLM &amp; IM Mapping'!$A$2:$A$270,0)),"Not Mapped"))</f>
        <v>Not Mapped</v>
      </c>
      <c r="E1071" s="41" t="n">
        <v>428</v>
      </c>
      <c r="F1071" s="41" t="n">
        <v>5</v>
      </c>
      <c r="G1071" s="41" t="n">
        <v>423</v>
      </c>
      <c r="H1071" s="41" t="n">
        <v>0</v>
      </c>
      <c r="I1071" s="41" t="n">
        <v>0</v>
      </c>
      <c r="J1071" s="41" t="n">
        <v>0</v>
      </c>
      <c r="K1071" s="41" t="n">
        <v>0</v>
      </c>
      <c r="L1071" s="41" t="n">
        <v>0</v>
      </c>
    </row>
    <row r="1072" customFormat="false" ht="15.75" hidden="false" customHeight="false" outlineLevel="0" collapsed="false">
      <c r="B1072" s="39" t="s">
        <v>1204</v>
      </c>
      <c r="C1072" s="40" t="str">
        <f aca="false">IF(B1072="","",IFERROR(INDEX('CLM &amp; IM Mapping'!$B$2:$B$270,MATCH(TRIM(B1072),'CLM &amp; IM Mapping'!$A$2:$A$270,0)),"Not Mapped"))</f>
        <v>Not Mapped</v>
      </c>
      <c r="D1072" s="40" t="str">
        <f aca="false">IF(B1072="","",IFERROR(INDEX('CLM &amp; IM Mapping'!$C$2:$C$270,MATCH(TRIM(B1072),'CLM &amp; IM Mapping'!$A$2:$A$270,0)),"Not Mapped"))</f>
        <v>Not Mapped</v>
      </c>
      <c r="E1072" s="41" t="n">
        <v>3005</v>
      </c>
      <c r="F1072" s="41" t="n">
        <v>3005</v>
      </c>
      <c r="G1072" s="41" t="n">
        <v>0</v>
      </c>
      <c r="H1072" s="41" t="n">
        <v>0</v>
      </c>
      <c r="I1072" s="41" t="n">
        <v>0</v>
      </c>
      <c r="J1072" s="41" t="n">
        <v>0</v>
      </c>
      <c r="K1072" s="41" t="n">
        <v>0</v>
      </c>
      <c r="L1072" s="41" t="n">
        <v>0</v>
      </c>
    </row>
    <row r="1073" customFormat="false" ht="15.75" hidden="false" customHeight="false" outlineLevel="0" collapsed="false">
      <c r="B1073" s="39" t="s">
        <v>1205</v>
      </c>
      <c r="C1073" s="40" t="str">
        <f aca="false">IF(B1073="","",IFERROR(INDEX('CLM &amp; IM Mapping'!$B$2:$B$270,MATCH(TRIM(B1073),'CLM &amp; IM Mapping'!$A$2:$A$270,0)),"Not Mapped"))</f>
        <v>Not Mapped</v>
      </c>
      <c r="D1073" s="40" t="str">
        <f aca="false">IF(B1073="","",IFERROR(INDEX('CLM &amp; IM Mapping'!$C$2:$C$270,MATCH(TRIM(B1073),'CLM &amp; IM Mapping'!$A$2:$A$270,0)),"Not Mapped"))</f>
        <v>Not Mapped</v>
      </c>
      <c r="E1073" s="41" t="n">
        <v>3178</v>
      </c>
      <c r="F1073" s="41" t="n">
        <v>30</v>
      </c>
      <c r="G1073" s="41" t="n">
        <v>3148</v>
      </c>
      <c r="H1073" s="41" t="n">
        <v>0</v>
      </c>
      <c r="I1073" s="41" t="n">
        <v>0</v>
      </c>
      <c r="J1073" s="41" t="n">
        <v>0</v>
      </c>
      <c r="K1073" s="41" t="n">
        <v>0</v>
      </c>
      <c r="L1073" s="41" t="n">
        <v>0</v>
      </c>
    </row>
    <row r="1074" customFormat="false" ht="15.75" hidden="false" customHeight="false" outlineLevel="0" collapsed="false">
      <c r="B1074" s="39" t="s">
        <v>1206</v>
      </c>
      <c r="C1074" s="40" t="str">
        <f aca="false">IF(B1074="","",IFERROR(INDEX('CLM &amp; IM Mapping'!$B$2:$B$270,MATCH(TRIM(B1074),'CLM &amp; IM Mapping'!$A$2:$A$270,0)),"Not Mapped"))</f>
        <v>Not Mapped</v>
      </c>
      <c r="D1074" s="40" t="str">
        <f aca="false">IF(B1074="","",IFERROR(INDEX('CLM &amp; IM Mapping'!$C$2:$C$270,MATCH(TRIM(B1074),'CLM &amp; IM Mapping'!$A$2:$A$270,0)),"Not Mapped"))</f>
        <v>Not Mapped</v>
      </c>
      <c r="E1074" s="41" t="n">
        <v>1749</v>
      </c>
      <c r="F1074" s="41" t="n">
        <v>1749</v>
      </c>
      <c r="G1074" s="41" t="n">
        <v>0</v>
      </c>
      <c r="H1074" s="41" t="n">
        <v>0</v>
      </c>
      <c r="I1074" s="41" t="n">
        <v>0</v>
      </c>
      <c r="J1074" s="41" t="n">
        <v>0</v>
      </c>
      <c r="K1074" s="41" t="n">
        <v>0</v>
      </c>
      <c r="L1074" s="41" t="n">
        <v>0</v>
      </c>
    </row>
    <row r="1075" customFormat="false" ht="15.75" hidden="false" customHeight="false" outlineLevel="0" collapsed="false">
      <c r="B1075" s="39" t="s">
        <v>1207</v>
      </c>
      <c r="C1075" s="40" t="str">
        <f aca="false">IF(B1075="","",IFERROR(INDEX('CLM &amp; IM Mapping'!$B$2:$B$270,MATCH(TRIM(B1075),'CLM &amp; IM Mapping'!$A$2:$A$270,0)),"Not Mapped"))</f>
        <v>Not Mapped</v>
      </c>
      <c r="D1075" s="40" t="str">
        <f aca="false">IF(B1075="","",IFERROR(INDEX('CLM &amp; IM Mapping'!$C$2:$C$270,MATCH(TRIM(B1075),'CLM &amp; IM Mapping'!$A$2:$A$270,0)),"Not Mapped"))</f>
        <v>Not Mapped</v>
      </c>
      <c r="E1075" s="41" t="n">
        <v>624</v>
      </c>
      <c r="F1075" s="41" t="n">
        <v>0</v>
      </c>
      <c r="G1075" s="41" t="n">
        <v>624</v>
      </c>
      <c r="H1075" s="41" t="n">
        <v>0</v>
      </c>
      <c r="I1075" s="41" t="n">
        <v>0</v>
      </c>
      <c r="J1075" s="41" t="n">
        <v>0</v>
      </c>
      <c r="K1075" s="41" t="n">
        <v>0</v>
      </c>
      <c r="L1075" s="41" t="n">
        <v>0</v>
      </c>
    </row>
    <row r="1076" customFormat="false" ht="15.75" hidden="false" customHeight="false" outlineLevel="0" collapsed="false">
      <c r="B1076" s="39" t="s">
        <v>1208</v>
      </c>
      <c r="C1076" s="40" t="str">
        <f aca="false">IF(B1076="","",IFERROR(INDEX('CLM &amp; IM Mapping'!$B$2:$B$270,MATCH(TRIM(B1076),'CLM &amp; IM Mapping'!$A$2:$A$270,0)),"Not Mapped"))</f>
        <v>Not Mapped</v>
      </c>
      <c r="D1076" s="40" t="str">
        <f aca="false">IF(B1076="","",IFERROR(INDEX('CLM &amp; IM Mapping'!$C$2:$C$270,MATCH(TRIM(B1076),'CLM &amp; IM Mapping'!$A$2:$A$270,0)),"Not Mapped"))</f>
        <v>Not Mapped</v>
      </c>
      <c r="E1076" s="41" t="n">
        <v>1252</v>
      </c>
      <c r="F1076" s="41" t="n">
        <v>1252</v>
      </c>
      <c r="G1076" s="41" t="n">
        <v>0</v>
      </c>
      <c r="H1076" s="41" t="n">
        <v>0</v>
      </c>
      <c r="I1076" s="41" t="n">
        <v>0</v>
      </c>
      <c r="J1076" s="41" t="n">
        <v>0</v>
      </c>
      <c r="K1076" s="41" t="n">
        <v>0</v>
      </c>
      <c r="L1076" s="41" t="n">
        <v>0</v>
      </c>
    </row>
    <row r="1077" customFormat="false" ht="15.75" hidden="false" customHeight="false" outlineLevel="0" collapsed="false">
      <c r="B1077" s="39" t="s">
        <v>1209</v>
      </c>
      <c r="C1077" s="40" t="str">
        <f aca="false">IF(B1077="","",IFERROR(INDEX('CLM &amp; IM Mapping'!$B$2:$B$270,MATCH(TRIM(B1077),'CLM &amp; IM Mapping'!$A$2:$A$270,0)),"Not Mapped"))</f>
        <v>Not Mapped</v>
      </c>
      <c r="D1077" s="40" t="str">
        <f aca="false">IF(B1077="","",IFERROR(INDEX('CLM &amp; IM Mapping'!$C$2:$C$270,MATCH(TRIM(B1077),'CLM &amp; IM Mapping'!$A$2:$A$270,0)),"Not Mapped"))</f>
        <v>Not Mapped</v>
      </c>
      <c r="E1077" s="41" t="n">
        <v>3508</v>
      </c>
      <c r="F1077" s="41" t="n">
        <v>3141</v>
      </c>
      <c r="G1077" s="41" t="n">
        <v>367</v>
      </c>
      <c r="H1077" s="41" t="n">
        <v>0</v>
      </c>
      <c r="I1077" s="41" t="n">
        <v>0</v>
      </c>
      <c r="J1077" s="41" t="n">
        <v>0</v>
      </c>
      <c r="K1077" s="41" t="n">
        <v>0</v>
      </c>
      <c r="L1077" s="41" t="n">
        <v>0</v>
      </c>
    </row>
    <row r="1078" customFormat="false" ht="15.75" hidden="false" customHeight="false" outlineLevel="0" collapsed="false">
      <c r="B1078" s="39" t="s">
        <v>1210</v>
      </c>
      <c r="C1078" s="40" t="str">
        <f aca="false">IF(B1078="","",IFERROR(INDEX('CLM &amp; IM Mapping'!$B$2:$B$270,MATCH(TRIM(B1078),'CLM &amp; IM Mapping'!$A$2:$A$270,0)),"Not Mapped"))</f>
        <v>Not Mapped</v>
      </c>
      <c r="D1078" s="40" t="str">
        <f aca="false">IF(B1078="","",IFERROR(INDEX('CLM &amp; IM Mapping'!$C$2:$C$270,MATCH(TRIM(B1078),'CLM &amp; IM Mapping'!$A$2:$A$270,0)),"Not Mapped"))</f>
        <v>Not Mapped</v>
      </c>
      <c r="E1078" s="41" t="n">
        <v>2694</v>
      </c>
      <c r="F1078" s="41" t="n">
        <v>2694</v>
      </c>
      <c r="G1078" s="41" t="n">
        <v>0</v>
      </c>
      <c r="H1078" s="41" t="n">
        <v>0</v>
      </c>
      <c r="I1078" s="41" t="n">
        <v>0</v>
      </c>
      <c r="J1078" s="41" t="n">
        <v>0</v>
      </c>
      <c r="K1078" s="41" t="n">
        <v>0</v>
      </c>
      <c r="L1078" s="41" t="n">
        <v>0</v>
      </c>
    </row>
    <row r="1079" customFormat="false" ht="15.75" hidden="false" customHeight="false" outlineLevel="0" collapsed="false">
      <c r="B1079" s="39" t="s">
        <v>1211</v>
      </c>
      <c r="C1079" s="40" t="str">
        <f aca="false">IF(B1079="","",IFERROR(INDEX('CLM &amp; IM Mapping'!$B$2:$B$270,MATCH(TRIM(B1079),'CLM &amp; IM Mapping'!$A$2:$A$270,0)),"Not Mapped"))</f>
        <v>Not Mapped</v>
      </c>
      <c r="D1079" s="40" t="str">
        <f aca="false">IF(B1079="","",IFERROR(INDEX('CLM &amp; IM Mapping'!$C$2:$C$270,MATCH(TRIM(B1079),'CLM &amp; IM Mapping'!$A$2:$A$270,0)),"Not Mapped"))</f>
        <v>Not Mapped</v>
      </c>
      <c r="E1079" s="41" t="n">
        <v>8307</v>
      </c>
      <c r="F1079" s="41" t="n">
        <v>0</v>
      </c>
      <c r="G1079" s="41" t="n">
        <v>2425</v>
      </c>
      <c r="H1079" s="41" t="n">
        <v>0</v>
      </c>
      <c r="I1079" s="41" t="n">
        <v>1346</v>
      </c>
      <c r="J1079" s="41" t="n">
        <v>0</v>
      </c>
      <c r="K1079" s="41" t="n">
        <v>4536</v>
      </c>
      <c r="L1079" s="41" t="n">
        <v>5882</v>
      </c>
    </row>
    <row r="1080" customFormat="false" ht="15.75" hidden="false" customHeight="false" outlineLevel="0" collapsed="false">
      <c r="B1080" s="39" t="s">
        <v>1212</v>
      </c>
      <c r="C1080" s="40" t="str">
        <f aca="false">IF(B1080="","",IFERROR(INDEX('CLM &amp; IM Mapping'!$B$2:$B$270,MATCH(TRIM(B1080),'CLM &amp; IM Mapping'!$A$2:$A$270,0)),"Not Mapped"))</f>
        <v>Not Mapped</v>
      </c>
      <c r="D1080" s="40" t="str">
        <f aca="false">IF(B1080="","",IFERROR(INDEX('CLM &amp; IM Mapping'!$C$2:$C$270,MATCH(TRIM(B1080),'CLM &amp; IM Mapping'!$A$2:$A$270,0)),"Not Mapped"))</f>
        <v>Not Mapped</v>
      </c>
      <c r="E1080" s="41" t="n">
        <v>3204</v>
      </c>
      <c r="F1080" s="41" t="n">
        <v>0</v>
      </c>
      <c r="G1080" s="41" t="n">
        <v>0</v>
      </c>
      <c r="H1080" s="41" t="n">
        <v>0</v>
      </c>
      <c r="I1080" s="41" t="n">
        <v>1588</v>
      </c>
      <c r="J1080" s="41" t="n">
        <v>0</v>
      </c>
      <c r="K1080" s="41" t="n">
        <v>1616</v>
      </c>
      <c r="L1080" s="41" t="n">
        <v>3204</v>
      </c>
    </row>
    <row r="1081" customFormat="false" ht="15.75" hidden="false" customHeight="false" outlineLevel="0" collapsed="false">
      <c r="B1081" s="39" t="s">
        <v>1213</v>
      </c>
      <c r="C1081" s="40" t="str">
        <f aca="false">IF(B1081="","",IFERROR(INDEX('CLM &amp; IM Mapping'!$B$2:$B$270,MATCH(TRIM(B1081),'CLM &amp; IM Mapping'!$A$2:$A$270,0)),"Not Mapped"))</f>
        <v>Not Mapped</v>
      </c>
      <c r="D1081" s="40" t="str">
        <f aca="false">IF(B1081="","",IFERROR(INDEX('CLM &amp; IM Mapping'!$C$2:$C$270,MATCH(TRIM(B1081),'CLM &amp; IM Mapping'!$A$2:$A$270,0)),"Not Mapped"))</f>
        <v>Not Mapped</v>
      </c>
      <c r="E1081" s="41" t="n">
        <v>0</v>
      </c>
      <c r="F1081" s="41" t="n">
        <v>0</v>
      </c>
      <c r="G1081" s="41" t="n">
        <v>0</v>
      </c>
      <c r="H1081" s="41" t="n">
        <v>0</v>
      </c>
      <c r="I1081" s="41" t="n">
        <v>0</v>
      </c>
      <c r="J1081" s="41" t="n">
        <v>0</v>
      </c>
      <c r="K1081" s="41" t="n">
        <v>0</v>
      </c>
      <c r="L1081" s="41" t="n">
        <v>0</v>
      </c>
    </row>
    <row r="1082" customFormat="false" ht="15.75" hidden="false" customHeight="false" outlineLevel="0" collapsed="false">
      <c r="B1082" s="39" t="s">
        <v>1214</v>
      </c>
      <c r="C1082" s="40" t="str">
        <f aca="false">IF(B1082="","",IFERROR(INDEX('CLM &amp; IM Mapping'!$B$2:$B$270,MATCH(TRIM(B1082),'CLM &amp; IM Mapping'!$A$2:$A$270,0)),"Not Mapped"))</f>
        <v>Not Mapped</v>
      </c>
      <c r="D1082" s="40" t="str">
        <f aca="false">IF(B1082="","",IFERROR(INDEX('CLM &amp; IM Mapping'!$C$2:$C$270,MATCH(TRIM(B1082),'CLM &amp; IM Mapping'!$A$2:$A$270,0)),"Not Mapped"))</f>
        <v>Not Mapped</v>
      </c>
      <c r="E1082" s="41" t="n">
        <v>0</v>
      </c>
      <c r="F1082" s="41" t="n">
        <v>0</v>
      </c>
      <c r="G1082" s="41" t="n">
        <v>0</v>
      </c>
      <c r="H1082" s="41" t="n">
        <v>0</v>
      </c>
      <c r="I1082" s="41" t="n">
        <v>0</v>
      </c>
      <c r="J1082" s="41" t="n">
        <v>0</v>
      </c>
      <c r="K1082" s="41" t="n">
        <v>0</v>
      </c>
      <c r="L1082" s="41" t="n">
        <v>0</v>
      </c>
    </row>
    <row r="1083" customFormat="false" ht="15.75" hidden="false" customHeight="false" outlineLevel="0" collapsed="false">
      <c r="B1083" s="39" t="s">
        <v>1215</v>
      </c>
      <c r="C1083" s="40" t="str">
        <f aca="false">IF(B1083="","",IFERROR(INDEX('CLM &amp; IM Mapping'!$B$2:$B$270,MATCH(TRIM(B1083),'CLM &amp; IM Mapping'!$A$2:$A$270,0)),"Not Mapped"))</f>
        <v>Not Mapped</v>
      </c>
      <c r="D1083" s="40" t="str">
        <f aca="false">IF(B1083="","",IFERROR(INDEX('CLM &amp; IM Mapping'!$C$2:$C$270,MATCH(TRIM(B1083),'CLM &amp; IM Mapping'!$A$2:$A$270,0)),"Not Mapped"))</f>
        <v>Not Mapped</v>
      </c>
      <c r="E1083" s="41" t="n">
        <v>303</v>
      </c>
      <c r="F1083" s="41" t="n">
        <v>303</v>
      </c>
      <c r="G1083" s="41" t="n">
        <v>0</v>
      </c>
      <c r="H1083" s="41" t="n">
        <v>0</v>
      </c>
      <c r="I1083" s="41" t="n">
        <v>0</v>
      </c>
      <c r="J1083" s="41" t="n">
        <v>0</v>
      </c>
      <c r="K1083" s="41" t="n">
        <v>0</v>
      </c>
      <c r="L1083" s="41" t="n">
        <v>0</v>
      </c>
    </row>
    <row r="1084" customFormat="false" ht="15.75" hidden="false" customHeight="false" outlineLevel="0" collapsed="false">
      <c r="B1084" s="39" t="s">
        <v>1216</v>
      </c>
      <c r="C1084" s="40" t="str">
        <f aca="false">IF(B1084="","",IFERROR(INDEX('CLM &amp; IM Mapping'!$B$2:$B$270,MATCH(TRIM(B1084),'CLM &amp; IM Mapping'!$A$2:$A$270,0)),"Not Mapped"))</f>
        <v>Not Mapped</v>
      </c>
      <c r="D1084" s="40" t="str">
        <f aca="false">IF(B1084="","",IFERROR(INDEX('CLM &amp; IM Mapping'!$C$2:$C$270,MATCH(TRIM(B1084),'CLM &amp; IM Mapping'!$A$2:$A$270,0)),"Not Mapped"))</f>
        <v>Not Mapped</v>
      </c>
      <c r="E1084" s="41" t="n">
        <v>2704</v>
      </c>
      <c r="F1084" s="41" t="n">
        <v>1087</v>
      </c>
      <c r="G1084" s="41" t="n">
        <v>1617</v>
      </c>
      <c r="H1084" s="41" t="n">
        <v>0</v>
      </c>
      <c r="I1084" s="41" t="n">
        <v>0</v>
      </c>
      <c r="J1084" s="41" t="n">
        <v>0</v>
      </c>
      <c r="K1084" s="41" t="n">
        <v>0</v>
      </c>
      <c r="L1084" s="41" t="n">
        <v>0</v>
      </c>
    </row>
    <row r="1085" customFormat="false" ht="15.75" hidden="false" customHeight="false" outlineLevel="0" collapsed="false">
      <c r="B1085" s="39" t="s">
        <v>1217</v>
      </c>
      <c r="C1085" s="40" t="str">
        <f aca="false">IF(B1085="","",IFERROR(INDEX('CLM &amp; IM Mapping'!$B$2:$B$270,MATCH(TRIM(B1085),'CLM &amp; IM Mapping'!$A$2:$A$270,0)),"Not Mapped"))</f>
        <v>Not Mapped</v>
      </c>
      <c r="D1085" s="40" t="str">
        <f aca="false">IF(B1085="","",IFERROR(INDEX('CLM &amp; IM Mapping'!$C$2:$C$270,MATCH(TRIM(B1085),'CLM &amp; IM Mapping'!$A$2:$A$270,0)),"Not Mapped"))</f>
        <v>Not Mapped</v>
      </c>
      <c r="E1085" s="41" t="n">
        <v>1644</v>
      </c>
      <c r="F1085" s="41" t="n">
        <v>2</v>
      </c>
      <c r="G1085" s="41" t="n">
        <v>1642</v>
      </c>
      <c r="H1085" s="41" t="n">
        <v>0</v>
      </c>
      <c r="I1085" s="41" t="n">
        <v>0</v>
      </c>
      <c r="J1085" s="41" t="n">
        <v>0</v>
      </c>
      <c r="K1085" s="41" t="n">
        <v>0</v>
      </c>
      <c r="L1085" s="41" t="n">
        <v>0</v>
      </c>
    </row>
    <row r="1086" customFormat="false" ht="15.75" hidden="false" customHeight="false" outlineLevel="0" collapsed="false">
      <c r="B1086" s="39" t="s">
        <v>1218</v>
      </c>
      <c r="C1086" s="40" t="str">
        <f aca="false">IF(B1086="","",IFERROR(INDEX('CLM &amp; IM Mapping'!$B$2:$B$270,MATCH(TRIM(B1086),'CLM &amp; IM Mapping'!$A$2:$A$270,0)),"Not Mapped"))</f>
        <v>Not Mapped</v>
      </c>
      <c r="D1086" s="40" t="str">
        <f aca="false">IF(B1086="","",IFERROR(INDEX('CLM &amp; IM Mapping'!$C$2:$C$270,MATCH(TRIM(B1086),'CLM &amp; IM Mapping'!$A$2:$A$270,0)),"Not Mapped"))</f>
        <v>Not Mapped</v>
      </c>
      <c r="E1086" s="41" t="n">
        <v>7</v>
      </c>
      <c r="F1086" s="41" t="n">
        <v>0</v>
      </c>
      <c r="G1086" s="41" t="n">
        <v>0</v>
      </c>
      <c r="H1086" s="41" t="n">
        <v>0</v>
      </c>
      <c r="I1086" s="41" t="n">
        <v>0</v>
      </c>
      <c r="J1086" s="41" t="n">
        <v>7</v>
      </c>
      <c r="K1086" s="41" t="n">
        <v>0</v>
      </c>
      <c r="L1086" s="41" t="n">
        <v>7</v>
      </c>
    </row>
    <row r="1087" customFormat="false" ht="15.75" hidden="false" customHeight="false" outlineLevel="0" collapsed="false">
      <c r="B1087" s="39" t="s">
        <v>1219</v>
      </c>
      <c r="C1087" s="40" t="str">
        <f aca="false">IF(B1087="","",IFERROR(INDEX('CLM &amp; IM Mapping'!$B$2:$B$270,MATCH(TRIM(B1087),'CLM &amp; IM Mapping'!$A$2:$A$270,0)),"Not Mapped"))</f>
        <v>Not Mapped</v>
      </c>
      <c r="D1087" s="40" t="str">
        <f aca="false">IF(B1087="","",IFERROR(INDEX('CLM &amp; IM Mapping'!$C$2:$C$270,MATCH(TRIM(B1087),'CLM &amp; IM Mapping'!$A$2:$A$270,0)),"Not Mapped"))</f>
        <v>Not Mapped</v>
      </c>
      <c r="E1087" s="41" t="n">
        <v>5899</v>
      </c>
      <c r="F1087" s="41" t="n">
        <v>5899</v>
      </c>
      <c r="G1087" s="41" t="n">
        <v>0</v>
      </c>
      <c r="H1087" s="41" t="n">
        <v>0</v>
      </c>
      <c r="I1087" s="41" t="n">
        <v>0</v>
      </c>
      <c r="J1087" s="41" t="n">
        <v>0</v>
      </c>
      <c r="K1087" s="41" t="n">
        <v>0</v>
      </c>
      <c r="L1087" s="41" t="n">
        <v>0</v>
      </c>
    </row>
    <row r="1088" customFormat="false" ht="15.75" hidden="false" customHeight="false" outlineLevel="0" collapsed="false">
      <c r="B1088" s="39" t="s">
        <v>1220</v>
      </c>
      <c r="C1088" s="40" t="str">
        <f aca="false">IF(B1088="","",IFERROR(INDEX('CLM &amp; IM Mapping'!$B$2:$B$270,MATCH(TRIM(B1088),'CLM &amp; IM Mapping'!$A$2:$A$270,0)),"Not Mapped"))</f>
        <v>Not Mapped</v>
      </c>
      <c r="D1088" s="40" t="str">
        <f aca="false">IF(B1088="","",IFERROR(INDEX('CLM &amp; IM Mapping'!$C$2:$C$270,MATCH(TRIM(B1088),'CLM &amp; IM Mapping'!$A$2:$A$270,0)),"Not Mapped"))</f>
        <v>Not Mapped</v>
      </c>
      <c r="E1088" s="41" t="n">
        <v>4816</v>
      </c>
      <c r="F1088" s="41" t="n">
        <v>4121</v>
      </c>
      <c r="G1088" s="41" t="n">
        <v>576</v>
      </c>
      <c r="H1088" s="41" t="n">
        <v>47</v>
      </c>
      <c r="I1088" s="41" t="n">
        <v>72</v>
      </c>
      <c r="J1088" s="41" t="n">
        <v>0</v>
      </c>
      <c r="K1088" s="41" t="n">
        <v>0</v>
      </c>
      <c r="L1088" s="53"/>
    </row>
    <row r="1089" customFormat="false" ht="15.75" hidden="false" customHeight="false" outlineLevel="0" collapsed="false">
      <c r="B1089" s="39" t="s">
        <v>1221</v>
      </c>
      <c r="C1089" s="40" t="str">
        <f aca="false">IF(B1089="","",IFERROR(INDEX('CLM &amp; IM Mapping'!$B$2:$B$270,MATCH(TRIM(B1089),'CLM &amp; IM Mapping'!$A$2:$A$270,0)),"Not Mapped"))</f>
        <v>Not Mapped</v>
      </c>
      <c r="D1089" s="40" t="str">
        <f aca="false">IF(B1089="","",IFERROR(INDEX('CLM &amp; IM Mapping'!$C$2:$C$270,MATCH(TRIM(B1089),'CLM &amp; IM Mapping'!$A$2:$A$270,0)),"Not Mapped"))</f>
        <v>Not Mapped</v>
      </c>
      <c r="E1089" s="41" t="n">
        <v>991</v>
      </c>
      <c r="F1089" s="41" t="n">
        <v>0</v>
      </c>
      <c r="G1089" s="41" t="n">
        <v>279</v>
      </c>
      <c r="H1089" s="41" t="n">
        <v>706</v>
      </c>
      <c r="I1089" s="41" t="n">
        <v>0</v>
      </c>
      <c r="J1089" s="41" t="n">
        <v>6</v>
      </c>
      <c r="K1089" s="41" t="n">
        <v>0</v>
      </c>
      <c r="L1089" s="41" t="n">
        <v>712</v>
      </c>
    </row>
    <row r="1090" customFormat="false" ht="15.75" hidden="false" customHeight="false" outlineLevel="0" collapsed="false">
      <c r="B1090" s="23" t="s">
        <v>1222</v>
      </c>
      <c r="C1090" s="44" t="str">
        <f aca="false">IF(B1090="","",IFERROR(INDEX('CLM &amp; IM Mapping'!$B$2:$B$270,MATCH(TRIM(B1090),'CLM &amp; IM Mapping'!$A$2:$A$270,0)),"Not Mapped"))</f>
        <v>Not Mapped</v>
      </c>
      <c r="D1090" s="44" t="str">
        <f aca="false">IF(B1090="","",IFERROR(INDEX('CLM &amp; IM Mapping'!$C$2:$C$270,MATCH(TRIM(B1090),'CLM &amp; IM Mapping'!$A$2:$A$270,0)),"Not Mapped"))</f>
        <v>Not Mapped</v>
      </c>
      <c r="E1090" s="41" t="n">
        <v>0</v>
      </c>
      <c r="F1090" s="41" t="n">
        <v>0</v>
      </c>
      <c r="G1090" s="41" t="n">
        <v>0</v>
      </c>
      <c r="H1090" s="41" t="n">
        <v>0</v>
      </c>
      <c r="I1090" s="41" t="n">
        <v>0</v>
      </c>
      <c r="J1090" s="41" t="n">
        <v>0</v>
      </c>
      <c r="K1090" s="41" t="n">
        <v>0</v>
      </c>
      <c r="L1090" s="41" t="n">
        <v>0</v>
      </c>
    </row>
    <row r="1091" customFormat="false" ht="15.75" hidden="false" customHeight="false" outlineLevel="0" collapsed="false">
      <c r="B1091" s="39" t="s">
        <v>1223</v>
      </c>
      <c r="C1091" s="40" t="str">
        <f aca="false">IF(B1091="","",IFERROR(INDEX('CLM &amp; IM Mapping'!$B$2:$B$270,MATCH(TRIM(B1091),'CLM &amp; IM Mapping'!$A$2:$A$270,0)),"Not Mapped"))</f>
        <v>Not Mapped</v>
      </c>
      <c r="D1091" s="40" t="str">
        <f aca="false">IF(B1091="","",IFERROR(INDEX('CLM &amp; IM Mapping'!$C$2:$C$270,MATCH(TRIM(B1091),'CLM &amp; IM Mapping'!$A$2:$A$270,0)),"Not Mapped"))</f>
        <v>Not Mapped</v>
      </c>
      <c r="E1091" s="41" t="n">
        <v>854</v>
      </c>
      <c r="F1091" s="41" t="n">
        <v>854</v>
      </c>
      <c r="G1091" s="41" t="n">
        <v>0</v>
      </c>
      <c r="H1091" s="41" t="n">
        <v>0</v>
      </c>
      <c r="I1091" s="41" t="n">
        <v>0</v>
      </c>
      <c r="J1091" s="41" t="n">
        <v>0</v>
      </c>
      <c r="K1091" s="41" t="n">
        <v>0</v>
      </c>
      <c r="L1091" s="41" t="n">
        <v>0</v>
      </c>
    </row>
    <row r="1092" customFormat="false" ht="15.75" hidden="false" customHeight="false" outlineLevel="0" collapsed="false">
      <c r="B1092" s="39" t="s">
        <v>1224</v>
      </c>
      <c r="C1092" s="40" t="str">
        <f aca="false">IF(B1092="","",IFERROR(INDEX('CLM &amp; IM Mapping'!$B$2:$B$270,MATCH(TRIM(B1092),'CLM &amp; IM Mapping'!$A$2:$A$270,0)),"Not Mapped"))</f>
        <v>Not Mapped</v>
      </c>
      <c r="D1092" s="40" t="str">
        <f aca="false">IF(B1092="","",IFERROR(INDEX('CLM &amp; IM Mapping'!$C$2:$C$270,MATCH(TRIM(B1092),'CLM &amp; IM Mapping'!$A$2:$A$270,0)),"Not Mapped"))</f>
        <v>Not Mapped</v>
      </c>
      <c r="E1092" s="41" t="n">
        <v>4576</v>
      </c>
      <c r="F1092" s="41" t="n">
        <v>4539</v>
      </c>
      <c r="G1092" s="41" t="n">
        <v>7</v>
      </c>
      <c r="H1092" s="41" t="n">
        <v>0</v>
      </c>
      <c r="I1092" s="41" t="n">
        <v>27</v>
      </c>
      <c r="J1092" s="41" t="n">
        <v>0</v>
      </c>
      <c r="K1092" s="41" t="n">
        <v>3</v>
      </c>
      <c r="L1092" s="41" t="n">
        <v>30</v>
      </c>
    </row>
    <row r="1093" customFormat="false" ht="15.75" hidden="false" customHeight="false" outlineLevel="0" collapsed="false">
      <c r="B1093" s="39" t="s">
        <v>1225</v>
      </c>
      <c r="C1093" s="40" t="str">
        <f aca="false">IF(B1093="","",IFERROR(INDEX('CLM &amp; IM Mapping'!$B$2:$B$270,MATCH(TRIM(B1093),'CLM &amp; IM Mapping'!$A$2:$A$270,0)),"Not Mapped"))</f>
        <v>Not Mapped</v>
      </c>
      <c r="D1093" s="40" t="str">
        <f aca="false">IF(B1093="","",IFERROR(INDEX('CLM &amp; IM Mapping'!$C$2:$C$270,MATCH(TRIM(B1093),'CLM &amp; IM Mapping'!$A$2:$A$270,0)),"Not Mapped"))</f>
        <v>Not Mapped</v>
      </c>
      <c r="E1093" s="41" t="n">
        <v>0</v>
      </c>
      <c r="F1093" s="41" t="n">
        <v>0</v>
      </c>
      <c r="G1093" s="41" t="n">
        <v>0</v>
      </c>
      <c r="H1093" s="41" t="n">
        <v>0</v>
      </c>
      <c r="I1093" s="41" t="n">
        <v>0</v>
      </c>
      <c r="J1093" s="41" t="n">
        <v>0</v>
      </c>
      <c r="K1093" s="41" t="n">
        <v>0</v>
      </c>
      <c r="L1093" s="41" t="n">
        <v>0</v>
      </c>
    </row>
    <row r="1094" customFormat="false" ht="15.75" hidden="false" customHeight="false" outlineLevel="0" collapsed="false">
      <c r="B1094" s="39" t="s">
        <v>1226</v>
      </c>
      <c r="C1094" s="40" t="str">
        <f aca="false">IF(B1094="","",IFERROR(INDEX('CLM &amp; IM Mapping'!$B$2:$B$270,MATCH(TRIM(B1094),'CLM &amp; IM Mapping'!$A$2:$A$270,0)),"Not Mapped"))</f>
        <v>Not Mapped</v>
      </c>
      <c r="D1094" s="40" t="str">
        <f aca="false">IF(B1094="","",IFERROR(INDEX('CLM &amp; IM Mapping'!$C$2:$C$270,MATCH(TRIM(B1094),'CLM &amp; IM Mapping'!$A$2:$A$270,0)),"Not Mapped"))</f>
        <v>Not Mapped</v>
      </c>
      <c r="E1094" s="41" t="n">
        <v>8516</v>
      </c>
      <c r="F1094" s="41" t="n">
        <v>7044</v>
      </c>
      <c r="G1094" s="41" t="n">
        <v>0</v>
      </c>
      <c r="H1094" s="41" t="n">
        <v>0</v>
      </c>
      <c r="I1094" s="41" t="n">
        <v>1146</v>
      </c>
      <c r="J1094" s="41" t="n">
        <v>0</v>
      </c>
      <c r="K1094" s="41" t="n">
        <v>326</v>
      </c>
      <c r="L1094" s="41" t="n">
        <v>1472</v>
      </c>
    </row>
    <row r="1095" customFormat="false" ht="15.75" hidden="false" customHeight="false" outlineLevel="0" collapsed="false">
      <c r="B1095" s="39" t="s">
        <v>1227</v>
      </c>
      <c r="C1095" s="40" t="str">
        <f aca="false">IF(B1095="","",IFERROR(INDEX('CLM &amp; IM Mapping'!$B$2:$B$270,MATCH(TRIM(B1095),'CLM &amp; IM Mapping'!$A$2:$A$270,0)),"Not Mapped"))</f>
        <v>Not Mapped</v>
      </c>
      <c r="D1095" s="40" t="str">
        <f aca="false">IF(B1095="","",IFERROR(INDEX('CLM &amp; IM Mapping'!$C$2:$C$270,MATCH(TRIM(B1095),'CLM &amp; IM Mapping'!$A$2:$A$270,0)),"Not Mapped"))</f>
        <v>Not Mapped</v>
      </c>
      <c r="E1095" s="41" t="n">
        <v>1047</v>
      </c>
      <c r="F1095" s="41" t="n">
        <v>836</v>
      </c>
      <c r="G1095" s="41" t="n">
        <v>0</v>
      </c>
      <c r="H1095" s="41" t="n">
        <v>211</v>
      </c>
      <c r="I1095" s="41" t="n">
        <v>0</v>
      </c>
      <c r="J1095" s="41" t="n">
        <v>0</v>
      </c>
      <c r="K1095" s="41" t="n">
        <v>0</v>
      </c>
      <c r="L1095" s="41" t="n">
        <v>211</v>
      </c>
    </row>
    <row r="1096" customFormat="false" ht="15.75" hidden="false" customHeight="false" outlineLevel="0" collapsed="false">
      <c r="B1096" s="39" t="s">
        <v>1228</v>
      </c>
      <c r="C1096" s="40" t="str">
        <f aca="false">IF(B1096="","",IFERROR(INDEX('CLM &amp; IM Mapping'!$B$2:$B$270,MATCH(TRIM(B1096),'CLM &amp; IM Mapping'!$A$2:$A$270,0)),"Not Mapped"))</f>
        <v>Not Mapped</v>
      </c>
      <c r="D1096" s="40" t="str">
        <f aca="false">IF(B1096="","",IFERROR(INDEX('CLM &amp; IM Mapping'!$C$2:$C$270,MATCH(TRIM(B1096),'CLM &amp; IM Mapping'!$A$2:$A$270,0)),"Not Mapped"))</f>
        <v>Not Mapped</v>
      </c>
      <c r="E1096" s="41" t="n">
        <v>1759</v>
      </c>
      <c r="F1096" s="41" t="n">
        <v>0</v>
      </c>
      <c r="G1096" s="41" t="n">
        <v>1759</v>
      </c>
      <c r="H1096" s="41" t="n">
        <v>0</v>
      </c>
      <c r="I1096" s="41" t="n">
        <v>0</v>
      </c>
      <c r="J1096" s="41" t="n">
        <v>0</v>
      </c>
      <c r="K1096" s="41" t="n">
        <v>0</v>
      </c>
      <c r="L1096" s="41" t="n">
        <v>0</v>
      </c>
    </row>
    <row r="1097" customFormat="false" ht="15.75" hidden="false" customHeight="false" outlineLevel="0" collapsed="false">
      <c r="B1097" s="39" t="s">
        <v>1229</v>
      </c>
      <c r="C1097" s="40" t="str">
        <f aca="false">IF(B1097="","",IFERROR(INDEX('CLM &amp; IM Mapping'!$B$2:$B$270,MATCH(TRIM(B1097),'CLM &amp; IM Mapping'!$A$2:$A$270,0)),"Not Mapped"))</f>
        <v>Not Mapped</v>
      </c>
      <c r="D1097" s="40" t="str">
        <f aca="false">IF(B1097="","",IFERROR(INDEX('CLM &amp; IM Mapping'!$C$2:$C$270,MATCH(TRIM(B1097),'CLM &amp; IM Mapping'!$A$2:$A$270,0)),"Not Mapped"))</f>
        <v>Not Mapped</v>
      </c>
      <c r="E1097" s="41" t="n">
        <v>621</v>
      </c>
      <c r="F1097" s="41" t="n">
        <v>0</v>
      </c>
      <c r="G1097" s="41" t="n">
        <v>621</v>
      </c>
      <c r="H1097" s="41" t="n">
        <v>0</v>
      </c>
      <c r="I1097" s="41" t="n">
        <v>0</v>
      </c>
      <c r="J1097" s="41" t="n">
        <v>0</v>
      </c>
      <c r="K1097" s="41" t="n">
        <v>0</v>
      </c>
      <c r="L1097" s="41" t="n">
        <v>0</v>
      </c>
    </row>
    <row r="1098" customFormat="false" ht="15.75" hidden="false" customHeight="false" outlineLevel="0" collapsed="false">
      <c r="B1098" s="39" t="s">
        <v>1230</v>
      </c>
      <c r="C1098" s="40" t="str">
        <f aca="false">IF(B1098="","",IFERROR(INDEX('CLM &amp; IM Mapping'!$B$2:$B$270,MATCH(TRIM(B1098),'CLM &amp; IM Mapping'!$A$2:$A$270,0)),"Not Mapped"))</f>
        <v>Not Mapped</v>
      </c>
      <c r="D1098" s="40" t="str">
        <f aca="false">IF(B1098="","",IFERROR(INDEX('CLM &amp; IM Mapping'!$C$2:$C$270,MATCH(TRIM(B1098),'CLM &amp; IM Mapping'!$A$2:$A$270,0)),"Not Mapped"))</f>
        <v>Not Mapped</v>
      </c>
      <c r="E1098" s="41" t="n">
        <v>5271</v>
      </c>
      <c r="F1098" s="41" t="n">
        <v>715</v>
      </c>
      <c r="G1098" s="41" t="n">
        <v>3197</v>
      </c>
      <c r="H1098" s="41" t="n">
        <v>1359</v>
      </c>
      <c r="I1098" s="41" t="n">
        <v>0</v>
      </c>
      <c r="J1098" s="41" t="n">
        <v>0</v>
      </c>
      <c r="K1098" s="41" t="n">
        <v>0</v>
      </c>
      <c r="L1098" s="41" t="n">
        <v>1359</v>
      </c>
    </row>
    <row r="1099" customFormat="false" ht="15.75" hidden="false" customHeight="false" outlineLevel="0" collapsed="false">
      <c r="B1099" s="39" t="s">
        <v>1231</v>
      </c>
      <c r="C1099" s="40" t="str">
        <f aca="false">IF(B1099="","",IFERROR(INDEX('CLM &amp; IM Mapping'!$B$2:$B$270,MATCH(TRIM(B1099),'CLM &amp; IM Mapping'!$A$2:$A$270,0)),"Not Mapped"))</f>
        <v>Not Mapped</v>
      </c>
      <c r="D1099" s="40" t="str">
        <f aca="false">IF(B1099="","",IFERROR(INDEX('CLM &amp; IM Mapping'!$C$2:$C$270,MATCH(TRIM(B1099),'CLM &amp; IM Mapping'!$A$2:$A$270,0)),"Not Mapped"))</f>
        <v>Not Mapped</v>
      </c>
      <c r="E1099" s="41" t="n">
        <v>0</v>
      </c>
      <c r="F1099" s="41" t="n">
        <v>0</v>
      </c>
      <c r="G1099" s="41" t="n">
        <v>0</v>
      </c>
      <c r="H1099" s="41" t="n">
        <v>0</v>
      </c>
      <c r="I1099" s="41" t="n">
        <v>0</v>
      </c>
      <c r="J1099" s="41" t="n">
        <v>0</v>
      </c>
      <c r="K1099" s="41" t="n">
        <v>0</v>
      </c>
      <c r="L1099" s="41" t="n">
        <v>0</v>
      </c>
    </row>
    <row r="1100" customFormat="false" ht="15.75" hidden="false" customHeight="false" outlineLevel="0" collapsed="false">
      <c r="B1100" s="39" t="s">
        <v>1232</v>
      </c>
      <c r="C1100" s="40" t="str">
        <f aca="false">IF(B1100="","",IFERROR(INDEX('CLM &amp; IM Mapping'!$B$2:$B$270,MATCH(TRIM(B1100),'CLM &amp; IM Mapping'!$A$2:$A$270,0)),"Not Mapped"))</f>
        <v>Not Mapped</v>
      </c>
      <c r="D1100" s="40" t="str">
        <f aca="false">IF(B1100="","",IFERROR(INDEX('CLM &amp; IM Mapping'!$C$2:$C$270,MATCH(TRIM(B1100),'CLM &amp; IM Mapping'!$A$2:$A$270,0)),"Not Mapped"))</f>
        <v>Not Mapped</v>
      </c>
      <c r="E1100" s="41" t="n">
        <v>973</v>
      </c>
      <c r="F1100" s="41" t="n">
        <v>0</v>
      </c>
      <c r="G1100" s="41" t="n">
        <v>159</v>
      </c>
      <c r="H1100" s="41" t="n">
        <v>814</v>
      </c>
      <c r="I1100" s="41" t="n">
        <v>0</v>
      </c>
      <c r="J1100" s="41" t="n">
        <v>0</v>
      </c>
      <c r="K1100" s="41" t="n">
        <v>0</v>
      </c>
      <c r="L1100" s="41" t="n">
        <v>814</v>
      </c>
    </row>
    <row r="1101" customFormat="false" ht="15.75" hidden="false" customHeight="false" outlineLevel="0" collapsed="false">
      <c r="B1101" s="39" t="s">
        <v>1233</v>
      </c>
      <c r="C1101" s="40" t="str">
        <f aca="false">IF(B1101="","",IFERROR(INDEX('CLM &amp; IM Mapping'!$B$2:$B$270,MATCH(TRIM(B1101),'CLM &amp; IM Mapping'!$A$2:$A$270,0)),"Not Mapped"))</f>
        <v>Not Mapped</v>
      </c>
      <c r="D1101" s="40" t="str">
        <f aca="false">IF(B1101="","",IFERROR(INDEX('CLM &amp; IM Mapping'!$C$2:$C$270,MATCH(TRIM(B1101),'CLM &amp; IM Mapping'!$A$2:$A$270,0)),"Not Mapped"))</f>
        <v>Not Mapped</v>
      </c>
      <c r="E1101" s="41" t="n">
        <v>51</v>
      </c>
      <c r="F1101" s="41" t="n">
        <v>0</v>
      </c>
      <c r="G1101" s="41" t="n">
        <v>0</v>
      </c>
      <c r="H1101" s="41" t="n">
        <v>4</v>
      </c>
      <c r="I1101" s="41" t="n">
        <v>46</v>
      </c>
      <c r="J1101" s="41" t="n">
        <v>0</v>
      </c>
      <c r="K1101" s="41" t="n">
        <v>1</v>
      </c>
      <c r="L1101" s="41" t="n">
        <v>51</v>
      </c>
    </row>
    <row r="1102" customFormat="false" ht="15.75" hidden="false" customHeight="false" outlineLevel="0" collapsed="false">
      <c r="B1102" s="39" t="s">
        <v>1234</v>
      </c>
      <c r="C1102" s="40" t="str">
        <f aca="false">IF(B1102="","",IFERROR(INDEX('CLM &amp; IM Mapping'!$B$2:$B$270,MATCH(TRIM(B1102),'CLM &amp; IM Mapping'!$A$2:$A$270,0)),"Not Mapped"))</f>
        <v>Not Mapped</v>
      </c>
      <c r="D1102" s="40" t="str">
        <f aca="false">IF(B1102="","",IFERROR(INDEX('CLM &amp; IM Mapping'!$C$2:$C$270,MATCH(TRIM(B1102),'CLM &amp; IM Mapping'!$A$2:$A$270,0)),"Not Mapped"))</f>
        <v>Not Mapped</v>
      </c>
      <c r="E1102" s="41" t="n">
        <v>3225</v>
      </c>
      <c r="F1102" s="41" t="n">
        <v>327</v>
      </c>
      <c r="G1102" s="41" t="n">
        <v>1361</v>
      </c>
      <c r="H1102" s="41" t="n">
        <v>967</v>
      </c>
      <c r="I1102" s="41" t="n">
        <v>129</v>
      </c>
      <c r="J1102" s="41" t="n">
        <v>48</v>
      </c>
      <c r="K1102" s="41" t="n">
        <v>393</v>
      </c>
      <c r="L1102" s="41" t="n">
        <v>1537</v>
      </c>
    </row>
    <row r="1103" customFormat="false" ht="15.75" hidden="false" customHeight="false" outlineLevel="0" collapsed="false">
      <c r="B1103" s="54" t="s">
        <v>1235</v>
      </c>
      <c r="C1103" s="40" t="str">
        <f aca="false">IF(B1103="","",IFERROR(INDEX('CLM &amp; IM Mapping'!$B$2:$B$270,MATCH(TRIM(B1103),'CLM &amp; IM Mapping'!$A$2:$A$270,0)),"Not Mapped"))</f>
        <v>Not Mapped</v>
      </c>
      <c r="D1103" s="40" t="str">
        <f aca="false">IF(B1103="","",IFERROR(INDEX('CLM &amp; IM Mapping'!$C$2:$C$270,MATCH(TRIM(B1103),'CLM &amp; IM Mapping'!$A$2:$A$270,0)),"Not Mapped"))</f>
        <v>Not Mapped</v>
      </c>
      <c r="E1103" s="41" t="n">
        <v>3516</v>
      </c>
      <c r="F1103" s="41" t="n">
        <v>7</v>
      </c>
      <c r="G1103" s="41" t="n">
        <v>3509</v>
      </c>
      <c r="H1103" s="41" t="n">
        <v>0</v>
      </c>
      <c r="I1103" s="41" t="n">
        <v>0</v>
      </c>
      <c r="J1103" s="41" t="n">
        <v>0</v>
      </c>
      <c r="K1103" s="41" t="n">
        <v>0</v>
      </c>
      <c r="L1103" s="41" t="n">
        <v>0</v>
      </c>
    </row>
    <row r="1104" customFormat="false" ht="15.75" hidden="false" customHeight="false" outlineLevel="0" collapsed="false">
      <c r="B1104" s="39" t="s">
        <v>1236</v>
      </c>
      <c r="C1104" s="40" t="str">
        <f aca="false">IF(B1104="","",IFERROR(INDEX('CLM &amp; IM Mapping'!$B$2:$B$270,MATCH(TRIM(B1104),'CLM &amp; IM Mapping'!$A$2:$A$270,0)),"Not Mapped"))</f>
        <v>Not Mapped</v>
      </c>
      <c r="D1104" s="40" t="str">
        <f aca="false">IF(B1104="","",IFERROR(INDEX('CLM &amp; IM Mapping'!$C$2:$C$270,MATCH(TRIM(B1104),'CLM &amp; IM Mapping'!$A$2:$A$270,0)),"Not Mapped"))</f>
        <v>Not Mapped</v>
      </c>
      <c r="E1104" s="41" t="n">
        <v>0</v>
      </c>
      <c r="F1104" s="41" t="n">
        <v>0</v>
      </c>
      <c r="G1104" s="41" t="n">
        <v>0</v>
      </c>
      <c r="H1104" s="41" t="n">
        <v>0</v>
      </c>
      <c r="I1104" s="41" t="n">
        <v>0</v>
      </c>
      <c r="J1104" s="41" t="n">
        <v>0</v>
      </c>
      <c r="K1104" s="41" t="n">
        <v>0</v>
      </c>
      <c r="L1104" s="41" t="n">
        <v>0</v>
      </c>
    </row>
    <row r="1105" customFormat="false" ht="15.75" hidden="false" customHeight="false" outlineLevel="0" collapsed="false">
      <c r="B1105" s="39" t="s">
        <v>1237</v>
      </c>
      <c r="C1105" s="40" t="str">
        <f aca="false">IF(B1105="","",IFERROR(INDEX('CLM &amp; IM Mapping'!$B$2:$B$270,MATCH(TRIM(B1105),'CLM &amp; IM Mapping'!$A$2:$A$270,0)),"Not Mapped"))</f>
        <v>Not Mapped</v>
      </c>
      <c r="D1105" s="40" t="str">
        <f aca="false">IF(B1105="","",IFERROR(INDEX('CLM &amp; IM Mapping'!$C$2:$C$270,MATCH(TRIM(B1105),'CLM &amp; IM Mapping'!$A$2:$A$270,0)),"Not Mapped"))</f>
        <v>Not Mapped</v>
      </c>
      <c r="E1105" s="41" t="n">
        <v>414</v>
      </c>
      <c r="F1105" s="41" t="n">
        <v>0</v>
      </c>
      <c r="G1105" s="41" t="n">
        <v>414</v>
      </c>
      <c r="H1105" s="41" t="n">
        <v>0</v>
      </c>
      <c r="I1105" s="41" t="n">
        <v>0</v>
      </c>
      <c r="J1105" s="41" t="n">
        <v>0</v>
      </c>
      <c r="K1105" s="41" t="n">
        <v>0</v>
      </c>
      <c r="L1105" s="41" t="n">
        <v>0</v>
      </c>
    </row>
    <row r="1106" customFormat="false" ht="15.75" hidden="false" customHeight="false" outlineLevel="0" collapsed="false">
      <c r="B1106" s="55" t="s">
        <v>1238</v>
      </c>
      <c r="C1106" s="40" t="str">
        <f aca="false">IF(B1106="","",IFERROR(INDEX('CLM &amp; IM Mapping'!$B$2:$B$270,MATCH(TRIM(B1106),'CLM &amp; IM Mapping'!$A$2:$A$270,0)),"Not Mapped"))</f>
        <v>Not Mapped</v>
      </c>
      <c r="D1106" s="40" t="str">
        <f aca="false">IF(B1106="","",IFERROR(INDEX('CLM &amp; IM Mapping'!$C$2:$C$270,MATCH(TRIM(B1106),'CLM &amp; IM Mapping'!$A$2:$A$270,0)),"Not Mapped"))</f>
        <v>Not Mapped</v>
      </c>
      <c r="E1106" s="41" t="n">
        <v>2501</v>
      </c>
      <c r="F1106" s="41" t="n">
        <v>2501</v>
      </c>
      <c r="G1106" s="41" t="n">
        <v>0</v>
      </c>
      <c r="H1106" s="41" t="n">
        <v>0</v>
      </c>
      <c r="I1106" s="41" t="n">
        <v>0</v>
      </c>
      <c r="J1106" s="41" t="n">
        <v>0</v>
      </c>
      <c r="K1106" s="41" t="n">
        <v>0</v>
      </c>
      <c r="L1106" s="41" t="n">
        <v>0</v>
      </c>
    </row>
    <row r="1107" customFormat="false" ht="15.75" hidden="false" customHeight="false" outlineLevel="0" collapsed="false">
      <c r="B1107" s="39" t="s">
        <v>1239</v>
      </c>
      <c r="C1107" s="40" t="str">
        <f aca="false">IF(B1107="","",IFERROR(INDEX('CLM &amp; IM Mapping'!$B$2:$B$270,MATCH(TRIM(B1107),'CLM &amp; IM Mapping'!$A$2:$A$270,0)),"Not Mapped"))</f>
        <v>Not Mapped</v>
      </c>
      <c r="D1107" s="40" t="str">
        <f aca="false">IF(B1107="","",IFERROR(INDEX('CLM &amp; IM Mapping'!$C$2:$C$270,MATCH(TRIM(B1107),'CLM &amp; IM Mapping'!$A$2:$A$270,0)),"Not Mapped"))</f>
        <v>Not Mapped</v>
      </c>
      <c r="E1107" s="41" t="n">
        <v>0</v>
      </c>
      <c r="F1107" s="41" t="n">
        <v>0</v>
      </c>
      <c r="G1107" s="41" t="n">
        <v>0</v>
      </c>
      <c r="H1107" s="41" t="n">
        <v>0</v>
      </c>
      <c r="I1107" s="41" t="n">
        <v>0</v>
      </c>
      <c r="J1107" s="41" t="n">
        <v>0</v>
      </c>
      <c r="K1107" s="41" t="n">
        <v>0</v>
      </c>
      <c r="L1107" s="41" t="n">
        <v>0</v>
      </c>
    </row>
    <row r="1108" customFormat="false" ht="15.75" hidden="false" customHeight="false" outlineLevel="0" collapsed="false">
      <c r="B1108" s="39" t="s">
        <v>1240</v>
      </c>
      <c r="C1108" s="40" t="str">
        <f aca="false">IF(B1108="","",IFERROR(INDEX('CLM &amp; IM Mapping'!$B$2:$B$270,MATCH(TRIM(B1108),'CLM &amp; IM Mapping'!$A$2:$A$270,0)),"Not Mapped"))</f>
        <v>Not Mapped</v>
      </c>
      <c r="D1108" s="40" t="str">
        <f aca="false">IF(B1108="","",IFERROR(INDEX('CLM &amp; IM Mapping'!$C$2:$C$270,MATCH(TRIM(B1108),'CLM &amp; IM Mapping'!$A$2:$A$270,0)),"Not Mapped"))</f>
        <v>Not Mapped</v>
      </c>
      <c r="E1108" s="41" t="n">
        <v>8933</v>
      </c>
      <c r="F1108" s="41" t="n">
        <v>7447</v>
      </c>
      <c r="G1108" s="41" t="n">
        <v>0</v>
      </c>
      <c r="H1108" s="41" t="n">
        <v>584</v>
      </c>
      <c r="I1108" s="41" t="n">
        <v>330</v>
      </c>
      <c r="J1108" s="41" t="n">
        <v>1</v>
      </c>
      <c r="K1108" s="41" t="n">
        <v>571</v>
      </c>
      <c r="L1108" s="41" t="n">
        <v>1486</v>
      </c>
    </row>
    <row r="1109" customFormat="false" ht="15.75" hidden="false" customHeight="false" outlineLevel="0" collapsed="false">
      <c r="B1109" s="39" t="s">
        <v>1241</v>
      </c>
      <c r="C1109" s="40" t="str">
        <f aca="false">IF(B1109="","",IFERROR(INDEX('CLM &amp; IM Mapping'!$B$2:$B$270,MATCH(TRIM(B1109),'CLM &amp; IM Mapping'!$A$2:$A$270,0)),"Not Mapped"))</f>
        <v>Not Mapped</v>
      </c>
      <c r="D1109" s="40" t="str">
        <f aca="false">IF(B1109="","",IFERROR(INDEX('CLM &amp; IM Mapping'!$C$2:$C$270,MATCH(TRIM(B1109),'CLM &amp; IM Mapping'!$A$2:$A$270,0)),"Not Mapped"))</f>
        <v>Not Mapped</v>
      </c>
      <c r="E1109" s="41" t="n">
        <v>0</v>
      </c>
      <c r="F1109" s="41" t="n">
        <v>0</v>
      </c>
      <c r="G1109" s="41" t="n">
        <v>0</v>
      </c>
      <c r="H1109" s="41" t="n">
        <v>0</v>
      </c>
      <c r="I1109" s="41" t="n">
        <v>0</v>
      </c>
      <c r="J1109" s="41" t="n">
        <v>0</v>
      </c>
      <c r="K1109" s="41" t="n">
        <v>0</v>
      </c>
      <c r="L1109" s="41" t="n">
        <v>0</v>
      </c>
    </row>
    <row r="1110" customFormat="false" ht="15.75" hidden="false" customHeight="false" outlineLevel="0" collapsed="false">
      <c r="B1110" s="39" t="s">
        <v>1242</v>
      </c>
      <c r="C1110" s="40" t="str">
        <f aca="false">IF(B1110="","",IFERROR(INDEX('CLM &amp; IM Mapping'!$B$2:$B$270,MATCH(TRIM(B1110),'CLM &amp; IM Mapping'!$A$2:$A$270,0)),"Not Mapped"))</f>
        <v>Not Mapped</v>
      </c>
      <c r="D1110" s="40" t="str">
        <f aca="false">IF(B1110="","",IFERROR(INDEX('CLM &amp; IM Mapping'!$C$2:$C$270,MATCH(TRIM(B1110),'CLM &amp; IM Mapping'!$A$2:$A$270,0)),"Not Mapped"))</f>
        <v>Not Mapped</v>
      </c>
      <c r="E1110" s="41" t="n">
        <v>2571</v>
      </c>
      <c r="F1110" s="41" t="n">
        <v>1802</v>
      </c>
      <c r="G1110" s="41" t="n">
        <v>365</v>
      </c>
      <c r="H1110" s="41" t="n">
        <v>330</v>
      </c>
      <c r="I1110" s="41" t="n">
        <v>40</v>
      </c>
      <c r="J1110" s="41" t="n">
        <v>0</v>
      </c>
      <c r="K1110" s="41" t="n">
        <v>34</v>
      </c>
      <c r="L1110" s="41" t="n">
        <v>404</v>
      </c>
    </row>
    <row r="1111" customFormat="false" ht="15.75" hidden="false" customHeight="false" outlineLevel="0" collapsed="false">
      <c r="B1111" s="39" t="s">
        <v>1243</v>
      </c>
      <c r="C1111" s="40" t="str">
        <f aca="false">IF(B1111="","",IFERROR(INDEX('CLM &amp; IM Mapping'!$B$2:$B$270,MATCH(TRIM(B1111),'CLM &amp; IM Mapping'!$A$2:$A$270,0)),"Not Mapped"))</f>
        <v>Not Mapped</v>
      </c>
      <c r="D1111" s="40" t="str">
        <f aca="false">IF(B1111="","",IFERROR(INDEX('CLM &amp; IM Mapping'!$C$2:$C$270,MATCH(TRIM(B1111),'CLM &amp; IM Mapping'!$A$2:$A$270,0)),"Not Mapped"))</f>
        <v>Not Mapped</v>
      </c>
      <c r="E1111" s="41" t="n">
        <v>417</v>
      </c>
      <c r="F1111" s="41" t="n">
        <v>0</v>
      </c>
      <c r="G1111" s="41" t="n">
        <v>0</v>
      </c>
      <c r="H1111" s="41" t="n">
        <v>417</v>
      </c>
      <c r="I1111" s="41" t="n">
        <v>0</v>
      </c>
      <c r="J1111" s="41" t="n">
        <v>0</v>
      </c>
      <c r="K1111" s="41" t="n">
        <v>0</v>
      </c>
      <c r="L1111" s="41" t="n">
        <v>417</v>
      </c>
    </row>
    <row r="1112" customFormat="false" ht="15.75" hidden="false" customHeight="false" outlineLevel="0" collapsed="false">
      <c r="B1112" s="39" t="s">
        <v>1244</v>
      </c>
      <c r="C1112" s="40" t="str">
        <f aca="false">IF(B1112="","",IFERROR(INDEX('CLM &amp; IM Mapping'!$B$2:$B$270,MATCH(TRIM(B1112),'CLM &amp; IM Mapping'!$A$2:$A$270,0)),"Not Mapped"))</f>
        <v>Not Mapped</v>
      </c>
      <c r="D1112" s="40" t="str">
        <f aca="false">IF(B1112="","",IFERROR(INDEX('CLM &amp; IM Mapping'!$C$2:$C$270,MATCH(TRIM(B1112),'CLM &amp; IM Mapping'!$A$2:$A$270,0)),"Not Mapped"))</f>
        <v>Not Mapped</v>
      </c>
      <c r="E1112" s="41" t="n">
        <v>4867</v>
      </c>
      <c r="F1112" s="41" t="n">
        <v>1201</v>
      </c>
      <c r="G1112" s="41" t="n">
        <v>3661</v>
      </c>
      <c r="H1112" s="41" t="n">
        <v>0</v>
      </c>
      <c r="I1112" s="41" t="n">
        <v>0</v>
      </c>
      <c r="J1112" s="41" t="n">
        <v>0</v>
      </c>
      <c r="K1112" s="41" t="n">
        <v>5</v>
      </c>
      <c r="L1112" s="41" t="n">
        <v>5</v>
      </c>
    </row>
    <row r="1113" customFormat="false" ht="15.75" hidden="false" customHeight="false" outlineLevel="0" collapsed="false">
      <c r="B1113" s="39" t="s">
        <v>1245</v>
      </c>
      <c r="C1113" s="40" t="str">
        <f aca="false">IF(B1113="","",IFERROR(INDEX('CLM &amp; IM Mapping'!$B$2:$B$270,MATCH(TRIM(B1113),'CLM &amp; IM Mapping'!$A$2:$A$270,0)),"Not Mapped"))</f>
        <v>Not Mapped</v>
      </c>
      <c r="D1113" s="40" t="str">
        <f aca="false">IF(B1113="","",IFERROR(INDEX('CLM &amp; IM Mapping'!$C$2:$C$270,MATCH(TRIM(B1113),'CLM &amp; IM Mapping'!$A$2:$A$270,0)),"Not Mapped"))</f>
        <v>Not Mapped</v>
      </c>
      <c r="E1113" s="41" t="n">
        <v>1674</v>
      </c>
      <c r="F1113" s="41" t="n">
        <v>1674</v>
      </c>
      <c r="G1113" s="41" t="n">
        <v>0</v>
      </c>
      <c r="H1113" s="41" t="n">
        <v>0</v>
      </c>
      <c r="I1113" s="41" t="n">
        <v>0</v>
      </c>
      <c r="J1113" s="41" t="n">
        <v>0</v>
      </c>
      <c r="K1113" s="41" t="n">
        <v>0</v>
      </c>
      <c r="L1113" s="41" t="n">
        <v>0</v>
      </c>
    </row>
    <row r="1114" customFormat="false" ht="15.75" hidden="false" customHeight="false" outlineLevel="0" collapsed="false">
      <c r="B1114" s="39" t="s">
        <v>1246</v>
      </c>
      <c r="C1114" s="40" t="str">
        <f aca="false">IF(B1114="","",IFERROR(INDEX('CLM &amp; IM Mapping'!$B$2:$B$270,MATCH(TRIM(B1114),'CLM &amp; IM Mapping'!$A$2:$A$270,0)),"Not Mapped"))</f>
        <v>Not Mapped</v>
      </c>
      <c r="D1114" s="40" t="str">
        <f aca="false">IF(B1114="","",IFERROR(INDEX('CLM &amp; IM Mapping'!$C$2:$C$270,MATCH(TRIM(B1114),'CLM &amp; IM Mapping'!$A$2:$A$270,0)),"Not Mapped"))</f>
        <v>Not Mapped</v>
      </c>
      <c r="E1114" s="41" t="n">
        <v>5648</v>
      </c>
      <c r="F1114" s="41" t="n">
        <v>5450</v>
      </c>
      <c r="G1114" s="41" t="n">
        <v>198</v>
      </c>
      <c r="H1114" s="41" t="n">
        <v>0</v>
      </c>
      <c r="I1114" s="41" t="n">
        <v>0</v>
      </c>
      <c r="J1114" s="41" t="n">
        <v>0</v>
      </c>
      <c r="K1114" s="41" t="n">
        <v>0</v>
      </c>
      <c r="L1114" s="41" t="n">
        <v>0</v>
      </c>
    </row>
    <row r="1115" customFormat="false" ht="15.75" hidden="false" customHeight="false" outlineLevel="0" collapsed="false">
      <c r="B1115" s="39" t="s">
        <v>1247</v>
      </c>
      <c r="C1115" s="40" t="str">
        <f aca="false">IF(B1115="","",IFERROR(INDEX('CLM &amp; IM Mapping'!$B$2:$B$270,MATCH(TRIM(B1115),'CLM &amp; IM Mapping'!$A$2:$A$270,0)),"Not Mapped"))</f>
        <v>Not Mapped</v>
      </c>
      <c r="D1115" s="40" t="str">
        <f aca="false">IF(B1115="","",IFERROR(INDEX('CLM &amp; IM Mapping'!$C$2:$C$270,MATCH(TRIM(B1115),'CLM &amp; IM Mapping'!$A$2:$A$270,0)),"Not Mapped"))</f>
        <v>Not Mapped</v>
      </c>
      <c r="E1115" s="41" t="n">
        <v>764</v>
      </c>
      <c r="F1115" s="41" t="n">
        <v>253</v>
      </c>
      <c r="G1115" s="41" t="n">
        <v>511</v>
      </c>
      <c r="H1115" s="41" t="n">
        <v>0</v>
      </c>
      <c r="I1115" s="41" t="n">
        <v>0</v>
      </c>
      <c r="J1115" s="41" t="n">
        <v>0</v>
      </c>
      <c r="K1115" s="41" t="n">
        <v>0</v>
      </c>
      <c r="L1115" s="41" t="n">
        <v>0</v>
      </c>
    </row>
    <row r="1116" customFormat="false" ht="15.75" hidden="false" customHeight="false" outlineLevel="0" collapsed="false">
      <c r="B1116" s="39" t="s">
        <v>1248</v>
      </c>
      <c r="C1116" s="40" t="str">
        <f aca="false">IF(B1116="","",IFERROR(INDEX('CLM &amp; IM Mapping'!$B$2:$B$270,MATCH(TRIM(B1116),'CLM &amp; IM Mapping'!$A$2:$A$270,0)),"Not Mapped"))</f>
        <v>Not Mapped</v>
      </c>
      <c r="D1116" s="40" t="str">
        <f aca="false">IF(B1116="","",IFERROR(INDEX('CLM &amp; IM Mapping'!$C$2:$C$270,MATCH(TRIM(B1116),'CLM &amp; IM Mapping'!$A$2:$A$270,0)),"Not Mapped"))</f>
        <v>Not Mapped</v>
      </c>
      <c r="E1116" s="41" t="n">
        <v>0</v>
      </c>
      <c r="F1116" s="41" t="n">
        <v>0</v>
      </c>
      <c r="G1116" s="41" t="n">
        <v>0</v>
      </c>
      <c r="H1116" s="41" t="n">
        <v>0</v>
      </c>
      <c r="I1116" s="41" t="n">
        <v>0</v>
      </c>
      <c r="J1116" s="41" t="n">
        <v>0</v>
      </c>
      <c r="K1116" s="41" t="n">
        <v>0</v>
      </c>
      <c r="L1116" s="41" t="n">
        <v>0</v>
      </c>
    </row>
    <row r="1117" customFormat="false" ht="15.75" hidden="false" customHeight="false" outlineLevel="0" collapsed="false">
      <c r="B1117" s="39" t="s">
        <v>1249</v>
      </c>
      <c r="C1117" s="40" t="str">
        <f aca="false">IF(B1117="","",IFERROR(INDEX('CLM &amp; IM Mapping'!$B$2:$B$270,MATCH(TRIM(B1117),'CLM &amp; IM Mapping'!$A$2:$A$270,0)),"Not Mapped"))</f>
        <v>Not Mapped</v>
      </c>
      <c r="D1117" s="40" t="str">
        <f aca="false">IF(B1117="","",IFERROR(INDEX('CLM &amp; IM Mapping'!$C$2:$C$270,MATCH(TRIM(B1117),'CLM &amp; IM Mapping'!$A$2:$A$270,0)),"Not Mapped"))</f>
        <v>Not Mapped</v>
      </c>
      <c r="E1117" s="41" t="n">
        <v>1225</v>
      </c>
      <c r="F1117" s="41" t="n">
        <v>0</v>
      </c>
      <c r="G1117" s="41" t="n">
        <v>0</v>
      </c>
      <c r="H1117" s="41" t="n">
        <v>1225</v>
      </c>
      <c r="I1117" s="41" t="n">
        <v>0</v>
      </c>
      <c r="J1117" s="41" t="n">
        <v>0</v>
      </c>
      <c r="K1117" s="41" t="n">
        <v>0</v>
      </c>
      <c r="L1117" s="41" t="n">
        <v>1225</v>
      </c>
    </row>
    <row r="1118" customFormat="false" ht="15.75" hidden="false" customHeight="false" outlineLevel="0" collapsed="false">
      <c r="B1118" s="39" t="s">
        <v>1250</v>
      </c>
      <c r="C1118" s="40" t="str">
        <f aca="false">IF(B1118="","",IFERROR(INDEX('CLM &amp; IM Mapping'!$B$2:$B$270,MATCH(TRIM(B1118),'CLM &amp; IM Mapping'!$A$2:$A$270,0)),"Not Mapped"))</f>
        <v>Not Mapped</v>
      </c>
      <c r="D1118" s="40" t="str">
        <f aca="false">IF(B1118="","",IFERROR(INDEX('CLM &amp; IM Mapping'!$C$2:$C$270,MATCH(TRIM(B1118),'CLM &amp; IM Mapping'!$A$2:$A$270,0)),"Not Mapped"))</f>
        <v>Not Mapped</v>
      </c>
      <c r="E1118" s="41" t="n">
        <v>77</v>
      </c>
      <c r="F1118" s="41" t="n">
        <v>64</v>
      </c>
      <c r="G1118" s="41" t="n">
        <v>0</v>
      </c>
      <c r="H1118" s="41" t="n">
        <v>0</v>
      </c>
      <c r="I1118" s="41" t="n">
        <v>13</v>
      </c>
      <c r="J1118" s="41" t="n">
        <v>0</v>
      </c>
      <c r="K1118" s="41" t="n">
        <v>0</v>
      </c>
      <c r="L1118" s="41" t="n">
        <v>13</v>
      </c>
    </row>
    <row r="1119" customFormat="false" ht="15.75" hidden="false" customHeight="false" outlineLevel="0" collapsed="false">
      <c r="B1119" s="39" t="s">
        <v>1251</v>
      </c>
      <c r="C1119" s="40" t="str">
        <f aca="false">IF(B1119="","",IFERROR(INDEX('CLM &amp; IM Mapping'!$B$2:$B$270,MATCH(TRIM(B1119),'CLM &amp; IM Mapping'!$A$2:$A$270,0)),"Not Mapped"))</f>
        <v>Not Mapped</v>
      </c>
      <c r="D1119" s="40" t="str">
        <f aca="false">IF(B1119="","",IFERROR(INDEX('CLM &amp; IM Mapping'!$C$2:$C$270,MATCH(TRIM(B1119),'CLM &amp; IM Mapping'!$A$2:$A$270,0)),"Not Mapped"))</f>
        <v>Not Mapped</v>
      </c>
      <c r="E1119" s="41" t="n">
        <v>2009</v>
      </c>
      <c r="F1119" s="41" t="n">
        <v>2009</v>
      </c>
      <c r="G1119" s="41" t="n">
        <v>0</v>
      </c>
      <c r="H1119" s="41" t="n">
        <v>0</v>
      </c>
      <c r="I1119" s="41" t="n">
        <v>0</v>
      </c>
      <c r="J1119" s="41" t="n">
        <v>0</v>
      </c>
      <c r="K1119" s="41" t="n">
        <v>0</v>
      </c>
      <c r="L1119" s="41" t="n">
        <v>0</v>
      </c>
    </row>
    <row r="1120" customFormat="false" ht="15.75" hidden="false" customHeight="false" outlineLevel="0" collapsed="false">
      <c r="B1120" s="39" t="s">
        <v>1252</v>
      </c>
      <c r="C1120" s="40" t="str">
        <f aca="false">IF(B1120="","",IFERROR(INDEX('CLM &amp; IM Mapping'!$B$2:$B$270,MATCH(TRIM(B1120),'CLM &amp; IM Mapping'!$A$2:$A$270,0)),"Not Mapped"))</f>
        <v>Not Mapped</v>
      </c>
      <c r="D1120" s="40" t="str">
        <f aca="false">IF(B1120="","",IFERROR(INDEX('CLM &amp; IM Mapping'!$C$2:$C$270,MATCH(TRIM(B1120),'CLM &amp; IM Mapping'!$A$2:$A$270,0)),"Not Mapped"))</f>
        <v>Not Mapped</v>
      </c>
      <c r="E1120" s="41" t="n">
        <v>0</v>
      </c>
      <c r="F1120" s="41" t="n">
        <v>0</v>
      </c>
      <c r="G1120" s="41" t="n">
        <v>0</v>
      </c>
      <c r="H1120" s="41" t="n">
        <v>0</v>
      </c>
      <c r="I1120" s="41" t="n">
        <v>0</v>
      </c>
      <c r="J1120" s="41" t="n">
        <v>0</v>
      </c>
      <c r="K1120" s="41" t="n">
        <v>0</v>
      </c>
      <c r="L1120" s="41" t="n">
        <v>0</v>
      </c>
    </row>
    <row r="1121" customFormat="false" ht="15.75" hidden="false" customHeight="false" outlineLevel="0" collapsed="false">
      <c r="B1121" s="39" t="s">
        <v>1253</v>
      </c>
      <c r="C1121" s="40" t="str">
        <f aca="false">IF(B1121="","",IFERROR(INDEX('CLM &amp; IM Mapping'!$B$2:$B$270,MATCH(TRIM(B1121),'CLM &amp; IM Mapping'!$A$2:$A$270,0)),"Not Mapped"))</f>
        <v>Not Mapped</v>
      </c>
      <c r="D1121" s="40" t="str">
        <f aca="false">IF(B1121="","",IFERROR(INDEX('CLM &amp; IM Mapping'!$C$2:$C$270,MATCH(TRIM(B1121),'CLM &amp; IM Mapping'!$A$2:$A$270,0)),"Not Mapped"))</f>
        <v>Not Mapped</v>
      </c>
      <c r="E1121" s="41" t="n">
        <v>1526</v>
      </c>
      <c r="F1121" s="41" t="n">
        <v>297</v>
      </c>
      <c r="G1121" s="41" t="n">
        <v>1229</v>
      </c>
      <c r="H1121" s="41" t="n">
        <v>0</v>
      </c>
      <c r="I1121" s="41" t="n">
        <v>0</v>
      </c>
      <c r="J1121" s="41" t="n">
        <v>0</v>
      </c>
      <c r="K1121" s="41" t="n">
        <v>0</v>
      </c>
      <c r="L1121" s="41" t="n">
        <v>0</v>
      </c>
    </row>
    <row r="1122" customFormat="false" ht="15.75" hidden="false" customHeight="false" outlineLevel="0" collapsed="false">
      <c r="B1122" s="39" t="s">
        <v>1254</v>
      </c>
      <c r="C1122" s="40" t="str">
        <f aca="false">IF(B1122="","",IFERROR(INDEX('CLM &amp; IM Mapping'!$B$2:$B$270,MATCH(TRIM(B1122),'CLM &amp; IM Mapping'!$A$2:$A$270,0)),"Not Mapped"))</f>
        <v>Not Mapped</v>
      </c>
      <c r="D1122" s="40" t="str">
        <f aca="false">IF(B1122="","",IFERROR(INDEX('CLM &amp; IM Mapping'!$C$2:$C$270,MATCH(TRIM(B1122),'CLM &amp; IM Mapping'!$A$2:$A$270,0)),"Not Mapped"))</f>
        <v>Not Mapped</v>
      </c>
      <c r="E1122" s="41" t="n">
        <v>2992</v>
      </c>
      <c r="F1122" s="41" t="n">
        <v>1426</v>
      </c>
      <c r="G1122" s="41" t="n">
        <v>1566</v>
      </c>
      <c r="H1122" s="41" t="n">
        <v>0</v>
      </c>
      <c r="I1122" s="41" t="n">
        <v>0</v>
      </c>
      <c r="J1122" s="41" t="n">
        <v>0</v>
      </c>
      <c r="K1122" s="41" t="n">
        <v>0</v>
      </c>
      <c r="L1122" s="41" t="n">
        <v>0</v>
      </c>
    </row>
    <row r="1123" customFormat="false" ht="15.75" hidden="false" customHeight="false" outlineLevel="0" collapsed="false">
      <c r="B1123" s="39" t="s">
        <v>1255</v>
      </c>
      <c r="C1123" s="40" t="str">
        <f aca="false">IF(B1123="","",IFERROR(INDEX('CLM &amp; IM Mapping'!$B$2:$B$270,MATCH(TRIM(B1123),'CLM &amp; IM Mapping'!$A$2:$A$270,0)),"Not Mapped"))</f>
        <v>Not Mapped</v>
      </c>
      <c r="D1123" s="40" t="str">
        <f aca="false">IF(B1123="","",IFERROR(INDEX('CLM &amp; IM Mapping'!$C$2:$C$270,MATCH(TRIM(B1123),'CLM &amp; IM Mapping'!$A$2:$A$270,0)),"Not Mapped"))</f>
        <v>Not Mapped</v>
      </c>
      <c r="E1123" s="41" t="n">
        <v>2524</v>
      </c>
      <c r="F1123" s="41" t="n">
        <v>0</v>
      </c>
      <c r="G1123" s="41" t="n">
        <v>2191</v>
      </c>
      <c r="H1123" s="41" t="n">
        <v>333</v>
      </c>
      <c r="I1123" s="41" t="n">
        <v>0</v>
      </c>
      <c r="J1123" s="41" t="n">
        <v>0</v>
      </c>
      <c r="K1123" s="41" t="n">
        <v>0</v>
      </c>
      <c r="L1123" s="41" t="n">
        <v>333</v>
      </c>
    </row>
    <row r="1124" customFormat="false" ht="15.75" hidden="false" customHeight="false" outlineLevel="0" collapsed="false">
      <c r="B1124" s="39" t="s">
        <v>1256</v>
      </c>
      <c r="C1124" s="40" t="str">
        <f aca="false">IF(B1124="","",IFERROR(INDEX('CLM &amp; IM Mapping'!$B$2:$B$270,MATCH(TRIM(B1124),'CLM &amp; IM Mapping'!$A$2:$A$270,0)),"Not Mapped"))</f>
        <v>Not Mapped</v>
      </c>
      <c r="D1124" s="40" t="str">
        <f aca="false">IF(B1124="","",IFERROR(INDEX('CLM &amp; IM Mapping'!$C$2:$C$270,MATCH(TRIM(B1124),'CLM &amp; IM Mapping'!$A$2:$A$270,0)),"Not Mapped"))</f>
        <v>Not Mapped</v>
      </c>
      <c r="E1124" s="41" t="n">
        <v>2442</v>
      </c>
      <c r="F1124" s="41" t="n">
        <v>2252</v>
      </c>
      <c r="G1124" s="41" t="n">
        <v>0</v>
      </c>
      <c r="H1124" s="41" t="n">
        <v>0</v>
      </c>
      <c r="I1124" s="41" t="n">
        <v>182</v>
      </c>
      <c r="J1124" s="41" t="n">
        <v>8</v>
      </c>
      <c r="K1124" s="41" t="n">
        <v>0</v>
      </c>
      <c r="L1124" s="41" t="n">
        <v>190</v>
      </c>
    </row>
    <row r="1125" customFormat="false" ht="15.75" hidden="false" customHeight="false" outlineLevel="0" collapsed="false">
      <c r="B1125" s="39" t="s">
        <v>1257</v>
      </c>
      <c r="C1125" s="40" t="str">
        <f aca="false">IF(B1125="","",IFERROR(INDEX('CLM &amp; IM Mapping'!$B$2:$B$270,MATCH(TRIM(B1125),'CLM &amp; IM Mapping'!$A$2:$A$270,0)),"Not Mapped"))</f>
        <v>Not Mapped</v>
      </c>
      <c r="D1125" s="40" t="str">
        <f aca="false">IF(B1125="","",IFERROR(INDEX('CLM &amp; IM Mapping'!$C$2:$C$270,MATCH(TRIM(B1125),'CLM &amp; IM Mapping'!$A$2:$A$270,0)),"Not Mapped"))</f>
        <v>Not Mapped</v>
      </c>
      <c r="E1125" s="41" t="n">
        <v>0</v>
      </c>
      <c r="F1125" s="41" t="n">
        <v>0</v>
      </c>
      <c r="G1125" s="41" t="n">
        <v>0</v>
      </c>
      <c r="H1125" s="41" t="n">
        <v>0</v>
      </c>
      <c r="I1125" s="41" t="n">
        <v>0</v>
      </c>
      <c r="J1125" s="41" t="n">
        <v>0</v>
      </c>
      <c r="K1125" s="41" t="n">
        <v>0</v>
      </c>
      <c r="L1125" s="41" t="n">
        <v>0</v>
      </c>
    </row>
    <row r="1126" customFormat="false" ht="15.75" hidden="false" customHeight="false" outlineLevel="0" collapsed="false">
      <c r="B1126" s="39" t="s">
        <v>1258</v>
      </c>
      <c r="C1126" s="40" t="str">
        <f aca="false">IF(B1126="","",IFERROR(INDEX('CLM &amp; IM Mapping'!$B$2:$B$270,MATCH(TRIM(B1126),'CLM &amp; IM Mapping'!$A$2:$A$270,0)),"Not Mapped"))</f>
        <v>Not Mapped</v>
      </c>
      <c r="D1126" s="40" t="str">
        <f aca="false">IF(B1126="","",IFERROR(INDEX('CLM &amp; IM Mapping'!$C$2:$C$270,MATCH(TRIM(B1126),'CLM &amp; IM Mapping'!$A$2:$A$270,0)),"Not Mapped"))</f>
        <v>Not Mapped</v>
      </c>
      <c r="E1126" s="41" t="n">
        <v>4455</v>
      </c>
      <c r="F1126" s="41" t="n">
        <v>175</v>
      </c>
      <c r="G1126" s="41" t="n">
        <v>3319</v>
      </c>
      <c r="H1126" s="41" t="n">
        <v>95</v>
      </c>
      <c r="I1126" s="41" t="n">
        <v>69</v>
      </c>
      <c r="J1126" s="41" t="n">
        <v>218</v>
      </c>
      <c r="K1126" s="41" t="n">
        <v>579</v>
      </c>
      <c r="L1126" s="41" t="n">
        <v>961</v>
      </c>
    </row>
    <row r="1127" customFormat="false" ht="15.75" hidden="false" customHeight="false" outlineLevel="0" collapsed="false">
      <c r="B1127" s="39" t="s">
        <v>1259</v>
      </c>
      <c r="C1127" s="40" t="str">
        <f aca="false">IF(B1127="","",IFERROR(INDEX('CLM &amp; IM Mapping'!$B$2:$B$270,MATCH(TRIM(B1127),'CLM &amp; IM Mapping'!$A$2:$A$270,0)),"Not Mapped"))</f>
        <v>Not Mapped</v>
      </c>
      <c r="D1127" s="40" t="str">
        <f aca="false">IF(B1127="","",IFERROR(INDEX('CLM &amp; IM Mapping'!$C$2:$C$270,MATCH(TRIM(B1127),'CLM &amp; IM Mapping'!$A$2:$A$270,0)),"Not Mapped"))</f>
        <v>Not Mapped</v>
      </c>
      <c r="E1127" s="41" t="n">
        <v>0</v>
      </c>
      <c r="F1127" s="41" t="n">
        <v>0</v>
      </c>
      <c r="G1127" s="41" t="n">
        <v>0</v>
      </c>
      <c r="H1127" s="41" t="n">
        <v>0</v>
      </c>
      <c r="I1127" s="41" t="n">
        <v>0</v>
      </c>
      <c r="J1127" s="41" t="n">
        <v>0</v>
      </c>
      <c r="K1127" s="41" t="n">
        <v>0</v>
      </c>
      <c r="L1127" s="41" t="n">
        <v>0</v>
      </c>
    </row>
    <row r="1128" customFormat="false" ht="15.75" hidden="false" customHeight="false" outlineLevel="0" collapsed="false">
      <c r="B1128" s="39" t="s">
        <v>1260</v>
      </c>
      <c r="C1128" s="40" t="str">
        <f aca="false">IF(B1128="","",IFERROR(INDEX('CLM &amp; IM Mapping'!$B$2:$B$270,MATCH(TRIM(B1128),'CLM &amp; IM Mapping'!$A$2:$A$270,0)),"Not Mapped"))</f>
        <v>Not Mapped</v>
      </c>
      <c r="D1128" s="40" t="str">
        <f aca="false">IF(B1128="","",IFERROR(INDEX('CLM &amp; IM Mapping'!$C$2:$C$270,MATCH(TRIM(B1128),'CLM &amp; IM Mapping'!$A$2:$A$270,0)),"Not Mapped"))</f>
        <v>Not Mapped</v>
      </c>
      <c r="E1128" s="41" t="n">
        <v>950</v>
      </c>
      <c r="F1128" s="41" t="n">
        <v>924</v>
      </c>
      <c r="G1128" s="41" t="n">
        <v>0</v>
      </c>
      <c r="H1128" s="41" t="n">
        <v>0</v>
      </c>
      <c r="I1128" s="41" t="n">
        <v>25</v>
      </c>
      <c r="J1128" s="41" t="n">
        <v>0</v>
      </c>
      <c r="K1128" s="41" t="n">
        <v>1</v>
      </c>
      <c r="L1128" s="41" t="n">
        <v>26</v>
      </c>
    </row>
    <row r="1129" customFormat="false" ht="15.75" hidden="false" customHeight="false" outlineLevel="0" collapsed="false">
      <c r="B1129" s="39" t="s">
        <v>1261</v>
      </c>
      <c r="C1129" s="40" t="str">
        <f aca="false">IF(B1129="","",IFERROR(INDEX('CLM &amp; IM Mapping'!$B$2:$B$270,MATCH(TRIM(B1129),'CLM &amp; IM Mapping'!$A$2:$A$270,0)),"Not Mapped"))</f>
        <v>Not Mapped</v>
      </c>
      <c r="D1129" s="40" t="str">
        <f aca="false">IF(B1129="","",IFERROR(INDEX('CLM &amp; IM Mapping'!$C$2:$C$270,MATCH(TRIM(B1129),'CLM &amp; IM Mapping'!$A$2:$A$270,0)),"Not Mapped"))</f>
        <v>Not Mapped</v>
      </c>
      <c r="E1129" s="41" t="n">
        <v>3270</v>
      </c>
      <c r="F1129" s="41" t="n">
        <v>3270</v>
      </c>
      <c r="G1129" s="41" t="n">
        <v>0</v>
      </c>
      <c r="H1129" s="41" t="n">
        <v>0</v>
      </c>
      <c r="I1129" s="41" t="n">
        <v>0</v>
      </c>
      <c r="J1129" s="41" t="n">
        <v>0</v>
      </c>
      <c r="K1129" s="41" t="n">
        <v>0</v>
      </c>
      <c r="L1129" s="41" t="n">
        <v>0</v>
      </c>
    </row>
    <row r="1130" customFormat="false" ht="15.75" hidden="false" customHeight="false" outlineLevel="0" collapsed="false">
      <c r="B1130" s="39" t="s">
        <v>1262</v>
      </c>
      <c r="C1130" s="40" t="str">
        <f aca="false">IF(B1130="","",IFERROR(INDEX('CLM &amp; IM Mapping'!$B$2:$B$270,MATCH(TRIM(B1130),'CLM &amp; IM Mapping'!$A$2:$A$270,0)),"Not Mapped"))</f>
        <v>Not Mapped</v>
      </c>
      <c r="D1130" s="40" t="str">
        <f aca="false">IF(B1130="","",IFERROR(INDEX('CLM &amp; IM Mapping'!$C$2:$C$270,MATCH(TRIM(B1130),'CLM &amp; IM Mapping'!$A$2:$A$270,0)),"Not Mapped"))</f>
        <v>Not Mapped</v>
      </c>
      <c r="E1130" s="41" t="n">
        <v>3349</v>
      </c>
      <c r="F1130" s="41" t="n">
        <v>2193</v>
      </c>
      <c r="G1130" s="41" t="n">
        <v>1130</v>
      </c>
      <c r="H1130" s="41" t="n">
        <v>0</v>
      </c>
      <c r="I1130" s="41" t="n">
        <v>0</v>
      </c>
      <c r="J1130" s="41" t="n">
        <v>13</v>
      </c>
      <c r="K1130" s="41" t="n">
        <v>13</v>
      </c>
      <c r="L1130" s="41" t="n">
        <v>26</v>
      </c>
    </row>
    <row r="1131" customFormat="false" ht="15.75" hidden="false" customHeight="false" outlineLevel="0" collapsed="false">
      <c r="B1131" s="39" t="s">
        <v>1263</v>
      </c>
      <c r="C1131" s="40" t="str">
        <f aca="false">IF(B1131="","",IFERROR(INDEX('CLM &amp; IM Mapping'!$B$2:$B$270,MATCH(TRIM(B1131),'CLM &amp; IM Mapping'!$A$2:$A$270,0)),"Not Mapped"))</f>
        <v>Not Mapped</v>
      </c>
      <c r="D1131" s="40" t="str">
        <f aca="false">IF(B1131="","",IFERROR(INDEX('CLM &amp; IM Mapping'!$C$2:$C$270,MATCH(TRIM(B1131),'CLM &amp; IM Mapping'!$A$2:$A$270,0)),"Not Mapped"))</f>
        <v>Not Mapped</v>
      </c>
      <c r="E1131" s="41" t="n">
        <v>315</v>
      </c>
      <c r="F1131" s="41" t="n">
        <v>0</v>
      </c>
      <c r="G1131" s="41" t="n">
        <v>315</v>
      </c>
      <c r="H1131" s="41" t="n">
        <v>0</v>
      </c>
      <c r="I1131" s="41" t="n">
        <v>0</v>
      </c>
      <c r="J1131" s="41" t="n">
        <v>0</v>
      </c>
      <c r="K1131" s="41" t="n">
        <v>0</v>
      </c>
      <c r="L1131" s="41" t="n">
        <v>0</v>
      </c>
    </row>
    <row r="1132" customFormat="false" ht="15.75" hidden="false" customHeight="false" outlineLevel="0" collapsed="false">
      <c r="B1132" s="39" t="s">
        <v>1264</v>
      </c>
      <c r="C1132" s="40" t="str">
        <f aca="false">IF(B1132="","",IFERROR(INDEX('CLM &amp; IM Mapping'!$B$2:$B$270,MATCH(TRIM(B1132),'CLM &amp; IM Mapping'!$A$2:$A$270,0)),"Not Mapped"))</f>
        <v>Not Mapped</v>
      </c>
      <c r="D1132" s="40" t="str">
        <f aca="false">IF(B1132="","",IFERROR(INDEX('CLM &amp; IM Mapping'!$C$2:$C$270,MATCH(TRIM(B1132),'CLM &amp; IM Mapping'!$A$2:$A$270,0)),"Not Mapped"))</f>
        <v>Not Mapped</v>
      </c>
      <c r="E1132" s="41" t="n">
        <v>1947</v>
      </c>
      <c r="F1132" s="41" t="n">
        <v>0</v>
      </c>
      <c r="G1132" s="41" t="n">
        <v>0</v>
      </c>
      <c r="H1132" s="41" t="n">
        <v>1939</v>
      </c>
      <c r="I1132" s="41" t="n">
        <v>0</v>
      </c>
      <c r="J1132" s="41" t="n">
        <v>1</v>
      </c>
      <c r="K1132" s="41" t="n">
        <v>7</v>
      </c>
      <c r="L1132" s="41" t="n">
        <v>8</v>
      </c>
    </row>
    <row r="1133" customFormat="false" ht="15.75" hidden="false" customHeight="false" outlineLevel="0" collapsed="false">
      <c r="B1133" s="39" t="s">
        <v>1265</v>
      </c>
      <c r="C1133" s="40" t="str">
        <f aca="false">IF(B1133="","",IFERROR(INDEX('CLM &amp; IM Mapping'!$B$2:$B$270,MATCH(TRIM(B1133),'CLM &amp; IM Mapping'!$A$2:$A$270,0)),"Not Mapped"))</f>
        <v>Not Mapped</v>
      </c>
      <c r="D1133" s="40" t="str">
        <f aca="false">IF(B1133="","",IFERROR(INDEX('CLM &amp; IM Mapping'!$C$2:$C$270,MATCH(TRIM(B1133),'CLM &amp; IM Mapping'!$A$2:$A$270,0)),"Not Mapped"))</f>
        <v>Not Mapped</v>
      </c>
      <c r="E1133" s="41" t="n">
        <v>1431</v>
      </c>
      <c r="F1133" s="41" t="n">
        <v>722</v>
      </c>
      <c r="G1133" s="41" t="n">
        <v>709</v>
      </c>
      <c r="H1133" s="41" t="n">
        <v>0</v>
      </c>
      <c r="I1133" s="41" t="n">
        <v>0</v>
      </c>
      <c r="J1133" s="41" t="n">
        <v>0</v>
      </c>
      <c r="K1133" s="41" t="n">
        <v>0</v>
      </c>
      <c r="L1133" s="41" t="n">
        <v>0</v>
      </c>
    </row>
    <row r="1134" customFormat="false" ht="15.75" hidden="false" customHeight="false" outlineLevel="0" collapsed="false">
      <c r="B1134" s="41" t="s">
        <v>1266</v>
      </c>
      <c r="C1134" s="43" t="str">
        <f aca="false">IF(B1134="","",IFERROR(INDEX('CLM &amp; IM Mapping'!$B$2:$B$270,MATCH(TRIM(B1134),'CLM &amp; IM Mapping'!$A$2:$A$270,0)),"Not Mapped"))</f>
        <v>Not Mapped</v>
      </c>
      <c r="D1134" s="43" t="str">
        <f aca="false">IF(B1134="","",IFERROR(INDEX('CLM &amp; IM Mapping'!$C$2:$C$270,MATCH(TRIM(B1134),'CLM &amp; IM Mapping'!$A$2:$A$270,0)),"Not Mapped"))</f>
        <v>Not Mapped</v>
      </c>
      <c r="E1134" s="41" t="n">
        <v>1591</v>
      </c>
      <c r="F1134" s="41" t="n">
        <v>0</v>
      </c>
      <c r="G1134" s="41" t="n">
        <v>0</v>
      </c>
      <c r="H1134" s="41" t="n">
        <v>1591</v>
      </c>
      <c r="I1134" s="41" t="n">
        <v>0</v>
      </c>
      <c r="J1134" s="41" t="n">
        <v>0</v>
      </c>
      <c r="K1134" s="41" t="n">
        <v>0</v>
      </c>
      <c r="L1134" s="41" t="n">
        <v>0</v>
      </c>
    </row>
    <row r="1135" customFormat="false" ht="15.75" hidden="false" customHeight="false" outlineLevel="0" collapsed="false">
      <c r="B1135" s="39" t="s">
        <v>1267</v>
      </c>
      <c r="C1135" s="40" t="str">
        <f aca="false">IF(B1135="","",IFERROR(INDEX('CLM &amp; IM Mapping'!$B$2:$B$270,MATCH(TRIM(B1135),'CLM &amp; IM Mapping'!$A$2:$A$270,0)),"Not Mapped"))</f>
        <v>Not Mapped</v>
      </c>
      <c r="D1135" s="40" t="str">
        <f aca="false">IF(B1135="","",IFERROR(INDEX('CLM &amp; IM Mapping'!$C$2:$C$270,MATCH(TRIM(B1135),'CLM &amp; IM Mapping'!$A$2:$A$270,0)),"Not Mapped"))</f>
        <v>Not Mapped</v>
      </c>
      <c r="E1135" s="41" t="n">
        <v>0</v>
      </c>
      <c r="F1135" s="41" t="n">
        <v>0</v>
      </c>
      <c r="G1135" s="41" t="n">
        <v>0</v>
      </c>
      <c r="H1135" s="41" t="n">
        <v>0</v>
      </c>
      <c r="I1135" s="41" t="n">
        <v>0</v>
      </c>
      <c r="J1135" s="41" t="n">
        <v>0</v>
      </c>
      <c r="K1135" s="41" t="n">
        <v>0</v>
      </c>
      <c r="L1135" s="41" t="n">
        <v>0</v>
      </c>
    </row>
    <row r="1136" customFormat="false" ht="15.75" hidden="false" customHeight="false" outlineLevel="0" collapsed="false">
      <c r="B1136" s="39" t="s">
        <v>1268</v>
      </c>
      <c r="C1136" s="40" t="str">
        <f aca="false">IF(B1136="","",IFERROR(INDEX('CLM &amp; IM Mapping'!$B$2:$B$270,MATCH(TRIM(B1136),'CLM &amp; IM Mapping'!$A$2:$A$270,0)),"Not Mapped"))</f>
        <v>Not Mapped</v>
      </c>
      <c r="D1136" s="40" t="str">
        <f aca="false">IF(B1136="","",IFERROR(INDEX('CLM &amp; IM Mapping'!$C$2:$C$270,MATCH(TRIM(B1136),'CLM &amp; IM Mapping'!$A$2:$A$270,0)),"Not Mapped"))</f>
        <v>Not Mapped</v>
      </c>
      <c r="E1136" s="41" t="n">
        <v>6337</v>
      </c>
      <c r="F1136" s="41" t="n">
        <v>3090</v>
      </c>
      <c r="G1136" s="41" t="n">
        <v>2533</v>
      </c>
      <c r="H1136" s="41" t="n">
        <v>7</v>
      </c>
      <c r="I1136" s="41" t="n">
        <v>273</v>
      </c>
      <c r="J1136" s="41" t="n">
        <v>0</v>
      </c>
      <c r="K1136" s="41" t="n">
        <v>434</v>
      </c>
      <c r="L1136" s="41" t="n">
        <v>714</v>
      </c>
    </row>
    <row r="1137" customFormat="false" ht="15.75" hidden="false" customHeight="false" outlineLevel="0" collapsed="false">
      <c r="B1137" s="39" t="s">
        <v>1269</v>
      </c>
      <c r="C1137" s="40" t="str">
        <f aca="false">IF(B1137="","",IFERROR(INDEX('CLM &amp; IM Mapping'!$B$2:$B$270,MATCH(TRIM(B1137),'CLM &amp; IM Mapping'!$A$2:$A$270,0)),"Not Mapped"))</f>
        <v>Not Mapped</v>
      </c>
      <c r="D1137" s="40" t="str">
        <f aca="false">IF(B1137="","",IFERROR(INDEX('CLM &amp; IM Mapping'!$C$2:$C$270,MATCH(TRIM(B1137),'CLM &amp; IM Mapping'!$A$2:$A$270,0)),"Not Mapped"))</f>
        <v>Not Mapped</v>
      </c>
      <c r="E1137" s="41" t="n">
        <v>2824</v>
      </c>
      <c r="F1137" s="41" t="n">
        <v>731</v>
      </c>
      <c r="G1137" s="41" t="n">
        <v>2093</v>
      </c>
      <c r="H1137" s="41" t="n">
        <v>0</v>
      </c>
      <c r="I1137" s="41" t="n">
        <v>0</v>
      </c>
      <c r="J1137" s="41" t="n">
        <v>0</v>
      </c>
      <c r="K1137" s="41" t="n">
        <v>0</v>
      </c>
      <c r="L1137" s="41" t="n">
        <v>0</v>
      </c>
    </row>
    <row r="1138" customFormat="false" ht="15.75" hidden="false" customHeight="false" outlineLevel="0" collapsed="false">
      <c r="B1138" s="39" t="s">
        <v>1270</v>
      </c>
      <c r="C1138" s="40" t="str">
        <f aca="false">IF(B1138="","",IFERROR(INDEX('CLM &amp; IM Mapping'!$B$2:$B$270,MATCH(TRIM(B1138),'CLM &amp; IM Mapping'!$A$2:$A$270,0)),"Not Mapped"))</f>
        <v>Not Mapped</v>
      </c>
      <c r="D1138" s="40" t="str">
        <f aca="false">IF(B1138="","",IFERROR(INDEX('CLM &amp; IM Mapping'!$C$2:$C$270,MATCH(TRIM(B1138),'CLM &amp; IM Mapping'!$A$2:$A$270,0)),"Not Mapped"))</f>
        <v>Not Mapped</v>
      </c>
      <c r="E1138" s="41" t="n">
        <v>7183</v>
      </c>
      <c r="F1138" s="41" t="n">
        <v>7171</v>
      </c>
      <c r="G1138" s="41" t="n">
        <v>10</v>
      </c>
      <c r="H1138" s="41" t="n">
        <v>2</v>
      </c>
      <c r="I1138" s="41" t="n">
        <v>0</v>
      </c>
      <c r="J1138" s="41" t="n">
        <v>0</v>
      </c>
      <c r="K1138" s="41" t="n">
        <v>0</v>
      </c>
      <c r="L1138" s="41" t="n">
        <v>2</v>
      </c>
    </row>
    <row r="1139" customFormat="false" ht="15.75" hidden="false" customHeight="false" outlineLevel="0" collapsed="false">
      <c r="B1139" s="39" t="s">
        <v>1271</v>
      </c>
      <c r="C1139" s="40" t="str">
        <f aca="false">IF(B1139="","",IFERROR(INDEX('CLM &amp; IM Mapping'!$B$2:$B$270,MATCH(TRIM(B1139),'CLM &amp; IM Mapping'!$A$2:$A$270,0)),"Not Mapped"))</f>
        <v>Not Mapped</v>
      </c>
      <c r="D1139" s="40" t="str">
        <f aca="false">IF(B1139="","",IFERROR(INDEX('CLM &amp; IM Mapping'!$C$2:$C$270,MATCH(TRIM(B1139),'CLM &amp; IM Mapping'!$A$2:$A$270,0)),"Not Mapped"))</f>
        <v>Not Mapped</v>
      </c>
      <c r="E1139" s="41" t="n">
        <v>0</v>
      </c>
      <c r="F1139" s="41" t="n">
        <v>0</v>
      </c>
      <c r="G1139" s="41" t="n">
        <v>0</v>
      </c>
      <c r="H1139" s="41" t="n">
        <v>0</v>
      </c>
      <c r="I1139" s="41" t="n">
        <v>0</v>
      </c>
      <c r="J1139" s="41" t="n">
        <v>0</v>
      </c>
      <c r="K1139" s="41" t="n">
        <v>0</v>
      </c>
      <c r="L1139" s="41" t="n">
        <v>0</v>
      </c>
    </row>
    <row r="1140" customFormat="false" ht="15.75" hidden="false" customHeight="false" outlineLevel="0" collapsed="false">
      <c r="B1140" s="39" t="s">
        <v>1272</v>
      </c>
      <c r="C1140" s="40" t="str">
        <f aca="false">IF(B1140="","",IFERROR(INDEX('CLM &amp; IM Mapping'!$B$2:$B$270,MATCH(TRIM(B1140),'CLM &amp; IM Mapping'!$A$2:$A$270,0)),"Not Mapped"))</f>
        <v>Not Mapped</v>
      </c>
      <c r="D1140" s="40" t="str">
        <f aca="false">IF(B1140="","",IFERROR(INDEX('CLM &amp; IM Mapping'!$C$2:$C$270,MATCH(TRIM(B1140),'CLM &amp; IM Mapping'!$A$2:$A$270,0)),"Not Mapped"))</f>
        <v>Not Mapped</v>
      </c>
      <c r="E1140" s="41" t="n">
        <v>5087</v>
      </c>
      <c r="F1140" s="41" t="n">
        <v>0</v>
      </c>
      <c r="G1140" s="41" t="n">
        <v>5087</v>
      </c>
      <c r="H1140" s="41" t="n">
        <v>0</v>
      </c>
      <c r="I1140" s="41" t="n">
        <v>0</v>
      </c>
      <c r="J1140" s="41" t="n">
        <v>0</v>
      </c>
      <c r="K1140" s="41" t="n">
        <v>0</v>
      </c>
      <c r="L1140" s="41" t="n">
        <v>0</v>
      </c>
    </row>
    <row r="1141" customFormat="false" ht="15.75" hidden="false" customHeight="false" outlineLevel="0" collapsed="false">
      <c r="B1141" s="39" t="s">
        <v>1273</v>
      </c>
      <c r="C1141" s="40" t="str">
        <f aca="false">IF(B1141="","",IFERROR(INDEX('CLM &amp; IM Mapping'!$B$2:$B$270,MATCH(TRIM(B1141),'CLM &amp; IM Mapping'!$A$2:$A$270,0)),"Not Mapped"))</f>
        <v>Not Mapped</v>
      </c>
      <c r="D1141" s="40" t="str">
        <f aca="false">IF(B1141="","",IFERROR(INDEX('CLM &amp; IM Mapping'!$C$2:$C$270,MATCH(TRIM(B1141),'CLM &amp; IM Mapping'!$A$2:$A$270,0)),"Not Mapped"))</f>
        <v>Not Mapped</v>
      </c>
      <c r="E1141" s="41" t="n">
        <v>419</v>
      </c>
      <c r="F1141" s="41" t="n">
        <v>0</v>
      </c>
      <c r="G1141" s="41" t="n">
        <v>0</v>
      </c>
      <c r="H1141" s="41" t="n">
        <v>419</v>
      </c>
      <c r="I1141" s="41" t="n">
        <v>0</v>
      </c>
      <c r="J1141" s="41" t="n">
        <v>0</v>
      </c>
      <c r="K1141" s="41" t="n">
        <v>0</v>
      </c>
      <c r="L1141" s="41" t="n">
        <v>419</v>
      </c>
    </row>
    <row r="1142" customFormat="false" ht="15.75" hidden="false" customHeight="false" outlineLevel="0" collapsed="false">
      <c r="B1142" s="39" t="s">
        <v>1274</v>
      </c>
      <c r="C1142" s="40" t="str">
        <f aca="false">IF(B1142="","",IFERROR(INDEX('CLM &amp; IM Mapping'!$B$2:$B$270,MATCH(TRIM(B1142),'CLM &amp; IM Mapping'!$A$2:$A$270,0)),"Not Mapped"))</f>
        <v>Not Mapped</v>
      </c>
      <c r="D1142" s="40" t="str">
        <f aca="false">IF(B1142="","",IFERROR(INDEX('CLM &amp; IM Mapping'!$C$2:$C$270,MATCH(TRIM(B1142),'CLM &amp; IM Mapping'!$A$2:$A$270,0)),"Not Mapped"))</f>
        <v>Not Mapped</v>
      </c>
      <c r="E1142" s="41" t="n">
        <v>1801</v>
      </c>
      <c r="F1142" s="41" t="n">
        <v>1760</v>
      </c>
      <c r="G1142" s="41" t="n">
        <v>0</v>
      </c>
      <c r="H1142" s="41" t="n">
        <v>0</v>
      </c>
      <c r="I1142" s="41" t="n">
        <v>41</v>
      </c>
      <c r="J1142" s="41" t="n">
        <v>0</v>
      </c>
      <c r="K1142" s="41" t="n">
        <v>0</v>
      </c>
      <c r="L1142" s="41" t="n">
        <v>41</v>
      </c>
    </row>
    <row r="1143" customFormat="false" ht="15.75" hidden="false" customHeight="false" outlineLevel="0" collapsed="false">
      <c r="B1143" s="39" t="s">
        <v>1275</v>
      </c>
      <c r="C1143" s="40" t="str">
        <f aca="false">IF(B1143="","",IFERROR(INDEX('CLM &amp; IM Mapping'!$B$2:$B$270,MATCH(TRIM(B1143),'CLM &amp; IM Mapping'!$A$2:$A$270,0)),"Not Mapped"))</f>
        <v>Not Mapped</v>
      </c>
      <c r="D1143" s="40" t="str">
        <f aca="false">IF(B1143="","",IFERROR(INDEX('CLM &amp; IM Mapping'!$C$2:$C$270,MATCH(TRIM(B1143),'CLM &amp; IM Mapping'!$A$2:$A$270,0)),"Not Mapped"))</f>
        <v>Not Mapped</v>
      </c>
      <c r="E1143" s="41" t="n">
        <v>0</v>
      </c>
      <c r="F1143" s="41" t="n">
        <v>0</v>
      </c>
      <c r="G1143" s="41" t="n">
        <v>0</v>
      </c>
      <c r="H1143" s="41" t="n">
        <v>0</v>
      </c>
      <c r="I1143" s="41" t="n">
        <v>0</v>
      </c>
      <c r="J1143" s="41" t="n">
        <v>0</v>
      </c>
      <c r="K1143" s="41" t="n">
        <v>0</v>
      </c>
      <c r="L1143" s="41" t="n">
        <v>0</v>
      </c>
    </row>
    <row r="1144" customFormat="false" ht="15.75" hidden="false" customHeight="false" outlineLevel="0" collapsed="false">
      <c r="B1144" s="39" t="s">
        <v>1276</v>
      </c>
      <c r="C1144" s="40" t="str">
        <f aca="false">IF(B1144="","",IFERROR(INDEX('CLM &amp; IM Mapping'!$B$2:$B$270,MATCH(TRIM(B1144),'CLM &amp; IM Mapping'!$A$2:$A$270,0)),"Not Mapped"))</f>
        <v>Not Mapped</v>
      </c>
      <c r="D1144" s="40" t="str">
        <f aca="false">IF(B1144="","",IFERROR(INDEX('CLM &amp; IM Mapping'!$C$2:$C$270,MATCH(TRIM(B1144),'CLM &amp; IM Mapping'!$A$2:$A$270,0)),"Not Mapped"))</f>
        <v>Not Mapped</v>
      </c>
      <c r="E1144" s="41" t="n">
        <v>4365</v>
      </c>
      <c r="F1144" s="41" t="n">
        <v>0</v>
      </c>
      <c r="G1144" s="41" t="n">
        <v>0</v>
      </c>
      <c r="H1144" s="41" t="n">
        <v>3339</v>
      </c>
      <c r="I1144" s="41" t="n">
        <v>0</v>
      </c>
      <c r="J1144" s="41" t="n">
        <v>535</v>
      </c>
      <c r="K1144" s="41" t="n">
        <v>491</v>
      </c>
      <c r="L1144" s="41" t="n">
        <v>1026</v>
      </c>
    </row>
    <row r="1145" customFormat="false" ht="15.75" hidden="false" customHeight="false" outlineLevel="0" collapsed="false">
      <c r="B1145" s="39" t="s">
        <v>1277</v>
      </c>
      <c r="C1145" s="40" t="str">
        <f aca="false">IF(B1145="","",IFERROR(INDEX('CLM &amp; IM Mapping'!$B$2:$B$270,MATCH(TRIM(B1145),'CLM &amp; IM Mapping'!$A$2:$A$270,0)),"Not Mapped"))</f>
        <v>Not Mapped</v>
      </c>
      <c r="D1145" s="40" t="str">
        <f aca="false">IF(B1145="","",IFERROR(INDEX('CLM &amp; IM Mapping'!$C$2:$C$270,MATCH(TRIM(B1145),'CLM &amp; IM Mapping'!$A$2:$A$270,0)),"Not Mapped"))</f>
        <v>Not Mapped</v>
      </c>
      <c r="E1145" s="41" t="n">
        <v>3343</v>
      </c>
      <c r="F1145" s="41" t="n">
        <v>0</v>
      </c>
      <c r="G1145" s="41" t="n">
        <v>0</v>
      </c>
      <c r="H1145" s="41" t="n">
        <v>2957</v>
      </c>
      <c r="I1145" s="41" t="n">
        <v>0</v>
      </c>
      <c r="J1145" s="41" t="n">
        <v>386</v>
      </c>
      <c r="K1145" s="41" t="n">
        <v>0</v>
      </c>
      <c r="L1145" s="41" t="n">
        <v>3343</v>
      </c>
    </row>
    <row r="1146" customFormat="false" ht="15.75" hidden="false" customHeight="false" outlineLevel="0" collapsed="false">
      <c r="B1146" s="39" t="s">
        <v>1278</v>
      </c>
      <c r="C1146" s="40" t="str">
        <f aca="false">IF(B1146="","",IFERROR(INDEX('CLM &amp; IM Mapping'!$B$2:$B$270,MATCH(TRIM(B1146),'CLM &amp; IM Mapping'!$A$2:$A$270,0)),"Not Mapped"))</f>
        <v>Not Mapped</v>
      </c>
      <c r="D1146" s="40" t="str">
        <f aca="false">IF(B1146="","",IFERROR(INDEX('CLM &amp; IM Mapping'!$C$2:$C$270,MATCH(TRIM(B1146),'CLM &amp; IM Mapping'!$A$2:$A$270,0)),"Not Mapped"))</f>
        <v>Not Mapped</v>
      </c>
      <c r="E1146" s="41" t="n">
        <v>925</v>
      </c>
      <c r="F1146" s="41" t="n">
        <v>867</v>
      </c>
      <c r="G1146" s="41" t="n">
        <v>57</v>
      </c>
      <c r="H1146" s="41" t="n">
        <v>0</v>
      </c>
      <c r="I1146" s="41" t="n">
        <v>0</v>
      </c>
      <c r="J1146" s="41" t="n">
        <v>0</v>
      </c>
      <c r="K1146" s="41" t="n">
        <v>1</v>
      </c>
      <c r="L1146" s="41" t="n">
        <v>1</v>
      </c>
    </row>
    <row r="1147" customFormat="false" ht="15.75" hidden="false" customHeight="false" outlineLevel="0" collapsed="false">
      <c r="B1147" s="39" t="s">
        <v>1279</v>
      </c>
      <c r="C1147" s="40" t="str">
        <f aca="false">IF(B1147="","",IFERROR(INDEX('CLM &amp; IM Mapping'!$B$2:$B$270,MATCH(TRIM(B1147),'CLM &amp; IM Mapping'!$A$2:$A$270,0)),"Not Mapped"))</f>
        <v>Not Mapped</v>
      </c>
      <c r="D1147" s="40" t="str">
        <f aca="false">IF(B1147="","",IFERROR(INDEX('CLM &amp; IM Mapping'!$C$2:$C$270,MATCH(TRIM(B1147),'CLM &amp; IM Mapping'!$A$2:$A$270,0)),"Not Mapped"))</f>
        <v>Not Mapped</v>
      </c>
      <c r="E1147" s="41" t="n">
        <v>3303</v>
      </c>
      <c r="F1147" s="41" t="n">
        <v>1349</v>
      </c>
      <c r="G1147" s="41" t="n">
        <v>1954</v>
      </c>
      <c r="H1147" s="41" t="n">
        <v>0</v>
      </c>
      <c r="I1147" s="41" t="n">
        <v>0</v>
      </c>
      <c r="J1147" s="41" t="n">
        <v>0</v>
      </c>
      <c r="K1147" s="41" t="n">
        <v>0</v>
      </c>
      <c r="L1147" s="41" t="n">
        <v>0</v>
      </c>
    </row>
    <row r="1148" customFormat="false" ht="15.75" hidden="false" customHeight="false" outlineLevel="0" collapsed="false">
      <c r="B1148" s="39" t="s">
        <v>1280</v>
      </c>
      <c r="C1148" s="40" t="str">
        <f aca="false">IF(B1148="","",IFERROR(INDEX('CLM &amp; IM Mapping'!$B$2:$B$270,MATCH(TRIM(B1148),'CLM &amp; IM Mapping'!$A$2:$A$270,0)),"Not Mapped"))</f>
        <v>Not Mapped</v>
      </c>
      <c r="D1148" s="40" t="str">
        <f aca="false">IF(B1148="","",IFERROR(INDEX('CLM &amp; IM Mapping'!$C$2:$C$270,MATCH(TRIM(B1148),'CLM &amp; IM Mapping'!$A$2:$A$270,0)),"Not Mapped"))</f>
        <v>Not Mapped</v>
      </c>
      <c r="E1148" s="41" t="n">
        <v>131</v>
      </c>
      <c r="F1148" s="41" t="n">
        <v>131</v>
      </c>
      <c r="G1148" s="41" t="n">
        <v>0</v>
      </c>
      <c r="H1148" s="41" t="n">
        <v>0</v>
      </c>
      <c r="I1148" s="41" t="n">
        <v>0</v>
      </c>
      <c r="J1148" s="41" t="n">
        <v>0</v>
      </c>
      <c r="K1148" s="41" t="n">
        <v>0</v>
      </c>
      <c r="L1148" s="41" t="n">
        <v>0</v>
      </c>
    </row>
    <row r="1149" customFormat="false" ht="15.75" hidden="false" customHeight="false" outlineLevel="0" collapsed="false">
      <c r="B1149" s="39" t="s">
        <v>1281</v>
      </c>
      <c r="C1149" s="40" t="str">
        <f aca="false">IF(B1149="","",IFERROR(INDEX('CLM &amp; IM Mapping'!$B$2:$B$270,MATCH(TRIM(B1149),'CLM &amp; IM Mapping'!$A$2:$A$270,0)),"Not Mapped"))</f>
        <v>Not Mapped</v>
      </c>
      <c r="D1149" s="40" t="str">
        <f aca="false">IF(B1149="","",IFERROR(INDEX('CLM &amp; IM Mapping'!$C$2:$C$270,MATCH(TRIM(B1149),'CLM &amp; IM Mapping'!$A$2:$A$270,0)),"Not Mapped"))</f>
        <v>Not Mapped</v>
      </c>
      <c r="E1149" s="41" t="n">
        <v>1388</v>
      </c>
      <c r="F1149" s="41" t="n">
        <v>0</v>
      </c>
      <c r="G1149" s="41" t="n">
        <v>1388</v>
      </c>
      <c r="H1149" s="41" t="n">
        <v>0</v>
      </c>
      <c r="I1149" s="41" t="n">
        <v>0</v>
      </c>
      <c r="J1149" s="41" t="n">
        <v>0</v>
      </c>
      <c r="K1149" s="41" t="n">
        <v>0</v>
      </c>
      <c r="L1149" s="41" t="n">
        <v>0</v>
      </c>
    </row>
    <row r="1150" customFormat="false" ht="15.75" hidden="false" customHeight="false" outlineLevel="0" collapsed="false">
      <c r="B1150" s="39" t="s">
        <v>1282</v>
      </c>
      <c r="C1150" s="40" t="str">
        <f aca="false">IF(B1150="","",IFERROR(INDEX('CLM &amp; IM Mapping'!$B$2:$B$270,MATCH(TRIM(B1150),'CLM &amp; IM Mapping'!$A$2:$A$270,0)),"Not Mapped"))</f>
        <v>Not Mapped</v>
      </c>
      <c r="D1150" s="40" t="str">
        <f aca="false">IF(B1150="","",IFERROR(INDEX('CLM &amp; IM Mapping'!$C$2:$C$270,MATCH(TRIM(B1150),'CLM &amp; IM Mapping'!$A$2:$A$270,0)),"Not Mapped"))</f>
        <v>Not Mapped</v>
      </c>
      <c r="E1150" s="41" t="n">
        <v>1</v>
      </c>
      <c r="F1150" s="41" t="n">
        <v>0</v>
      </c>
      <c r="G1150" s="41" t="n">
        <v>1</v>
      </c>
      <c r="H1150" s="41" t="n">
        <v>0</v>
      </c>
      <c r="I1150" s="41" t="n">
        <v>0</v>
      </c>
      <c r="J1150" s="41" t="n">
        <v>0</v>
      </c>
      <c r="K1150" s="41" t="n">
        <v>0</v>
      </c>
      <c r="L1150" s="41" t="n">
        <v>0</v>
      </c>
    </row>
    <row r="1151" customFormat="false" ht="15.75" hidden="false" customHeight="false" outlineLevel="0" collapsed="false">
      <c r="B1151" s="39" t="s">
        <v>1283</v>
      </c>
      <c r="C1151" s="40" t="str">
        <f aca="false">IF(B1151="","",IFERROR(INDEX('CLM &amp; IM Mapping'!$B$2:$B$270,MATCH(TRIM(B1151),'CLM &amp; IM Mapping'!$A$2:$A$270,0)),"Not Mapped"))</f>
        <v>Not Mapped</v>
      </c>
      <c r="D1151" s="40" t="str">
        <f aca="false">IF(B1151="","",IFERROR(INDEX('CLM &amp; IM Mapping'!$C$2:$C$270,MATCH(TRIM(B1151),'CLM &amp; IM Mapping'!$A$2:$A$270,0)),"Not Mapped"))</f>
        <v>Not Mapped</v>
      </c>
      <c r="E1151" s="41" t="n">
        <v>742</v>
      </c>
      <c r="F1151" s="41" t="n">
        <v>494</v>
      </c>
      <c r="G1151" s="41" t="n">
        <v>228</v>
      </c>
      <c r="H1151" s="41" t="n">
        <v>0</v>
      </c>
      <c r="I1151" s="41" t="n">
        <v>20</v>
      </c>
      <c r="J1151" s="41" t="n">
        <v>0</v>
      </c>
      <c r="K1151" s="41" t="n">
        <v>0</v>
      </c>
      <c r="L1151" s="41" t="n">
        <v>20</v>
      </c>
    </row>
    <row r="1152" customFormat="false" ht="15.75" hidden="false" customHeight="false" outlineLevel="0" collapsed="false">
      <c r="B1152" s="39" t="s">
        <v>1284</v>
      </c>
      <c r="C1152" s="40" t="str">
        <f aca="false">IF(B1152="","",IFERROR(INDEX('CLM &amp; IM Mapping'!$B$2:$B$270,MATCH(TRIM(B1152),'CLM &amp; IM Mapping'!$A$2:$A$270,0)),"Not Mapped"))</f>
        <v>Not Mapped</v>
      </c>
      <c r="D1152" s="40" t="str">
        <f aca="false">IF(B1152="","",IFERROR(INDEX('CLM &amp; IM Mapping'!$C$2:$C$270,MATCH(TRIM(B1152),'CLM &amp; IM Mapping'!$A$2:$A$270,0)),"Not Mapped"))</f>
        <v>Not Mapped</v>
      </c>
      <c r="E1152" s="41" t="n">
        <v>402</v>
      </c>
      <c r="F1152" s="41" t="n">
        <v>0</v>
      </c>
      <c r="G1152" s="41" t="n">
        <v>387</v>
      </c>
      <c r="H1152" s="41" t="n">
        <v>0</v>
      </c>
      <c r="I1152" s="41" t="n">
        <v>13</v>
      </c>
      <c r="J1152" s="41" t="n">
        <v>0</v>
      </c>
      <c r="K1152" s="41" t="n">
        <v>2</v>
      </c>
      <c r="L1152" s="41" t="n">
        <v>15</v>
      </c>
    </row>
    <row r="1153" customFormat="false" ht="15.75" hidden="false" customHeight="false" outlineLevel="0" collapsed="false">
      <c r="B1153" s="39" t="s">
        <v>1285</v>
      </c>
      <c r="C1153" s="40" t="str">
        <f aca="false">IF(B1153="","",IFERROR(INDEX('CLM &amp; IM Mapping'!$B$2:$B$270,MATCH(TRIM(B1153),'CLM &amp; IM Mapping'!$A$2:$A$270,0)),"Not Mapped"))</f>
        <v>Not Mapped</v>
      </c>
      <c r="D1153" s="40" t="str">
        <f aca="false">IF(B1153="","",IFERROR(INDEX('CLM &amp; IM Mapping'!$C$2:$C$270,MATCH(TRIM(B1153),'CLM &amp; IM Mapping'!$A$2:$A$270,0)),"Not Mapped"))</f>
        <v>Not Mapped</v>
      </c>
      <c r="E1153" s="41" t="n">
        <v>6935</v>
      </c>
      <c r="F1153" s="41" t="n">
        <v>4001</v>
      </c>
      <c r="G1153" s="41" t="n">
        <v>0</v>
      </c>
      <c r="H1153" s="41" t="n">
        <v>1861</v>
      </c>
      <c r="I1153" s="41" t="n">
        <v>1031</v>
      </c>
      <c r="J1153" s="41" t="n">
        <v>42</v>
      </c>
      <c r="K1153" s="41" t="n">
        <v>0</v>
      </c>
      <c r="L1153" s="41" t="n">
        <v>2934</v>
      </c>
    </row>
    <row r="1154" customFormat="false" ht="15.75" hidden="false" customHeight="false" outlineLevel="0" collapsed="false">
      <c r="B1154" s="39" t="s">
        <v>1286</v>
      </c>
      <c r="C1154" s="40" t="str">
        <f aca="false">IF(B1154="","",IFERROR(INDEX('CLM &amp; IM Mapping'!$B$2:$B$270,MATCH(TRIM(B1154),'CLM &amp; IM Mapping'!$A$2:$A$270,0)),"Not Mapped"))</f>
        <v>Not Mapped</v>
      </c>
      <c r="D1154" s="40" t="str">
        <f aca="false">IF(B1154="","",IFERROR(INDEX('CLM &amp; IM Mapping'!$C$2:$C$270,MATCH(TRIM(B1154),'CLM &amp; IM Mapping'!$A$2:$A$270,0)),"Not Mapped"))</f>
        <v>Not Mapped</v>
      </c>
      <c r="E1154" s="41" t="n">
        <v>0</v>
      </c>
      <c r="F1154" s="41" t="n">
        <v>0</v>
      </c>
      <c r="G1154" s="41" t="n">
        <v>0</v>
      </c>
      <c r="H1154" s="41" t="n">
        <v>0</v>
      </c>
      <c r="I1154" s="41" t="n">
        <v>0</v>
      </c>
      <c r="J1154" s="41" t="n">
        <v>0</v>
      </c>
      <c r="K1154" s="41" t="n">
        <v>0</v>
      </c>
      <c r="L1154" s="41" t="n">
        <v>0</v>
      </c>
    </row>
    <row r="1155" customFormat="false" ht="15.75" hidden="false" customHeight="false" outlineLevel="0" collapsed="false">
      <c r="B1155" s="39" t="s">
        <v>1287</v>
      </c>
      <c r="C1155" s="40" t="str">
        <f aca="false">IF(B1155="","",IFERROR(INDEX('CLM &amp; IM Mapping'!$B$2:$B$270,MATCH(TRIM(B1155),'CLM &amp; IM Mapping'!$A$2:$A$270,0)),"Not Mapped"))</f>
        <v>Not Mapped</v>
      </c>
      <c r="D1155" s="40" t="str">
        <f aca="false">IF(B1155="","",IFERROR(INDEX('CLM &amp; IM Mapping'!$C$2:$C$270,MATCH(TRIM(B1155),'CLM &amp; IM Mapping'!$A$2:$A$270,0)),"Not Mapped"))</f>
        <v>Not Mapped</v>
      </c>
      <c r="E1155" s="41" t="n">
        <v>2936</v>
      </c>
      <c r="F1155" s="41" t="n">
        <v>846</v>
      </c>
      <c r="G1155" s="41" t="n">
        <v>2076</v>
      </c>
      <c r="H1155" s="41" t="n">
        <v>0</v>
      </c>
      <c r="I1155" s="41" t="n">
        <v>0</v>
      </c>
      <c r="J1155" s="41" t="n">
        <v>0</v>
      </c>
      <c r="K1155" s="41" t="n">
        <v>14</v>
      </c>
      <c r="L1155" s="41" t="n">
        <v>14</v>
      </c>
    </row>
    <row r="1156" customFormat="false" ht="15.75" hidden="false" customHeight="false" outlineLevel="0" collapsed="false">
      <c r="B1156" s="39" t="s">
        <v>1288</v>
      </c>
      <c r="C1156" s="40" t="str">
        <f aca="false">IF(B1156="","",IFERROR(INDEX('CLM &amp; IM Mapping'!$B$2:$B$270,MATCH(TRIM(B1156),'CLM &amp; IM Mapping'!$A$2:$A$270,0)),"Not Mapped"))</f>
        <v>Not Mapped</v>
      </c>
      <c r="D1156" s="40" t="str">
        <f aca="false">IF(B1156="","",IFERROR(INDEX('CLM &amp; IM Mapping'!$C$2:$C$270,MATCH(TRIM(B1156),'CLM &amp; IM Mapping'!$A$2:$A$270,0)),"Not Mapped"))</f>
        <v>Not Mapped</v>
      </c>
      <c r="E1156" s="41" t="n">
        <v>4215</v>
      </c>
      <c r="F1156" s="41" t="n">
        <v>2668</v>
      </c>
      <c r="G1156" s="41" t="n">
        <v>1547</v>
      </c>
      <c r="H1156" s="41" t="n">
        <v>0</v>
      </c>
      <c r="I1156" s="41" t="n">
        <v>0</v>
      </c>
      <c r="J1156" s="41" t="n">
        <v>0</v>
      </c>
      <c r="K1156" s="41" t="n">
        <v>0</v>
      </c>
      <c r="L1156" s="41" t="n">
        <v>0</v>
      </c>
    </row>
    <row r="1157" customFormat="false" ht="15.75" hidden="false" customHeight="false" outlineLevel="0" collapsed="false">
      <c r="B1157" s="39" t="s">
        <v>1289</v>
      </c>
      <c r="C1157" s="40" t="str">
        <f aca="false">IF(B1157="","",IFERROR(INDEX('CLM &amp; IM Mapping'!$B$2:$B$270,MATCH(TRIM(B1157),'CLM &amp; IM Mapping'!$A$2:$A$270,0)),"Not Mapped"))</f>
        <v>Not Mapped</v>
      </c>
      <c r="D1157" s="40" t="str">
        <f aca="false">IF(B1157="","",IFERROR(INDEX('CLM &amp; IM Mapping'!$C$2:$C$270,MATCH(TRIM(B1157),'CLM &amp; IM Mapping'!$A$2:$A$270,0)),"Not Mapped"))</f>
        <v>Not Mapped</v>
      </c>
      <c r="E1157" s="41" t="n">
        <v>1773</v>
      </c>
      <c r="F1157" s="41" t="n">
        <v>0</v>
      </c>
      <c r="G1157" s="41" t="n">
        <v>1773</v>
      </c>
      <c r="H1157" s="41" t="n">
        <v>0</v>
      </c>
      <c r="I1157" s="41" t="n">
        <v>0</v>
      </c>
      <c r="J1157" s="41" t="n">
        <v>0</v>
      </c>
      <c r="K1157" s="41" t="n">
        <v>0</v>
      </c>
      <c r="L1157" s="41" t="n">
        <v>0</v>
      </c>
    </row>
    <row r="1158" customFormat="false" ht="15.75" hidden="false" customHeight="false" outlineLevel="0" collapsed="false">
      <c r="B1158" s="39" t="s">
        <v>1290</v>
      </c>
      <c r="C1158" s="40" t="str">
        <f aca="false">IF(B1158="","",IFERROR(INDEX('CLM &amp; IM Mapping'!$B$2:$B$270,MATCH(TRIM(B1158),'CLM &amp; IM Mapping'!$A$2:$A$270,0)),"Not Mapped"))</f>
        <v>Not Mapped</v>
      </c>
      <c r="D1158" s="40" t="str">
        <f aca="false">IF(B1158="","",IFERROR(INDEX('CLM &amp; IM Mapping'!$C$2:$C$270,MATCH(TRIM(B1158),'CLM &amp; IM Mapping'!$A$2:$A$270,0)),"Not Mapped"))</f>
        <v>Not Mapped</v>
      </c>
      <c r="E1158" s="41" t="n">
        <v>3543</v>
      </c>
      <c r="F1158" s="41" t="n">
        <v>3543</v>
      </c>
      <c r="G1158" s="41" t="n">
        <v>0</v>
      </c>
      <c r="H1158" s="41" t="n">
        <v>0</v>
      </c>
      <c r="I1158" s="41" t="n">
        <v>0</v>
      </c>
      <c r="J1158" s="41" t="n">
        <v>0</v>
      </c>
      <c r="K1158" s="41" t="n">
        <v>0</v>
      </c>
      <c r="L1158" s="41" t="n">
        <v>0</v>
      </c>
    </row>
    <row r="1159" customFormat="false" ht="15.75" hidden="false" customHeight="false" outlineLevel="0" collapsed="false">
      <c r="B1159" s="39" t="s">
        <v>1291</v>
      </c>
      <c r="C1159" s="40" t="str">
        <f aca="false">IF(B1159="","",IFERROR(INDEX('CLM &amp; IM Mapping'!$B$2:$B$270,MATCH(TRIM(B1159),'CLM &amp; IM Mapping'!$A$2:$A$270,0)),"Not Mapped"))</f>
        <v>Not Mapped</v>
      </c>
      <c r="D1159" s="40" t="str">
        <f aca="false">IF(B1159="","",IFERROR(INDEX('CLM &amp; IM Mapping'!$C$2:$C$270,MATCH(TRIM(B1159),'CLM &amp; IM Mapping'!$A$2:$A$270,0)),"Not Mapped"))</f>
        <v>Not Mapped</v>
      </c>
      <c r="E1159" s="41" t="n">
        <v>540</v>
      </c>
      <c r="F1159" s="41" t="n">
        <v>540</v>
      </c>
      <c r="G1159" s="41" t="n">
        <v>0</v>
      </c>
      <c r="H1159" s="41" t="n">
        <v>0</v>
      </c>
      <c r="I1159" s="41" t="n">
        <v>0</v>
      </c>
      <c r="J1159" s="41" t="n">
        <v>0</v>
      </c>
      <c r="K1159" s="41" t="n">
        <v>0</v>
      </c>
      <c r="L1159" s="41" t="n">
        <v>0</v>
      </c>
    </row>
    <row r="1160" customFormat="false" ht="15.75" hidden="false" customHeight="false" outlineLevel="0" collapsed="false">
      <c r="B1160" s="39" t="s">
        <v>1292</v>
      </c>
      <c r="C1160" s="40" t="str">
        <f aca="false">IF(B1160="","",IFERROR(INDEX('CLM &amp; IM Mapping'!$B$2:$B$270,MATCH(TRIM(B1160),'CLM &amp; IM Mapping'!$A$2:$A$270,0)),"Not Mapped"))</f>
        <v>Not Mapped</v>
      </c>
      <c r="D1160" s="40" t="str">
        <f aca="false">IF(B1160="","",IFERROR(INDEX('CLM &amp; IM Mapping'!$C$2:$C$270,MATCH(TRIM(B1160),'CLM &amp; IM Mapping'!$A$2:$A$270,0)),"Not Mapped"))</f>
        <v>Not Mapped</v>
      </c>
      <c r="E1160" s="41" t="n">
        <v>0</v>
      </c>
      <c r="F1160" s="41" t="n">
        <v>0</v>
      </c>
      <c r="G1160" s="41" t="n">
        <v>0</v>
      </c>
      <c r="H1160" s="41" t="n">
        <v>0</v>
      </c>
      <c r="I1160" s="41" t="n">
        <v>0</v>
      </c>
      <c r="J1160" s="41" t="n">
        <v>0</v>
      </c>
      <c r="K1160" s="41" t="n">
        <v>0</v>
      </c>
      <c r="L1160" s="41" t="n">
        <v>0</v>
      </c>
    </row>
    <row r="1161" customFormat="false" ht="15.75" hidden="false" customHeight="false" outlineLevel="0" collapsed="false">
      <c r="B1161" s="39" t="s">
        <v>1293</v>
      </c>
      <c r="C1161" s="40" t="str">
        <f aca="false">IF(B1161="","",IFERROR(INDEX('CLM &amp; IM Mapping'!$B$2:$B$270,MATCH(TRIM(B1161),'CLM &amp; IM Mapping'!$A$2:$A$270,0)),"Not Mapped"))</f>
        <v>Not Mapped</v>
      </c>
      <c r="D1161" s="40" t="str">
        <f aca="false">IF(B1161="","",IFERROR(INDEX('CLM &amp; IM Mapping'!$C$2:$C$270,MATCH(TRIM(B1161),'CLM &amp; IM Mapping'!$A$2:$A$270,0)),"Not Mapped"))</f>
        <v>Not Mapped</v>
      </c>
      <c r="E1161" s="41" t="n">
        <v>0</v>
      </c>
      <c r="F1161" s="41" t="n">
        <v>0</v>
      </c>
      <c r="G1161" s="41" t="n">
        <v>0</v>
      </c>
      <c r="H1161" s="41" t="n">
        <v>0</v>
      </c>
      <c r="I1161" s="41" t="n">
        <v>0</v>
      </c>
      <c r="J1161" s="41" t="n">
        <v>0</v>
      </c>
      <c r="K1161" s="41" t="n">
        <v>0</v>
      </c>
      <c r="L1161" s="41" t="n">
        <v>0</v>
      </c>
    </row>
    <row r="1162" customFormat="false" ht="15.75" hidden="false" customHeight="false" outlineLevel="0" collapsed="false">
      <c r="B1162" s="39" t="s">
        <v>1294</v>
      </c>
      <c r="C1162" s="40" t="str">
        <f aca="false">IF(B1162="","",IFERROR(INDEX('CLM &amp; IM Mapping'!$B$2:$B$270,MATCH(TRIM(B1162),'CLM &amp; IM Mapping'!$A$2:$A$270,0)),"Not Mapped"))</f>
        <v>Not Mapped</v>
      </c>
      <c r="D1162" s="40" t="str">
        <f aca="false">IF(B1162="","",IFERROR(INDEX('CLM &amp; IM Mapping'!$C$2:$C$270,MATCH(TRIM(B1162),'CLM &amp; IM Mapping'!$A$2:$A$270,0)),"Not Mapped"))</f>
        <v>Not Mapped</v>
      </c>
      <c r="E1162" s="41" t="n">
        <v>294</v>
      </c>
      <c r="F1162" s="41" t="n">
        <v>268</v>
      </c>
      <c r="G1162" s="41" t="n">
        <v>21</v>
      </c>
      <c r="H1162" s="41" t="n">
        <v>5</v>
      </c>
      <c r="I1162" s="41" t="n">
        <v>0</v>
      </c>
      <c r="J1162" s="41" t="n">
        <v>0</v>
      </c>
      <c r="K1162" s="41" t="n">
        <v>0</v>
      </c>
      <c r="L1162" s="41" t="n">
        <v>5</v>
      </c>
    </row>
    <row r="1163" customFormat="false" ht="15.75" hidden="false" customHeight="false" outlineLevel="0" collapsed="false">
      <c r="B1163" s="39" t="s">
        <v>1295</v>
      </c>
      <c r="C1163" s="40" t="str">
        <f aca="false">IF(B1163="","",IFERROR(INDEX('CLM &amp; IM Mapping'!$B$2:$B$270,MATCH(TRIM(B1163),'CLM &amp; IM Mapping'!$A$2:$A$270,0)),"Not Mapped"))</f>
        <v>Not Mapped</v>
      </c>
      <c r="D1163" s="40" t="str">
        <f aca="false">IF(B1163="","",IFERROR(INDEX('CLM &amp; IM Mapping'!$C$2:$C$270,MATCH(TRIM(B1163),'CLM &amp; IM Mapping'!$A$2:$A$270,0)),"Not Mapped"))</f>
        <v>Not Mapped</v>
      </c>
      <c r="E1163" s="41" t="n">
        <v>0</v>
      </c>
      <c r="F1163" s="41" t="n">
        <v>0</v>
      </c>
      <c r="G1163" s="41" t="n">
        <v>0</v>
      </c>
      <c r="H1163" s="41" t="n">
        <v>0</v>
      </c>
      <c r="I1163" s="41" t="n">
        <v>0</v>
      </c>
      <c r="J1163" s="41" t="n">
        <v>0</v>
      </c>
      <c r="K1163" s="41" t="n">
        <v>0</v>
      </c>
      <c r="L1163" s="41" t="n">
        <v>0</v>
      </c>
    </row>
    <row r="1164" customFormat="false" ht="15.75" hidden="false" customHeight="false" outlineLevel="0" collapsed="false">
      <c r="B1164" s="39" t="s">
        <v>1296</v>
      </c>
      <c r="C1164" s="40" t="str">
        <f aca="false">IF(B1164="","",IFERROR(INDEX('CLM &amp; IM Mapping'!$B$2:$B$270,MATCH(TRIM(B1164),'CLM &amp; IM Mapping'!$A$2:$A$270,0)),"Not Mapped"))</f>
        <v>Not Mapped</v>
      </c>
      <c r="D1164" s="40" t="str">
        <f aca="false">IF(B1164="","",IFERROR(INDEX('CLM &amp; IM Mapping'!$C$2:$C$270,MATCH(TRIM(B1164),'CLM &amp; IM Mapping'!$A$2:$A$270,0)),"Not Mapped"))</f>
        <v>Not Mapped</v>
      </c>
      <c r="E1164" s="41" t="n">
        <v>6280</v>
      </c>
      <c r="F1164" s="41" t="n">
        <v>5195</v>
      </c>
      <c r="G1164" s="41" t="n">
        <v>134</v>
      </c>
      <c r="H1164" s="41" t="n">
        <v>0</v>
      </c>
      <c r="I1164" s="41" t="n">
        <v>459</v>
      </c>
      <c r="J1164" s="41" t="n">
        <v>300</v>
      </c>
      <c r="K1164" s="41" t="n">
        <v>192</v>
      </c>
      <c r="L1164" s="41" t="n">
        <v>951</v>
      </c>
    </row>
    <row r="1165" customFormat="false" ht="15.75" hidden="false" customHeight="false" outlineLevel="0" collapsed="false">
      <c r="B1165" s="39" t="s">
        <v>1297</v>
      </c>
      <c r="C1165" s="40" t="str">
        <f aca="false">IF(B1165="","",IFERROR(INDEX('CLM &amp; IM Mapping'!$B$2:$B$270,MATCH(TRIM(B1165),'CLM &amp; IM Mapping'!$A$2:$A$270,0)),"Not Mapped"))</f>
        <v>Not Mapped</v>
      </c>
      <c r="D1165" s="40" t="str">
        <f aca="false">IF(B1165="","",IFERROR(INDEX('CLM &amp; IM Mapping'!$C$2:$C$270,MATCH(TRIM(B1165),'CLM &amp; IM Mapping'!$A$2:$A$270,0)),"Not Mapped"))</f>
        <v>Not Mapped</v>
      </c>
      <c r="E1165" s="41" t="n">
        <v>3137</v>
      </c>
      <c r="F1165" s="41" t="n">
        <v>2634</v>
      </c>
      <c r="G1165" s="41" t="n">
        <v>0</v>
      </c>
      <c r="H1165" s="41" t="n">
        <v>0</v>
      </c>
      <c r="I1165" s="41" t="n">
        <v>466</v>
      </c>
      <c r="J1165" s="41" t="n">
        <v>0</v>
      </c>
      <c r="K1165" s="41" t="n">
        <v>37</v>
      </c>
      <c r="L1165" s="41" t="n">
        <v>503</v>
      </c>
    </row>
    <row r="1166" customFormat="false" ht="15.75" hidden="false" customHeight="false" outlineLevel="0" collapsed="false">
      <c r="B1166" s="39" t="s">
        <v>1298</v>
      </c>
      <c r="C1166" s="40" t="str">
        <f aca="false">IF(B1166="","",IFERROR(INDEX('CLM &amp; IM Mapping'!$B$2:$B$270,MATCH(TRIM(B1166),'CLM &amp; IM Mapping'!$A$2:$A$270,0)),"Not Mapped"))</f>
        <v>Not Mapped</v>
      </c>
      <c r="D1166" s="40" t="str">
        <f aca="false">IF(B1166="","",IFERROR(INDEX('CLM &amp; IM Mapping'!$C$2:$C$270,MATCH(TRIM(B1166),'CLM &amp; IM Mapping'!$A$2:$A$270,0)),"Not Mapped"))</f>
        <v>Not Mapped</v>
      </c>
      <c r="E1166" s="41" t="n">
        <v>2044</v>
      </c>
      <c r="F1166" s="41" t="n">
        <v>3</v>
      </c>
      <c r="G1166" s="41" t="n">
        <v>2041</v>
      </c>
      <c r="H1166" s="41" t="n">
        <v>0</v>
      </c>
      <c r="I1166" s="41" t="n">
        <v>0</v>
      </c>
      <c r="J1166" s="41" t="n">
        <v>0</v>
      </c>
      <c r="K1166" s="41" t="n">
        <v>0</v>
      </c>
      <c r="L1166" s="41" t="n">
        <v>0</v>
      </c>
    </row>
    <row r="1167" customFormat="false" ht="15.75" hidden="false" customHeight="false" outlineLevel="0" collapsed="false">
      <c r="B1167" s="39" t="s">
        <v>1299</v>
      </c>
      <c r="C1167" s="40" t="str">
        <f aca="false">IF(B1167="","",IFERROR(INDEX('CLM &amp; IM Mapping'!$B$2:$B$270,MATCH(TRIM(B1167),'CLM &amp; IM Mapping'!$A$2:$A$270,0)),"Not Mapped"))</f>
        <v>Not Mapped</v>
      </c>
      <c r="D1167" s="40" t="str">
        <f aca="false">IF(B1167="","",IFERROR(INDEX('CLM &amp; IM Mapping'!$C$2:$C$270,MATCH(TRIM(B1167),'CLM &amp; IM Mapping'!$A$2:$A$270,0)),"Not Mapped"))</f>
        <v>Not Mapped</v>
      </c>
      <c r="E1167" s="41" t="n">
        <v>1225</v>
      </c>
      <c r="F1167" s="41" t="n">
        <v>0</v>
      </c>
      <c r="G1167" s="41" t="n">
        <v>724</v>
      </c>
      <c r="H1167" s="41" t="n">
        <v>501</v>
      </c>
      <c r="I1167" s="41" t="n">
        <v>0</v>
      </c>
      <c r="J1167" s="41" t="n">
        <v>0</v>
      </c>
      <c r="K1167" s="41" t="n">
        <v>0</v>
      </c>
      <c r="L1167" s="41" t="n">
        <v>501</v>
      </c>
    </row>
    <row r="1168" customFormat="false" ht="15.75" hidden="false" customHeight="false" outlineLevel="0" collapsed="false">
      <c r="B1168" s="39" t="s">
        <v>1300</v>
      </c>
      <c r="C1168" s="40" t="str">
        <f aca="false">IF(B1168="","",IFERROR(INDEX('CLM &amp; IM Mapping'!$B$2:$B$270,MATCH(TRIM(B1168),'CLM &amp; IM Mapping'!$A$2:$A$270,0)),"Not Mapped"))</f>
        <v>Not Mapped</v>
      </c>
      <c r="D1168" s="40" t="str">
        <f aca="false">IF(B1168="","",IFERROR(INDEX('CLM &amp; IM Mapping'!$C$2:$C$270,MATCH(TRIM(B1168),'CLM &amp; IM Mapping'!$A$2:$A$270,0)),"Not Mapped"))</f>
        <v>Not Mapped</v>
      </c>
      <c r="E1168" s="41" t="n">
        <v>63</v>
      </c>
      <c r="F1168" s="41" t="n">
        <v>63</v>
      </c>
      <c r="G1168" s="41" t="n">
        <v>0</v>
      </c>
      <c r="H1168" s="41" t="n">
        <v>0</v>
      </c>
      <c r="I1168" s="41" t="n">
        <v>0</v>
      </c>
      <c r="J1168" s="41" t="n">
        <v>0</v>
      </c>
      <c r="K1168" s="41" t="n">
        <v>0</v>
      </c>
      <c r="L1168" s="41" t="n">
        <v>0</v>
      </c>
    </row>
    <row r="1169" customFormat="false" ht="15.75" hidden="false" customHeight="false" outlineLevel="0" collapsed="false">
      <c r="B1169" s="39" t="s">
        <v>1301</v>
      </c>
      <c r="C1169" s="40" t="str">
        <f aca="false">IF(B1169="","",IFERROR(INDEX('CLM &amp; IM Mapping'!$B$2:$B$270,MATCH(TRIM(B1169),'CLM &amp; IM Mapping'!$A$2:$A$270,0)),"Not Mapped"))</f>
        <v>Not Mapped</v>
      </c>
      <c r="D1169" s="40" t="str">
        <f aca="false">IF(B1169="","",IFERROR(INDEX('CLM &amp; IM Mapping'!$C$2:$C$270,MATCH(TRIM(B1169),'CLM &amp; IM Mapping'!$A$2:$A$270,0)),"Not Mapped"))</f>
        <v>Not Mapped</v>
      </c>
      <c r="E1169" s="41" t="n">
        <v>2586</v>
      </c>
      <c r="F1169" s="41" t="n">
        <v>2558</v>
      </c>
      <c r="G1169" s="41" t="n">
        <v>0</v>
      </c>
      <c r="H1169" s="41" t="n">
        <v>28</v>
      </c>
      <c r="I1169" s="41" t="n">
        <v>0</v>
      </c>
      <c r="J1169" s="41" t="n">
        <v>0</v>
      </c>
      <c r="K1169" s="41" t="n">
        <v>0</v>
      </c>
      <c r="L1169" s="41" t="n">
        <v>28</v>
      </c>
    </row>
    <row r="1170" customFormat="false" ht="15.75" hidden="false" customHeight="false" outlineLevel="0" collapsed="false">
      <c r="B1170" s="39" t="s">
        <v>1302</v>
      </c>
      <c r="C1170" s="40" t="str">
        <f aca="false">IF(B1170="","",IFERROR(INDEX('CLM &amp; IM Mapping'!$B$2:$B$270,MATCH(TRIM(B1170),'CLM &amp; IM Mapping'!$A$2:$A$270,0)),"Not Mapped"))</f>
        <v>Not Mapped</v>
      </c>
      <c r="D1170" s="40" t="str">
        <f aca="false">IF(B1170="","",IFERROR(INDEX('CLM &amp; IM Mapping'!$C$2:$C$270,MATCH(TRIM(B1170),'CLM &amp; IM Mapping'!$A$2:$A$270,0)),"Not Mapped"))</f>
        <v>Not Mapped</v>
      </c>
      <c r="E1170" s="41" t="n">
        <v>0</v>
      </c>
      <c r="F1170" s="41" t="n">
        <v>0</v>
      </c>
      <c r="G1170" s="41" t="n">
        <v>0</v>
      </c>
      <c r="H1170" s="41" t="n">
        <v>0</v>
      </c>
      <c r="I1170" s="41" t="n">
        <v>0</v>
      </c>
      <c r="J1170" s="41" t="n">
        <v>0</v>
      </c>
      <c r="K1170" s="41" t="n">
        <v>0</v>
      </c>
      <c r="L1170" s="41" t="n">
        <v>0</v>
      </c>
    </row>
    <row r="1171" customFormat="false" ht="15.75" hidden="false" customHeight="false" outlineLevel="0" collapsed="false">
      <c r="B1171" s="39" t="s">
        <v>1303</v>
      </c>
      <c r="C1171" s="40" t="str">
        <f aca="false">IF(B1171="","",IFERROR(INDEX('CLM &amp; IM Mapping'!$B$2:$B$270,MATCH(TRIM(B1171),'CLM &amp; IM Mapping'!$A$2:$A$270,0)),"Not Mapped"))</f>
        <v>Not Mapped</v>
      </c>
      <c r="D1171" s="40" t="str">
        <f aca="false">IF(B1171="","",IFERROR(INDEX('CLM &amp; IM Mapping'!$C$2:$C$270,MATCH(TRIM(B1171),'CLM &amp; IM Mapping'!$A$2:$A$270,0)),"Not Mapped"))</f>
        <v>Not Mapped</v>
      </c>
      <c r="E1171" s="41" t="n">
        <v>813</v>
      </c>
      <c r="F1171" s="41" t="n">
        <v>813</v>
      </c>
      <c r="G1171" s="41" t="n">
        <v>0</v>
      </c>
      <c r="H1171" s="41" t="n">
        <v>0</v>
      </c>
      <c r="I1171" s="41" t="n">
        <v>0</v>
      </c>
      <c r="J1171" s="41" t="n">
        <v>0</v>
      </c>
      <c r="K1171" s="41" t="n">
        <v>0</v>
      </c>
      <c r="L1171" s="41" t="n">
        <v>0</v>
      </c>
    </row>
    <row r="1172" customFormat="false" ht="15.75" hidden="false" customHeight="false" outlineLevel="0" collapsed="false">
      <c r="B1172" s="39" t="s">
        <v>1304</v>
      </c>
      <c r="C1172" s="40" t="str">
        <f aca="false">IF(B1172="","",IFERROR(INDEX('CLM &amp; IM Mapping'!$B$2:$B$270,MATCH(TRIM(B1172),'CLM &amp; IM Mapping'!$A$2:$A$270,0)),"Not Mapped"))</f>
        <v>Not Mapped</v>
      </c>
      <c r="D1172" s="40" t="str">
        <f aca="false">IF(B1172="","",IFERROR(INDEX('CLM &amp; IM Mapping'!$C$2:$C$270,MATCH(TRIM(B1172),'CLM &amp; IM Mapping'!$A$2:$A$270,0)),"Not Mapped"))</f>
        <v>Not Mapped</v>
      </c>
      <c r="E1172" s="41" t="n">
        <v>242</v>
      </c>
      <c r="F1172" s="41" t="n">
        <v>0</v>
      </c>
      <c r="G1172" s="41" t="n">
        <v>242</v>
      </c>
      <c r="H1172" s="41" t="n">
        <v>0</v>
      </c>
      <c r="I1172" s="41" t="n">
        <v>0</v>
      </c>
      <c r="J1172" s="41" t="n">
        <v>0</v>
      </c>
      <c r="K1172" s="41" t="n">
        <v>0</v>
      </c>
      <c r="L1172" s="41" t="n">
        <v>0</v>
      </c>
    </row>
    <row r="1173" customFormat="false" ht="15.75" hidden="false" customHeight="false" outlineLevel="0" collapsed="false">
      <c r="B1173" s="39" t="s">
        <v>1305</v>
      </c>
      <c r="C1173" s="40" t="str">
        <f aca="false">IF(B1173="","",IFERROR(INDEX('CLM &amp; IM Mapping'!$B$2:$B$270,MATCH(TRIM(B1173),'CLM &amp; IM Mapping'!$A$2:$A$270,0)),"Not Mapped"))</f>
        <v>Not Mapped</v>
      </c>
      <c r="D1173" s="40" t="str">
        <f aca="false">IF(B1173="","",IFERROR(INDEX('CLM &amp; IM Mapping'!$C$2:$C$270,MATCH(TRIM(B1173),'CLM &amp; IM Mapping'!$A$2:$A$270,0)),"Not Mapped"))</f>
        <v>Not Mapped</v>
      </c>
      <c r="E1173" s="41" t="n">
        <v>688</v>
      </c>
      <c r="F1173" s="41" t="n">
        <v>0</v>
      </c>
      <c r="G1173" s="41" t="n">
        <v>0</v>
      </c>
      <c r="H1173" s="41" t="n">
        <v>688</v>
      </c>
      <c r="I1173" s="41" t="n">
        <v>0</v>
      </c>
      <c r="J1173" s="41" t="n">
        <v>0</v>
      </c>
      <c r="K1173" s="41" t="n">
        <v>0</v>
      </c>
      <c r="L1173" s="41" t="n">
        <v>688</v>
      </c>
    </row>
    <row r="1174" customFormat="false" ht="15.75" hidden="false" customHeight="false" outlineLevel="0" collapsed="false">
      <c r="B1174" s="39" t="s">
        <v>1306</v>
      </c>
      <c r="C1174" s="40" t="str">
        <f aca="false">IF(B1174="","",IFERROR(INDEX('CLM &amp; IM Mapping'!$B$2:$B$270,MATCH(TRIM(B1174),'CLM &amp; IM Mapping'!$A$2:$A$270,0)),"Not Mapped"))</f>
        <v>Not Mapped</v>
      </c>
      <c r="D1174" s="40" t="str">
        <f aca="false">IF(B1174="","",IFERROR(INDEX('CLM &amp; IM Mapping'!$C$2:$C$270,MATCH(TRIM(B1174),'CLM &amp; IM Mapping'!$A$2:$A$270,0)),"Not Mapped"))</f>
        <v>Not Mapped</v>
      </c>
      <c r="E1174" s="41" t="n">
        <v>2318</v>
      </c>
      <c r="F1174" s="41" t="n">
        <v>2318</v>
      </c>
      <c r="G1174" s="41" t="n">
        <v>0</v>
      </c>
      <c r="H1174" s="41" t="n">
        <v>0</v>
      </c>
      <c r="I1174" s="41" t="n">
        <v>0</v>
      </c>
      <c r="J1174" s="41" t="n">
        <v>0</v>
      </c>
      <c r="K1174" s="41" t="n">
        <v>0</v>
      </c>
      <c r="L1174" s="41" t="n">
        <v>0</v>
      </c>
    </row>
    <row r="1175" customFormat="false" ht="15.75" hidden="false" customHeight="false" outlineLevel="0" collapsed="false">
      <c r="B1175" s="39" t="s">
        <v>1307</v>
      </c>
      <c r="C1175" s="40" t="str">
        <f aca="false">IF(B1175="","",IFERROR(INDEX('CLM &amp; IM Mapping'!$B$2:$B$270,MATCH(TRIM(B1175),'CLM &amp; IM Mapping'!$A$2:$A$270,0)),"Not Mapped"))</f>
        <v>Not Mapped</v>
      </c>
      <c r="D1175" s="40" t="str">
        <f aca="false">IF(B1175="","",IFERROR(INDEX('CLM &amp; IM Mapping'!$C$2:$C$270,MATCH(TRIM(B1175),'CLM &amp; IM Mapping'!$A$2:$A$270,0)),"Not Mapped"))</f>
        <v>Not Mapped</v>
      </c>
      <c r="E1175" s="41" t="n">
        <v>7843</v>
      </c>
      <c r="F1175" s="41" t="n">
        <v>4683</v>
      </c>
      <c r="G1175" s="41" t="n">
        <v>3160</v>
      </c>
      <c r="H1175" s="41" t="n">
        <v>0</v>
      </c>
      <c r="I1175" s="41" t="n">
        <v>0</v>
      </c>
      <c r="J1175" s="41" t="n">
        <v>0</v>
      </c>
      <c r="K1175" s="41" t="n">
        <v>0</v>
      </c>
      <c r="L1175" s="41" t="n">
        <v>0</v>
      </c>
    </row>
    <row r="1176" customFormat="false" ht="15.75" hidden="false" customHeight="false" outlineLevel="0" collapsed="false">
      <c r="B1176" s="39" t="s">
        <v>1308</v>
      </c>
      <c r="C1176" s="40" t="str">
        <f aca="false">IF(B1176="","",IFERROR(INDEX('CLM &amp; IM Mapping'!$B$2:$B$270,MATCH(TRIM(B1176),'CLM &amp; IM Mapping'!$A$2:$A$270,0)),"Not Mapped"))</f>
        <v>Not Mapped</v>
      </c>
      <c r="D1176" s="40" t="str">
        <f aca="false">IF(B1176="","",IFERROR(INDEX('CLM &amp; IM Mapping'!$C$2:$C$270,MATCH(TRIM(B1176),'CLM &amp; IM Mapping'!$A$2:$A$270,0)),"Not Mapped"))</f>
        <v>Not Mapped</v>
      </c>
      <c r="E1176" s="41" t="n">
        <v>167</v>
      </c>
      <c r="F1176" s="41" t="n">
        <v>0</v>
      </c>
      <c r="G1176" s="41" t="n">
        <v>0</v>
      </c>
      <c r="H1176" s="41" t="n">
        <v>166</v>
      </c>
      <c r="I1176" s="41" t="n">
        <v>0</v>
      </c>
      <c r="J1176" s="41" t="n">
        <v>0</v>
      </c>
      <c r="K1176" s="41" t="n">
        <v>1</v>
      </c>
      <c r="L1176" s="41" t="n">
        <v>1</v>
      </c>
    </row>
    <row r="1177" customFormat="false" ht="15.75" hidden="false" customHeight="false" outlineLevel="0" collapsed="false">
      <c r="B1177" s="39" t="s">
        <v>1309</v>
      </c>
      <c r="C1177" s="40" t="str">
        <f aca="false">IF(B1177="","",IFERROR(INDEX('CLM &amp; IM Mapping'!$B$2:$B$270,MATCH(TRIM(B1177),'CLM &amp; IM Mapping'!$A$2:$A$270,0)),"Not Mapped"))</f>
        <v>Not Mapped</v>
      </c>
      <c r="D1177" s="40" t="str">
        <f aca="false">IF(B1177="","",IFERROR(INDEX('CLM &amp; IM Mapping'!$C$2:$C$270,MATCH(TRIM(B1177),'CLM &amp; IM Mapping'!$A$2:$A$270,0)),"Not Mapped"))</f>
        <v>Not Mapped</v>
      </c>
      <c r="E1177" s="41" t="n">
        <v>11872</v>
      </c>
      <c r="F1177" s="41" t="n">
        <v>1283</v>
      </c>
      <c r="G1177" s="41" t="n">
        <v>3834</v>
      </c>
      <c r="H1177" s="41" t="n">
        <v>0</v>
      </c>
      <c r="I1177" s="41" t="n">
        <v>2811</v>
      </c>
      <c r="J1177" s="41" t="n">
        <v>1595</v>
      </c>
      <c r="K1177" s="41" t="n">
        <v>2349</v>
      </c>
      <c r="L1177" s="41" t="n">
        <v>6755</v>
      </c>
    </row>
    <row r="1178" customFormat="false" ht="15.75" hidden="false" customHeight="false" outlineLevel="0" collapsed="false">
      <c r="B1178" s="39" t="s">
        <v>1310</v>
      </c>
      <c r="C1178" s="40" t="str">
        <f aca="false">IF(B1178="","",IFERROR(INDEX('CLM &amp; IM Mapping'!$B$2:$B$270,MATCH(TRIM(B1178),'CLM &amp; IM Mapping'!$A$2:$A$270,0)),"Not Mapped"))</f>
        <v>Not Mapped</v>
      </c>
      <c r="D1178" s="40" t="str">
        <f aca="false">IF(B1178="","",IFERROR(INDEX('CLM &amp; IM Mapping'!$C$2:$C$270,MATCH(TRIM(B1178),'CLM &amp; IM Mapping'!$A$2:$A$270,0)),"Not Mapped"))</f>
        <v>Not Mapped</v>
      </c>
      <c r="E1178" s="41" t="n">
        <v>0</v>
      </c>
      <c r="F1178" s="41" t="n">
        <v>0</v>
      </c>
      <c r="G1178" s="41" t="n">
        <v>0</v>
      </c>
      <c r="H1178" s="41" t="n">
        <v>0</v>
      </c>
      <c r="I1178" s="41" t="n">
        <v>0</v>
      </c>
      <c r="J1178" s="41" t="n">
        <v>0</v>
      </c>
      <c r="K1178" s="41" t="n">
        <v>0</v>
      </c>
      <c r="L1178" s="41" t="n">
        <v>0</v>
      </c>
    </row>
    <row r="1179" customFormat="false" ht="15.75" hidden="false" customHeight="false" outlineLevel="0" collapsed="false">
      <c r="B1179" s="39" t="s">
        <v>1311</v>
      </c>
      <c r="C1179" s="40" t="str">
        <f aca="false">IF(B1179="","",IFERROR(INDEX('CLM &amp; IM Mapping'!$B$2:$B$270,MATCH(TRIM(B1179),'CLM &amp; IM Mapping'!$A$2:$A$270,0)),"Not Mapped"))</f>
        <v>Not Mapped</v>
      </c>
      <c r="D1179" s="40" t="str">
        <f aca="false">IF(B1179="","",IFERROR(INDEX('CLM &amp; IM Mapping'!$C$2:$C$270,MATCH(TRIM(B1179),'CLM &amp; IM Mapping'!$A$2:$A$270,0)),"Not Mapped"))</f>
        <v>Not Mapped</v>
      </c>
      <c r="E1179" s="41" t="n">
        <v>1631</v>
      </c>
      <c r="F1179" s="41" t="n">
        <v>1405</v>
      </c>
      <c r="G1179" s="41" t="n">
        <v>0</v>
      </c>
      <c r="H1179" s="41" t="n">
        <v>226</v>
      </c>
      <c r="I1179" s="41" t="n">
        <v>0</v>
      </c>
      <c r="J1179" s="41" t="n">
        <v>0</v>
      </c>
      <c r="K1179" s="41" t="n">
        <v>0</v>
      </c>
      <c r="L1179" s="41" t="n">
        <v>226</v>
      </c>
    </row>
    <row r="1180" customFormat="false" ht="15.75" hidden="false" customHeight="false" outlineLevel="0" collapsed="false">
      <c r="B1180" s="39" t="s">
        <v>1312</v>
      </c>
      <c r="C1180" s="40" t="str">
        <f aca="false">IF(B1180="","",IFERROR(INDEX('CLM &amp; IM Mapping'!$B$2:$B$270,MATCH(TRIM(B1180),'CLM &amp; IM Mapping'!$A$2:$A$270,0)),"Not Mapped"))</f>
        <v>Not Mapped</v>
      </c>
      <c r="D1180" s="40" t="str">
        <f aca="false">IF(B1180="","",IFERROR(INDEX('CLM &amp; IM Mapping'!$C$2:$C$270,MATCH(TRIM(B1180),'CLM &amp; IM Mapping'!$A$2:$A$270,0)),"Not Mapped"))</f>
        <v>Not Mapped</v>
      </c>
      <c r="E1180" s="41" t="n">
        <v>2531</v>
      </c>
      <c r="F1180" s="41" t="n">
        <v>2518</v>
      </c>
      <c r="G1180" s="41" t="n">
        <v>0</v>
      </c>
      <c r="H1180" s="41" t="n">
        <v>0</v>
      </c>
      <c r="I1180" s="41" t="n">
        <v>13</v>
      </c>
      <c r="J1180" s="41" t="n">
        <v>0</v>
      </c>
      <c r="K1180" s="41" t="n">
        <v>0</v>
      </c>
      <c r="L1180" s="41" t="n">
        <v>13</v>
      </c>
    </row>
    <row r="1181" customFormat="false" ht="15.75" hidden="false" customHeight="false" outlineLevel="0" collapsed="false">
      <c r="B1181" s="39" t="s">
        <v>1313</v>
      </c>
      <c r="C1181" s="40" t="str">
        <f aca="false">IF(B1181="","",IFERROR(INDEX('CLM &amp; IM Mapping'!$B$2:$B$270,MATCH(TRIM(B1181),'CLM &amp; IM Mapping'!$A$2:$A$270,0)),"Not Mapped"))</f>
        <v>Not Mapped</v>
      </c>
      <c r="D1181" s="40" t="str">
        <f aca="false">IF(B1181="","",IFERROR(INDEX('CLM &amp; IM Mapping'!$C$2:$C$270,MATCH(TRIM(B1181),'CLM &amp; IM Mapping'!$A$2:$A$270,0)),"Not Mapped"))</f>
        <v>Not Mapped</v>
      </c>
      <c r="E1181" s="41" t="n">
        <v>7253</v>
      </c>
      <c r="F1181" s="41" t="n">
        <v>6233</v>
      </c>
      <c r="G1181" s="41" t="n">
        <v>0</v>
      </c>
      <c r="H1181" s="41" t="n">
        <v>413</v>
      </c>
      <c r="I1181" s="41" t="n">
        <v>146</v>
      </c>
      <c r="J1181" s="41" t="n">
        <v>0</v>
      </c>
      <c r="K1181" s="41" t="n">
        <v>461</v>
      </c>
      <c r="L1181" s="41" t="n">
        <v>1020</v>
      </c>
    </row>
    <row r="1182" customFormat="false" ht="15.75" hidden="false" customHeight="false" outlineLevel="0" collapsed="false">
      <c r="B1182" s="39" t="s">
        <v>1314</v>
      </c>
      <c r="C1182" s="40" t="str">
        <f aca="false">IF(B1182="","",IFERROR(INDEX('CLM &amp; IM Mapping'!$B$2:$B$270,MATCH(TRIM(B1182),'CLM &amp; IM Mapping'!$A$2:$A$270,0)),"Not Mapped"))</f>
        <v>Not Mapped</v>
      </c>
      <c r="D1182" s="40" t="str">
        <f aca="false">IF(B1182="","",IFERROR(INDEX('CLM &amp; IM Mapping'!$C$2:$C$270,MATCH(TRIM(B1182),'CLM &amp; IM Mapping'!$A$2:$A$270,0)),"Not Mapped"))</f>
        <v>Not Mapped</v>
      </c>
      <c r="E1182" s="41" t="n">
        <v>2732</v>
      </c>
      <c r="F1182" s="41" t="n">
        <v>1770</v>
      </c>
      <c r="G1182" s="41" t="n">
        <v>913</v>
      </c>
      <c r="H1182" s="41" t="n">
        <v>49</v>
      </c>
      <c r="I1182" s="41" t="n">
        <v>0</v>
      </c>
      <c r="J1182" s="41" t="n">
        <v>0</v>
      </c>
      <c r="K1182" s="41" t="n">
        <v>0</v>
      </c>
      <c r="L1182" s="41" t="n">
        <v>49</v>
      </c>
    </row>
    <row r="1183" customFormat="false" ht="15.75" hidden="false" customHeight="false" outlineLevel="0" collapsed="false">
      <c r="B1183" s="39" t="s">
        <v>1315</v>
      </c>
      <c r="C1183" s="40" t="str">
        <f aca="false">IF(B1183="","",IFERROR(INDEX('CLM &amp; IM Mapping'!$B$2:$B$270,MATCH(TRIM(B1183),'CLM &amp; IM Mapping'!$A$2:$A$270,0)),"Not Mapped"))</f>
        <v>Not Mapped</v>
      </c>
      <c r="D1183" s="40" t="str">
        <f aca="false">IF(B1183="","",IFERROR(INDEX('CLM &amp; IM Mapping'!$C$2:$C$270,MATCH(TRIM(B1183),'CLM &amp; IM Mapping'!$A$2:$A$270,0)),"Not Mapped"))</f>
        <v>Not Mapped</v>
      </c>
      <c r="E1183" s="41" t="n">
        <v>39</v>
      </c>
      <c r="F1183" s="41" t="n">
        <v>0</v>
      </c>
      <c r="G1183" s="41" t="n">
        <v>0</v>
      </c>
      <c r="H1183" s="41" t="n">
        <v>39</v>
      </c>
      <c r="I1183" s="41" t="n">
        <v>0</v>
      </c>
      <c r="J1183" s="41" t="n">
        <v>0</v>
      </c>
      <c r="K1183" s="41" t="n">
        <v>0</v>
      </c>
      <c r="L1183" s="41" t="n">
        <v>39</v>
      </c>
    </row>
    <row r="1184" customFormat="false" ht="15.75" hidden="false" customHeight="false" outlineLevel="0" collapsed="false">
      <c r="B1184" s="39" t="s">
        <v>1316</v>
      </c>
      <c r="C1184" s="40" t="str">
        <f aca="false">IF(B1184="","",IFERROR(INDEX('CLM &amp; IM Mapping'!$B$2:$B$270,MATCH(TRIM(B1184),'CLM &amp; IM Mapping'!$A$2:$A$270,0)),"Not Mapped"))</f>
        <v>Not Mapped</v>
      </c>
      <c r="D1184" s="40" t="str">
        <f aca="false">IF(B1184="","",IFERROR(INDEX('CLM &amp; IM Mapping'!$C$2:$C$270,MATCH(TRIM(B1184),'CLM &amp; IM Mapping'!$A$2:$A$270,0)),"Not Mapped"))</f>
        <v>Not Mapped</v>
      </c>
      <c r="E1184" s="41" t="n">
        <v>947</v>
      </c>
      <c r="F1184" s="41" t="n">
        <v>0</v>
      </c>
      <c r="G1184" s="41" t="n">
        <v>947</v>
      </c>
      <c r="H1184" s="41" t="n">
        <v>0</v>
      </c>
      <c r="I1184" s="41" t="n">
        <v>0</v>
      </c>
      <c r="J1184" s="41" t="n">
        <v>0</v>
      </c>
      <c r="K1184" s="41" t="n">
        <v>0</v>
      </c>
      <c r="L1184" s="41" t="n">
        <v>0</v>
      </c>
    </row>
    <row r="1185" customFormat="false" ht="15.75" hidden="false" customHeight="false" outlineLevel="0" collapsed="false">
      <c r="B1185" s="39" t="s">
        <v>1317</v>
      </c>
      <c r="C1185" s="40" t="str">
        <f aca="false">IF(B1185="","",IFERROR(INDEX('CLM &amp; IM Mapping'!$B$2:$B$270,MATCH(TRIM(B1185),'CLM &amp; IM Mapping'!$A$2:$A$270,0)),"Not Mapped"))</f>
        <v>Not Mapped</v>
      </c>
      <c r="D1185" s="40" t="str">
        <f aca="false">IF(B1185="","",IFERROR(INDEX('CLM &amp; IM Mapping'!$C$2:$C$270,MATCH(TRIM(B1185),'CLM &amp; IM Mapping'!$A$2:$A$270,0)),"Not Mapped"))</f>
        <v>Not Mapped</v>
      </c>
      <c r="E1185" s="41" t="n">
        <v>0</v>
      </c>
      <c r="F1185" s="41" t="n">
        <v>0</v>
      </c>
      <c r="G1185" s="41" t="n">
        <v>0</v>
      </c>
      <c r="H1185" s="41" t="n">
        <v>0</v>
      </c>
      <c r="I1185" s="41" t="n">
        <v>0</v>
      </c>
      <c r="J1185" s="41" t="n">
        <v>0</v>
      </c>
      <c r="K1185" s="41" t="n">
        <v>0</v>
      </c>
      <c r="L1185" s="41" t="n">
        <v>0</v>
      </c>
    </row>
    <row r="1186" customFormat="false" ht="15.75" hidden="false" customHeight="false" outlineLevel="0" collapsed="false">
      <c r="B1186" s="39" t="s">
        <v>1318</v>
      </c>
      <c r="C1186" s="40" t="str">
        <f aca="false">IF(B1186="","",IFERROR(INDEX('CLM &amp; IM Mapping'!$B$2:$B$270,MATCH(TRIM(B1186),'CLM &amp; IM Mapping'!$A$2:$A$270,0)),"Not Mapped"))</f>
        <v>Not Mapped</v>
      </c>
      <c r="D1186" s="40" t="str">
        <f aca="false">IF(B1186="","",IFERROR(INDEX('CLM &amp; IM Mapping'!$C$2:$C$270,MATCH(TRIM(B1186),'CLM &amp; IM Mapping'!$A$2:$A$270,0)),"Not Mapped"))</f>
        <v>Not Mapped</v>
      </c>
      <c r="E1186" s="41" t="n">
        <v>0</v>
      </c>
      <c r="F1186" s="41" t="n">
        <v>0</v>
      </c>
      <c r="G1186" s="41" t="n">
        <v>0</v>
      </c>
      <c r="H1186" s="41" t="n">
        <v>0</v>
      </c>
      <c r="I1186" s="41" t="n">
        <v>0</v>
      </c>
      <c r="J1186" s="41" t="n">
        <v>0</v>
      </c>
      <c r="K1186" s="41" t="n">
        <v>0</v>
      </c>
      <c r="L1186" s="41" t="n">
        <v>0</v>
      </c>
    </row>
    <row r="1187" customFormat="false" ht="15.75" hidden="false" customHeight="false" outlineLevel="0" collapsed="false">
      <c r="B1187" s="39" t="s">
        <v>1319</v>
      </c>
      <c r="C1187" s="40" t="str">
        <f aca="false">IF(B1187="","",IFERROR(INDEX('CLM &amp; IM Mapping'!$B$2:$B$270,MATCH(TRIM(B1187),'CLM &amp; IM Mapping'!$A$2:$A$270,0)),"Not Mapped"))</f>
        <v>Not Mapped</v>
      </c>
      <c r="D1187" s="40" t="str">
        <f aca="false">IF(B1187="","",IFERROR(INDEX('CLM &amp; IM Mapping'!$C$2:$C$270,MATCH(TRIM(B1187),'CLM &amp; IM Mapping'!$A$2:$A$270,0)),"Not Mapped"))</f>
        <v>Not Mapped</v>
      </c>
      <c r="E1187" s="41" t="n">
        <v>2129</v>
      </c>
      <c r="F1187" s="41" t="n">
        <v>172</v>
      </c>
      <c r="G1187" s="41" t="n">
        <v>1804</v>
      </c>
      <c r="H1187" s="41" t="n">
        <v>153</v>
      </c>
      <c r="I1187" s="41" t="n">
        <v>0</v>
      </c>
      <c r="J1187" s="41" t="n">
        <v>0</v>
      </c>
      <c r="K1187" s="41" t="n">
        <v>0</v>
      </c>
      <c r="L1187" s="41" t="n">
        <v>153</v>
      </c>
    </row>
    <row r="1188" customFormat="false" ht="15.75" hidden="false" customHeight="false" outlineLevel="0" collapsed="false">
      <c r="B1188" s="39" t="s">
        <v>1320</v>
      </c>
      <c r="C1188" s="40" t="str">
        <f aca="false">IF(B1188="","",IFERROR(INDEX('CLM &amp; IM Mapping'!$B$2:$B$270,MATCH(TRIM(B1188),'CLM &amp; IM Mapping'!$A$2:$A$270,0)),"Not Mapped"))</f>
        <v>Not Mapped</v>
      </c>
      <c r="D1188" s="40" t="str">
        <f aca="false">IF(B1188="","",IFERROR(INDEX('CLM &amp; IM Mapping'!$C$2:$C$270,MATCH(TRIM(B1188),'CLM &amp; IM Mapping'!$A$2:$A$270,0)),"Not Mapped"))</f>
        <v>Not Mapped</v>
      </c>
      <c r="E1188" s="41" t="n">
        <v>0</v>
      </c>
      <c r="F1188" s="41" t="n">
        <v>0</v>
      </c>
      <c r="G1188" s="41" t="n">
        <v>0</v>
      </c>
      <c r="H1188" s="41" t="n">
        <v>0</v>
      </c>
      <c r="I1188" s="41" t="n">
        <v>0</v>
      </c>
      <c r="J1188" s="41" t="n">
        <v>0</v>
      </c>
      <c r="K1188" s="41" t="n">
        <v>0</v>
      </c>
      <c r="L1188" s="41" t="n">
        <v>0</v>
      </c>
    </row>
    <row r="1189" customFormat="false" ht="15.75" hidden="false" customHeight="false" outlineLevel="0" collapsed="false">
      <c r="B1189" s="39" t="s">
        <v>1321</v>
      </c>
      <c r="C1189" s="40" t="str">
        <f aca="false">IF(B1189="","",IFERROR(INDEX('CLM &amp; IM Mapping'!$B$2:$B$270,MATCH(TRIM(B1189),'CLM &amp; IM Mapping'!$A$2:$A$270,0)),"Not Mapped"))</f>
        <v>Not Mapped</v>
      </c>
      <c r="D1189" s="40" t="str">
        <f aca="false">IF(B1189="","",IFERROR(INDEX('CLM &amp; IM Mapping'!$C$2:$C$270,MATCH(TRIM(B1189),'CLM &amp; IM Mapping'!$A$2:$A$270,0)),"Not Mapped"))</f>
        <v>Not Mapped</v>
      </c>
      <c r="E1189" s="41" t="n">
        <v>78</v>
      </c>
      <c r="F1189" s="41" t="n">
        <v>76</v>
      </c>
      <c r="G1189" s="41" t="n">
        <v>2</v>
      </c>
      <c r="H1189" s="41" t="n">
        <v>0</v>
      </c>
      <c r="I1189" s="41" t="n">
        <v>0</v>
      </c>
      <c r="J1189" s="41" t="n">
        <v>0</v>
      </c>
      <c r="K1189" s="41" t="n">
        <v>0</v>
      </c>
      <c r="L1189" s="41" t="n">
        <v>0</v>
      </c>
    </row>
    <row r="1190" customFormat="false" ht="15.75" hidden="false" customHeight="false" outlineLevel="0" collapsed="false">
      <c r="B1190" s="39" t="s">
        <v>1322</v>
      </c>
      <c r="C1190" s="40" t="str">
        <f aca="false">IF(B1190="","",IFERROR(INDEX('CLM &amp; IM Mapping'!$B$2:$B$270,MATCH(TRIM(B1190),'CLM &amp; IM Mapping'!$A$2:$A$270,0)),"Not Mapped"))</f>
        <v>Not Mapped</v>
      </c>
      <c r="D1190" s="40" t="str">
        <f aca="false">IF(B1190="","",IFERROR(INDEX('CLM &amp; IM Mapping'!$C$2:$C$270,MATCH(TRIM(B1190),'CLM &amp; IM Mapping'!$A$2:$A$270,0)),"Not Mapped"))</f>
        <v>Not Mapped</v>
      </c>
      <c r="E1190" s="41" t="n">
        <v>2004</v>
      </c>
      <c r="F1190" s="41" t="n">
        <v>1179</v>
      </c>
      <c r="G1190" s="41" t="n">
        <v>824</v>
      </c>
      <c r="H1190" s="41" t="n">
        <v>0</v>
      </c>
      <c r="I1190" s="41" t="n">
        <v>0</v>
      </c>
      <c r="J1190" s="41" t="n">
        <v>1</v>
      </c>
      <c r="K1190" s="41" t="n">
        <v>0</v>
      </c>
      <c r="L1190" s="41" t="n">
        <v>1</v>
      </c>
    </row>
    <row r="1191" customFormat="false" ht="15.75" hidden="false" customHeight="false" outlineLevel="0" collapsed="false">
      <c r="B1191" s="39" t="s">
        <v>1323</v>
      </c>
      <c r="C1191" s="40" t="str">
        <f aca="false">IF(B1191="","",IFERROR(INDEX('CLM &amp; IM Mapping'!$B$2:$B$270,MATCH(TRIM(B1191),'CLM &amp; IM Mapping'!$A$2:$A$270,0)),"Not Mapped"))</f>
        <v>Not Mapped</v>
      </c>
      <c r="D1191" s="40" t="str">
        <f aca="false">IF(B1191="","",IFERROR(INDEX('CLM &amp; IM Mapping'!$C$2:$C$270,MATCH(TRIM(B1191),'CLM &amp; IM Mapping'!$A$2:$A$270,0)),"Not Mapped"))</f>
        <v>Not Mapped</v>
      </c>
      <c r="E1191" s="41" t="n">
        <v>1017</v>
      </c>
      <c r="F1191" s="41" t="n">
        <v>1017</v>
      </c>
      <c r="G1191" s="41" t="n">
        <v>0</v>
      </c>
      <c r="H1191" s="41" t="n">
        <v>0</v>
      </c>
      <c r="I1191" s="41" t="n">
        <v>0</v>
      </c>
      <c r="J1191" s="41" t="n">
        <v>0</v>
      </c>
      <c r="K1191" s="41" t="n">
        <v>0</v>
      </c>
      <c r="L1191" s="41" t="n">
        <v>0</v>
      </c>
    </row>
    <row r="1192" customFormat="false" ht="15.75" hidden="false" customHeight="false" outlineLevel="0" collapsed="false">
      <c r="B1192" s="39" t="s">
        <v>1324</v>
      </c>
      <c r="C1192" s="40" t="str">
        <f aca="false">IF(B1192="","",IFERROR(INDEX('CLM &amp; IM Mapping'!$B$2:$B$270,MATCH(TRIM(B1192),'CLM &amp; IM Mapping'!$A$2:$A$270,0)),"Not Mapped"))</f>
        <v>Not Mapped</v>
      </c>
      <c r="D1192" s="40" t="str">
        <f aca="false">IF(B1192="","",IFERROR(INDEX('CLM &amp; IM Mapping'!$C$2:$C$270,MATCH(TRIM(B1192),'CLM &amp; IM Mapping'!$A$2:$A$270,0)),"Not Mapped"))</f>
        <v>Not Mapped</v>
      </c>
      <c r="E1192" s="41" t="n">
        <v>0</v>
      </c>
      <c r="F1192" s="41" t="n">
        <v>0</v>
      </c>
      <c r="G1192" s="41" t="n">
        <v>0</v>
      </c>
      <c r="H1192" s="41" t="n">
        <v>0</v>
      </c>
      <c r="I1192" s="41" t="n">
        <v>0</v>
      </c>
      <c r="J1192" s="41" t="n">
        <v>0</v>
      </c>
      <c r="K1192" s="41" t="n">
        <v>0</v>
      </c>
      <c r="L1192" s="41" t="n">
        <v>0</v>
      </c>
    </row>
    <row r="1193" customFormat="false" ht="15.75" hidden="false" customHeight="false" outlineLevel="0" collapsed="false">
      <c r="B1193" s="23" t="s">
        <v>1325</v>
      </c>
      <c r="C1193" s="44" t="str">
        <f aca="false">IF(B1193="","",IFERROR(INDEX('CLM &amp; IM Mapping'!$B$2:$B$270,MATCH(TRIM(B1193),'CLM &amp; IM Mapping'!$A$2:$A$270,0)),"Not Mapped"))</f>
        <v>Not Mapped</v>
      </c>
      <c r="D1193" s="44" t="str">
        <f aca="false">IF(B1193="","",IFERROR(INDEX('CLM &amp; IM Mapping'!$C$2:$C$270,MATCH(TRIM(B1193),'CLM &amp; IM Mapping'!$A$2:$A$270,0)),"Not Mapped"))</f>
        <v>Not Mapped</v>
      </c>
      <c r="E1193" s="41" t="n">
        <v>3110</v>
      </c>
      <c r="F1193" s="41" t="n">
        <v>1493</v>
      </c>
      <c r="G1193" s="41" t="n">
        <v>638</v>
      </c>
      <c r="H1193" s="41" t="n">
        <v>979</v>
      </c>
      <c r="I1193" s="41" t="n">
        <v>0</v>
      </c>
      <c r="J1193" s="41" t="n">
        <v>0</v>
      </c>
      <c r="K1193" s="41" t="n">
        <v>0</v>
      </c>
      <c r="L1193" s="41" t="n">
        <v>979</v>
      </c>
    </row>
    <row r="1194" customFormat="false" ht="15.75" hidden="false" customHeight="false" outlineLevel="0" collapsed="false">
      <c r="B1194" s="23" t="s">
        <v>1326</v>
      </c>
      <c r="C1194" s="44" t="str">
        <f aca="false">IF(B1194="","",IFERROR(INDEX('CLM &amp; IM Mapping'!$B$2:$B$270,MATCH(TRIM(B1194),'CLM &amp; IM Mapping'!$A$2:$A$270,0)),"Not Mapped"))</f>
        <v>Not Mapped</v>
      </c>
      <c r="D1194" s="44" t="str">
        <f aca="false">IF(B1194="","",IFERROR(INDEX('CLM &amp; IM Mapping'!$C$2:$C$270,MATCH(TRIM(B1194),'CLM &amp; IM Mapping'!$A$2:$A$270,0)),"Not Mapped"))</f>
        <v>Not Mapped</v>
      </c>
      <c r="E1194" s="41" t="n">
        <v>809</v>
      </c>
      <c r="F1194" s="41" t="n">
        <v>692</v>
      </c>
      <c r="G1194" s="41" t="n">
        <v>53</v>
      </c>
      <c r="H1194" s="41" t="n">
        <v>0</v>
      </c>
      <c r="I1194" s="41" t="n">
        <v>40</v>
      </c>
      <c r="J1194" s="41" t="n">
        <v>0</v>
      </c>
      <c r="K1194" s="41" t="n">
        <v>24</v>
      </c>
      <c r="L1194" s="41" t="n">
        <v>64</v>
      </c>
    </row>
    <row r="1195" customFormat="false" ht="15.75" hidden="false" customHeight="false" outlineLevel="0" collapsed="false">
      <c r="B1195" s="23" t="s">
        <v>1327</v>
      </c>
      <c r="C1195" s="44" t="str">
        <f aca="false">IF(B1195="","",IFERROR(INDEX('CLM &amp; IM Mapping'!$B$2:$B$270,MATCH(TRIM(B1195),'CLM &amp; IM Mapping'!$A$2:$A$270,0)),"Not Mapped"))</f>
        <v>Not Mapped</v>
      </c>
      <c r="D1195" s="44" t="str">
        <f aca="false">IF(B1195="","",IFERROR(INDEX('CLM &amp; IM Mapping'!$C$2:$C$270,MATCH(TRIM(B1195),'CLM &amp; IM Mapping'!$A$2:$A$270,0)),"Not Mapped"))</f>
        <v>Not Mapped</v>
      </c>
      <c r="E1195" s="41" t="n">
        <v>4799</v>
      </c>
      <c r="F1195" s="41" t="n">
        <v>3932</v>
      </c>
      <c r="G1195" s="41" t="n">
        <v>866</v>
      </c>
      <c r="H1195" s="41" t="n">
        <v>0</v>
      </c>
      <c r="I1195" s="41" t="n">
        <v>1</v>
      </c>
      <c r="J1195" s="41" t="n">
        <v>0</v>
      </c>
      <c r="K1195" s="41" t="n">
        <v>0</v>
      </c>
      <c r="L1195" s="41" t="n">
        <v>1</v>
      </c>
    </row>
    <row r="1196" customFormat="false" ht="15.75" hidden="false" customHeight="false" outlineLevel="0" collapsed="false">
      <c r="B1196" s="39" t="s">
        <v>1328</v>
      </c>
      <c r="C1196" s="40" t="str">
        <f aca="false">IF(B1196="","",IFERROR(INDEX('CLM &amp; IM Mapping'!$B$2:$B$270,MATCH(TRIM(B1196),'CLM &amp; IM Mapping'!$A$2:$A$270,0)),"Not Mapped"))</f>
        <v>Not Mapped</v>
      </c>
      <c r="D1196" s="40" t="str">
        <f aca="false">IF(B1196="","",IFERROR(INDEX('CLM &amp; IM Mapping'!$C$2:$C$270,MATCH(TRIM(B1196),'CLM &amp; IM Mapping'!$A$2:$A$270,0)),"Not Mapped"))</f>
        <v>Not Mapped</v>
      </c>
      <c r="E1196" s="41" t="n">
        <v>0</v>
      </c>
      <c r="F1196" s="41" t="n">
        <v>0</v>
      </c>
      <c r="G1196" s="41" t="n">
        <v>0</v>
      </c>
      <c r="H1196" s="41" t="n">
        <v>0</v>
      </c>
      <c r="I1196" s="41" t="n">
        <v>0</v>
      </c>
      <c r="J1196" s="41" t="n">
        <v>0</v>
      </c>
      <c r="K1196" s="41" t="n">
        <v>0</v>
      </c>
      <c r="L1196" s="41" t="n">
        <v>0</v>
      </c>
    </row>
    <row r="1197" customFormat="false" ht="15.75" hidden="false" customHeight="false" outlineLevel="0" collapsed="false">
      <c r="B1197" s="39" t="s">
        <v>1329</v>
      </c>
      <c r="C1197" s="40" t="str">
        <f aca="false">IF(B1197="","",IFERROR(INDEX('CLM &amp; IM Mapping'!$B$2:$B$270,MATCH(TRIM(B1197),'CLM &amp; IM Mapping'!$A$2:$A$270,0)),"Not Mapped"))</f>
        <v>Not Mapped</v>
      </c>
      <c r="D1197" s="40" t="str">
        <f aca="false">IF(B1197="","",IFERROR(INDEX('CLM &amp; IM Mapping'!$C$2:$C$270,MATCH(TRIM(B1197),'CLM &amp; IM Mapping'!$A$2:$A$270,0)),"Not Mapped"))</f>
        <v>Not Mapped</v>
      </c>
      <c r="E1197" s="41" t="n">
        <v>0</v>
      </c>
      <c r="F1197" s="41" t="n">
        <v>0</v>
      </c>
      <c r="G1197" s="41" t="n">
        <v>0</v>
      </c>
      <c r="H1197" s="41" t="n">
        <v>0</v>
      </c>
      <c r="I1197" s="41" t="n">
        <v>0</v>
      </c>
      <c r="J1197" s="41" t="n">
        <v>0</v>
      </c>
      <c r="K1197" s="41" t="n">
        <v>0</v>
      </c>
      <c r="L1197" s="41" t="n">
        <v>0</v>
      </c>
    </row>
    <row r="1198" customFormat="false" ht="15.75" hidden="false" customHeight="false" outlineLevel="0" collapsed="false">
      <c r="B1198" s="39" t="s">
        <v>1330</v>
      </c>
      <c r="C1198" s="40" t="str">
        <f aca="false">IF(B1198="","",IFERROR(INDEX('CLM &amp; IM Mapping'!$B$2:$B$270,MATCH(TRIM(B1198),'CLM &amp; IM Mapping'!$A$2:$A$270,0)),"Not Mapped"))</f>
        <v>Not Mapped</v>
      </c>
      <c r="D1198" s="40" t="str">
        <f aca="false">IF(B1198="","",IFERROR(INDEX('CLM &amp; IM Mapping'!$C$2:$C$270,MATCH(TRIM(B1198),'CLM &amp; IM Mapping'!$A$2:$A$270,0)),"Not Mapped"))</f>
        <v>Not Mapped</v>
      </c>
      <c r="E1198" s="41" t="n">
        <v>28</v>
      </c>
      <c r="F1198" s="41" t="n">
        <v>28</v>
      </c>
      <c r="G1198" s="41" t="n">
        <v>0</v>
      </c>
      <c r="H1198" s="41" t="n">
        <v>0</v>
      </c>
      <c r="I1198" s="41" t="n">
        <v>0</v>
      </c>
      <c r="J1198" s="41" t="n">
        <v>0</v>
      </c>
      <c r="K1198" s="41" t="n">
        <v>0</v>
      </c>
      <c r="L1198" s="41" t="n">
        <v>0</v>
      </c>
    </row>
    <row r="1199" customFormat="false" ht="15.75" hidden="false" customHeight="false" outlineLevel="0" collapsed="false">
      <c r="B1199" s="39" t="s">
        <v>1331</v>
      </c>
      <c r="C1199" s="40" t="str">
        <f aca="false">IF(B1199="","",IFERROR(INDEX('CLM &amp; IM Mapping'!$B$2:$B$270,MATCH(TRIM(B1199),'CLM &amp; IM Mapping'!$A$2:$A$270,0)),"Not Mapped"))</f>
        <v>Not Mapped</v>
      </c>
      <c r="D1199" s="40" t="str">
        <f aca="false">IF(B1199="","",IFERROR(INDEX('CLM &amp; IM Mapping'!$C$2:$C$270,MATCH(TRIM(B1199),'CLM &amp; IM Mapping'!$A$2:$A$270,0)),"Not Mapped"))</f>
        <v>Not Mapped</v>
      </c>
      <c r="E1199" s="41" t="n">
        <v>0</v>
      </c>
      <c r="F1199" s="41" t="n">
        <v>0</v>
      </c>
      <c r="G1199" s="41" t="n">
        <v>0</v>
      </c>
      <c r="H1199" s="41" t="n">
        <v>0</v>
      </c>
      <c r="I1199" s="41" t="n">
        <v>0</v>
      </c>
      <c r="J1199" s="41" t="n">
        <v>0</v>
      </c>
      <c r="K1199" s="41" t="n">
        <v>0</v>
      </c>
      <c r="L1199" s="41" t="n">
        <v>0</v>
      </c>
    </row>
    <row r="1200" customFormat="false" ht="15.75" hidden="false" customHeight="false" outlineLevel="0" collapsed="false">
      <c r="B1200" s="39" t="s">
        <v>1332</v>
      </c>
      <c r="C1200" s="40" t="str">
        <f aca="false">IF(B1200="","",IFERROR(INDEX('CLM &amp; IM Mapping'!$B$2:$B$270,MATCH(TRIM(B1200),'CLM &amp; IM Mapping'!$A$2:$A$270,0)),"Not Mapped"))</f>
        <v>Not Mapped</v>
      </c>
      <c r="D1200" s="40" t="str">
        <f aca="false">IF(B1200="","",IFERROR(INDEX('CLM &amp; IM Mapping'!$C$2:$C$270,MATCH(TRIM(B1200),'CLM &amp; IM Mapping'!$A$2:$A$270,0)),"Not Mapped"))</f>
        <v>Not Mapped</v>
      </c>
      <c r="E1200" s="41" t="n">
        <v>770</v>
      </c>
      <c r="F1200" s="41" t="n">
        <v>770</v>
      </c>
      <c r="G1200" s="41" t="n">
        <v>0</v>
      </c>
      <c r="H1200" s="41" t="n">
        <v>0</v>
      </c>
      <c r="I1200" s="41" t="n">
        <v>0</v>
      </c>
      <c r="J1200" s="41" t="n">
        <v>0</v>
      </c>
      <c r="K1200" s="41" t="n">
        <v>0</v>
      </c>
      <c r="L1200" s="41" t="n">
        <v>0</v>
      </c>
    </row>
    <row r="1201" customFormat="false" ht="15.75" hidden="false" customHeight="false" outlineLevel="0" collapsed="false">
      <c r="B1201" s="39" t="s">
        <v>1333</v>
      </c>
      <c r="C1201" s="40" t="str">
        <f aca="false">IF(B1201="","",IFERROR(INDEX('CLM &amp; IM Mapping'!$B$2:$B$270,MATCH(TRIM(B1201),'CLM &amp; IM Mapping'!$A$2:$A$270,0)),"Not Mapped"))</f>
        <v>Not Mapped</v>
      </c>
      <c r="D1201" s="40" t="str">
        <f aca="false">IF(B1201="","",IFERROR(INDEX('CLM &amp; IM Mapping'!$C$2:$C$270,MATCH(TRIM(B1201),'CLM &amp; IM Mapping'!$A$2:$A$270,0)),"Not Mapped"))</f>
        <v>Not Mapped</v>
      </c>
      <c r="E1201" s="41" t="n">
        <v>231</v>
      </c>
      <c r="F1201" s="41" t="n">
        <v>225</v>
      </c>
      <c r="G1201" s="41" t="n">
        <v>6</v>
      </c>
      <c r="H1201" s="41" t="n">
        <v>0</v>
      </c>
      <c r="I1201" s="41" t="n">
        <v>0</v>
      </c>
      <c r="J1201" s="41" t="n">
        <v>0</v>
      </c>
      <c r="K1201" s="41" t="n">
        <v>0</v>
      </c>
      <c r="L1201" s="41" t="n">
        <v>0</v>
      </c>
    </row>
    <row r="1202" customFormat="false" ht="15.75" hidden="false" customHeight="false" outlineLevel="0" collapsed="false">
      <c r="B1202" s="39" t="s">
        <v>1334</v>
      </c>
      <c r="C1202" s="40" t="str">
        <f aca="false">IF(B1202="","",IFERROR(INDEX('CLM &amp; IM Mapping'!$B$2:$B$270,MATCH(TRIM(B1202),'CLM &amp; IM Mapping'!$A$2:$A$270,0)),"Not Mapped"))</f>
        <v>Not Mapped</v>
      </c>
      <c r="D1202" s="40" t="str">
        <f aca="false">IF(B1202="","",IFERROR(INDEX('CLM &amp; IM Mapping'!$C$2:$C$270,MATCH(TRIM(B1202),'CLM &amp; IM Mapping'!$A$2:$A$270,0)),"Not Mapped"))</f>
        <v>Not Mapped</v>
      </c>
      <c r="E1202" s="41" t="n">
        <v>537</v>
      </c>
      <c r="F1202" s="41" t="n">
        <v>109</v>
      </c>
      <c r="G1202" s="41" t="n">
        <v>428</v>
      </c>
      <c r="H1202" s="41" t="n">
        <v>0</v>
      </c>
      <c r="I1202" s="41" t="n">
        <v>0</v>
      </c>
      <c r="J1202" s="41" t="n">
        <v>0</v>
      </c>
      <c r="K1202" s="41" t="n">
        <v>0</v>
      </c>
      <c r="L1202" s="41" t="n">
        <v>0</v>
      </c>
    </row>
    <row r="1203" customFormat="false" ht="15.75" hidden="false" customHeight="false" outlineLevel="0" collapsed="false">
      <c r="B1203" s="39" t="s">
        <v>1335</v>
      </c>
      <c r="C1203" s="40" t="str">
        <f aca="false">IF(B1203="","",IFERROR(INDEX('CLM &amp; IM Mapping'!$B$2:$B$270,MATCH(TRIM(B1203),'CLM &amp; IM Mapping'!$A$2:$A$270,0)),"Not Mapped"))</f>
        <v>Not Mapped</v>
      </c>
      <c r="D1203" s="40" t="str">
        <f aca="false">IF(B1203="","",IFERROR(INDEX('CLM &amp; IM Mapping'!$C$2:$C$270,MATCH(TRIM(B1203),'CLM &amp; IM Mapping'!$A$2:$A$270,0)),"Not Mapped"))</f>
        <v>Not Mapped</v>
      </c>
      <c r="E1203" s="41" t="n">
        <v>963</v>
      </c>
      <c r="F1203" s="41" t="n">
        <v>963</v>
      </c>
      <c r="G1203" s="41" t="n">
        <v>0</v>
      </c>
      <c r="H1203" s="41" t="n">
        <v>0</v>
      </c>
      <c r="I1203" s="41" t="n">
        <v>0</v>
      </c>
      <c r="J1203" s="41" t="n">
        <v>0</v>
      </c>
      <c r="K1203" s="41" t="n">
        <v>0</v>
      </c>
      <c r="L1203" s="41" t="n">
        <v>0</v>
      </c>
    </row>
    <row r="1204" customFormat="false" ht="15.75" hidden="false" customHeight="false" outlineLevel="0" collapsed="false">
      <c r="B1204" s="39" t="s">
        <v>1336</v>
      </c>
      <c r="C1204" s="40" t="str">
        <f aca="false">IF(B1204="","",IFERROR(INDEX('CLM &amp; IM Mapping'!$B$2:$B$270,MATCH(TRIM(B1204),'CLM &amp; IM Mapping'!$A$2:$A$270,0)),"Not Mapped"))</f>
        <v>Not Mapped</v>
      </c>
      <c r="D1204" s="40" t="str">
        <f aca="false">IF(B1204="","",IFERROR(INDEX('CLM &amp; IM Mapping'!$C$2:$C$270,MATCH(TRIM(B1204),'CLM &amp; IM Mapping'!$A$2:$A$270,0)),"Not Mapped"))</f>
        <v>Not Mapped</v>
      </c>
      <c r="E1204" s="41" t="n">
        <v>0</v>
      </c>
      <c r="F1204" s="41" t="n">
        <v>0</v>
      </c>
      <c r="G1204" s="41" t="n">
        <v>0</v>
      </c>
      <c r="H1204" s="41" t="n">
        <v>0</v>
      </c>
      <c r="I1204" s="41" t="n">
        <v>0</v>
      </c>
      <c r="J1204" s="41" t="n">
        <v>0</v>
      </c>
      <c r="K1204" s="41" t="n">
        <v>0</v>
      </c>
      <c r="L1204" s="41" t="n">
        <v>0</v>
      </c>
    </row>
    <row r="1205" customFormat="false" ht="15.75" hidden="false" customHeight="false" outlineLevel="0" collapsed="false">
      <c r="B1205" s="39" t="s">
        <v>1337</v>
      </c>
      <c r="C1205" s="40" t="str">
        <f aca="false">IF(B1205="","",IFERROR(INDEX('CLM &amp; IM Mapping'!$B$2:$B$270,MATCH(TRIM(B1205),'CLM &amp; IM Mapping'!$A$2:$A$270,0)),"Not Mapped"))</f>
        <v>Not Mapped</v>
      </c>
      <c r="D1205" s="40" t="str">
        <f aca="false">IF(B1205="","",IFERROR(INDEX('CLM &amp; IM Mapping'!$C$2:$C$270,MATCH(TRIM(B1205),'CLM &amp; IM Mapping'!$A$2:$A$270,0)),"Not Mapped"))</f>
        <v>Not Mapped</v>
      </c>
      <c r="E1205" s="41" t="n">
        <v>1682</v>
      </c>
      <c r="F1205" s="41" t="n">
        <v>1117</v>
      </c>
      <c r="G1205" s="41" t="n">
        <v>565</v>
      </c>
      <c r="H1205" s="41" t="n">
        <v>0</v>
      </c>
      <c r="I1205" s="41" t="n">
        <v>0</v>
      </c>
      <c r="J1205" s="41" t="n">
        <v>0</v>
      </c>
      <c r="K1205" s="41" t="n">
        <v>0</v>
      </c>
      <c r="L1205" s="41" t="n">
        <v>0</v>
      </c>
    </row>
    <row r="1206" customFormat="false" ht="15.75" hidden="false" customHeight="false" outlineLevel="0" collapsed="false">
      <c r="B1206" s="39" t="s">
        <v>1338</v>
      </c>
      <c r="C1206" s="40" t="str">
        <f aca="false">IF(B1206="","",IFERROR(INDEX('CLM &amp; IM Mapping'!$B$2:$B$270,MATCH(TRIM(B1206),'CLM &amp; IM Mapping'!$A$2:$A$270,0)),"Not Mapped"))</f>
        <v>Not Mapped</v>
      </c>
      <c r="D1206" s="40" t="str">
        <f aca="false">IF(B1206="","",IFERROR(INDEX('CLM &amp; IM Mapping'!$C$2:$C$270,MATCH(TRIM(B1206),'CLM &amp; IM Mapping'!$A$2:$A$270,0)),"Not Mapped"))</f>
        <v>Not Mapped</v>
      </c>
      <c r="E1206" s="41" t="n">
        <v>47</v>
      </c>
      <c r="F1206" s="41" t="n">
        <v>20</v>
      </c>
      <c r="G1206" s="41" t="n">
        <v>27</v>
      </c>
      <c r="H1206" s="41" t="n">
        <v>0</v>
      </c>
      <c r="I1206" s="41" t="n">
        <v>0</v>
      </c>
      <c r="J1206" s="41" t="n">
        <v>0</v>
      </c>
      <c r="K1206" s="41" t="n">
        <v>0</v>
      </c>
      <c r="L1206" s="41" t="n">
        <v>0</v>
      </c>
    </row>
    <row r="1207" customFormat="false" ht="15.75" hidden="false" customHeight="false" outlineLevel="0" collapsed="false">
      <c r="B1207" s="39" t="s">
        <v>1339</v>
      </c>
      <c r="C1207" s="40" t="str">
        <f aca="false">IF(B1207="","",IFERROR(INDEX('CLM &amp; IM Mapping'!$B$2:$B$270,MATCH(TRIM(B1207),'CLM &amp; IM Mapping'!$A$2:$A$270,0)),"Not Mapped"))</f>
        <v>Not Mapped</v>
      </c>
      <c r="D1207" s="40" t="str">
        <f aca="false">IF(B1207="","",IFERROR(INDEX('CLM &amp; IM Mapping'!$C$2:$C$270,MATCH(TRIM(B1207),'CLM &amp; IM Mapping'!$A$2:$A$270,0)),"Not Mapped"))</f>
        <v>Not Mapped</v>
      </c>
      <c r="E1207" s="41" t="n">
        <v>1256</v>
      </c>
      <c r="F1207" s="41" t="n">
        <v>256</v>
      </c>
      <c r="G1207" s="41" t="n">
        <v>1000</v>
      </c>
      <c r="H1207" s="41" t="n">
        <v>0</v>
      </c>
      <c r="I1207" s="41" t="n">
        <v>0</v>
      </c>
      <c r="J1207" s="41" t="n">
        <v>0</v>
      </c>
      <c r="K1207" s="41" t="n">
        <v>0</v>
      </c>
      <c r="L1207" s="41" t="n">
        <v>0</v>
      </c>
    </row>
    <row r="1208" customFormat="false" ht="15.75" hidden="false" customHeight="false" outlineLevel="0" collapsed="false">
      <c r="B1208" s="39" t="s">
        <v>1340</v>
      </c>
      <c r="C1208" s="40" t="str">
        <f aca="false">IF(B1208="","",IFERROR(INDEX('CLM &amp; IM Mapping'!$B$2:$B$270,MATCH(TRIM(B1208),'CLM &amp; IM Mapping'!$A$2:$A$270,0)),"Not Mapped"))</f>
        <v>Not Mapped</v>
      </c>
      <c r="D1208" s="40" t="str">
        <f aca="false">IF(B1208="","",IFERROR(INDEX('CLM &amp; IM Mapping'!$C$2:$C$270,MATCH(TRIM(B1208),'CLM &amp; IM Mapping'!$A$2:$A$270,0)),"Not Mapped"))</f>
        <v>Not Mapped</v>
      </c>
      <c r="E1208" s="41" t="n">
        <v>622</v>
      </c>
      <c r="F1208" s="41" t="n">
        <v>0</v>
      </c>
      <c r="G1208" s="41" t="n">
        <v>622</v>
      </c>
      <c r="H1208" s="41" t="n">
        <v>0</v>
      </c>
      <c r="I1208" s="41" t="n">
        <v>0</v>
      </c>
      <c r="J1208" s="41" t="n">
        <v>0</v>
      </c>
      <c r="K1208" s="41" t="n">
        <v>0</v>
      </c>
      <c r="L1208" s="41" t="n">
        <v>0</v>
      </c>
    </row>
    <row r="1209" customFormat="false" ht="15.75" hidden="false" customHeight="false" outlineLevel="0" collapsed="false">
      <c r="B1209" s="39" t="s">
        <v>1341</v>
      </c>
      <c r="C1209" s="40" t="str">
        <f aca="false">IF(B1209="","",IFERROR(INDEX('CLM &amp; IM Mapping'!$B$2:$B$270,MATCH(TRIM(B1209),'CLM &amp; IM Mapping'!$A$2:$A$270,0)),"Not Mapped"))</f>
        <v>Not Mapped</v>
      </c>
      <c r="D1209" s="40" t="str">
        <f aca="false">IF(B1209="","",IFERROR(INDEX('CLM &amp; IM Mapping'!$C$2:$C$270,MATCH(TRIM(B1209),'CLM &amp; IM Mapping'!$A$2:$A$270,0)),"Not Mapped"))</f>
        <v>Not Mapped</v>
      </c>
      <c r="E1209" s="41" t="n">
        <v>0</v>
      </c>
      <c r="F1209" s="41" t="n">
        <v>0</v>
      </c>
      <c r="G1209" s="41" t="n">
        <v>0</v>
      </c>
      <c r="H1209" s="41" t="n">
        <v>0</v>
      </c>
      <c r="I1209" s="41" t="n">
        <v>0</v>
      </c>
      <c r="J1209" s="41" t="n">
        <v>0</v>
      </c>
      <c r="K1209" s="41" t="n">
        <v>0</v>
      </c>
      <c r="L1209" s="41" t="n">
        <v>0</v>
      </c>
    </row>
    <row r="1210" customFormat="false" ht="15.75" hidden="false" customHeight="false" outlineLevel="0" collapsed="false">
      <c r="B1210" s="39" t="s">
        <v>1342</v>
      </c>
      <c r="C1210" s="40" t="str">
        <f aca="false">IF(B1210="","",IFERROR(INDEX('CLM &amp; IM Mapping'!$B$2:$B$270,MATCH(TRIM(B1210),'CLM &amp; IM Mapping'!$A$2:$A$270,0)),"Not Mapped"))</f>
        <v>Not Mapped</v>
      </c>
      <c r="D1210" s="40" t="str">
        <f aca="false">IF(B1210="","",IFERROR(INDEX('CLM &amp; IM Mapping'!$C$2:$C$270,MATCH(TRIM(B1210),'CLM &amp; IM Mapping'!$A$2:$A$270,0)),"Not Mapped"))</f>
        <v>Not Mapped</v>
      </c>
      <c r="E1210" s="41" t="n">
        <v>0</v>
      </c>
      <c r="F1210" s="41" t="n">
        <v>0</v>
      </c>
      <c r="G1210" s="41" t="n">
        <v>0</v>
      </c>
      <c r="H1210" s="41" t="n">
        <v>0</v>
      </c>
      <c r="I1210" s="41" t="n">
        <v>0</v>
      </c>
      <c r="J1210" s="41" t="n">
        <v>0</v>
      </c>
      <c r="K1210" s="41" t="n">
        <v>0</v>
      </c>
      <c r="L1210" s="41" t="n">
        <v>0</v>
      </c>
    </row>
    <row r="1211" customFormat="false" ht="15.75" hidden="false" customHeight="false" outlineLevel="0" collapsed="false">
      <c r="B1211" s="39" t="s">
        <v>1343</v>
      </c>
      <c r="C1211" s="40" t="str">
        <f aca="false">IF(B1211="","",IFERROR(INDEX('CLM &amp; IM Mapping'!$B$2:$B$270,MATCH(TRIM(B1211),'CLM &amp; IM Mapping'!$A$2:$A$270,0)),"Not Mapped"))</f>
        <v>Not Mapped</v>
      </c>
      <c r="D1211" s="40" t="str">
        <f aca="false">IF(B1211="","",IFERROR(INDEX('CLM &amp; IM Mapping'!$C$2:$C$270,MATCH(TRIM(B1211),'CLM &amp; IM Mapping'!$A$2:$A$270,0)),"Not Mapped"))</f>
        <v>Not Mapped</v>
      </c>
      <c r="E1211" s="41" t="n">
        <v>0</v>
      </c>
      <c r="F1211" s="41" t="n">
        <v>0</v>
      </c>
      <c r="G1211" s="41" t="n">
        <v>0</v>
      </c>
      <c r="H1211" s="41" t="n">
        <v>0</v>
      </c>
      <c r="I1211" s="41" t="n">
        <v>0</v>
      </c>
      <c r="J1211" s="41" t="n">
        <v>0</v>
      </c>
      <c r="K1211" s="41" t="n">
        <v>0</v>
      </c>
      <c r="L1211" s="41" t="n">
        <v>0</v>
      </c>
    </row>
    <row r="1212" customFormat="false" ht="15.75" hidden="false" customHeight="false" outlineLevel="0" collapsed="false">
      <c r="B1212" s="39" t="s">
        <v>1344</v>
      </c>
      <c r="C1212" s="40" t="str">
        <f aca="false">IF(B1212="","",IFERROR(INDEX('CLM &amp; IM Mapping'!$B$2:$B$270,MATCH(TRIM(B1212),'CLM &amp; IM Mapping'!$A$2:$A$270,0)),"Not Mapped"))</f>
        <v>Not Mapped</v>
      </c>
      <c r="D1212" s="40" t="str">
        <f aca="false">IF(B1212="","",IFERROR(INDEX('CLM &amp; IM Mapping'!$C$2:$C$270,MATCH(TRIM(B1212),'CLM &amp; IM Mapping'!$A$2:$A$270,0)),"Not Mapped"))</f>
        <v>Not Mapped</v>
      </c>
      <c r="E1212" s="41" t="n">
        <v>2714</v>
      </c>
      <c r="F1212" s="41" t="n">
        <v>1097</v>
      </c>
      <c r="G1212" s="41" t="n">
        <v>1582</v>
      </c>
      <c r="H1212" s="41" t="n">
        <v>0</v>
      </c>
      <c r="I1212" s="41" t="n">
        <v>35</v>
      </c>
      <c r="J1212" s="41" t="n">
        <v>0</v>
      </c>
      <c r="K1212" s="41" t="n">
        <v>0</v>
      </c>
      <c r="L1212" s="41" t="n">
        <v>35</v>
      </c>
    </row>
    <row r="1213" customFormat="false" ht="15.75" hidden="false" customHeight="false" outlineLevel="0" collapsed="false">
      <c r="B1213" s="39" t="s">
        <v>1345</v>
      </c>
      <c r="C1213" s="40" t="str">
        <f aca="false">IF(B1213="","",IFERROR(INDEX('CLM &amp; IM Mapping'!$B$2:$B$270,MATCH(TRIM(B1213),'CLM &amp; IM Mapping'!$A$2:$A$270,0)),"Not Mapped"))</f>
        <v>Not Mapped</v>
      </c>
      <c r="D1213" s="40" t="str">
        <f aca="false">IF(B1213="","",IFERROR(INDEX('CLM &amp; IM Mapping'!$C$2:$C$270,MATCH(TRIM(B1213),'CLM &amp; IM Mapping'!$A$2:$A$270,0)),"Not Mapped"))</f>
        <v>Not Mapped</v>
      </c>
      <c r="E1213" s="41" t="n">
        <v>6291</v>
      </c>
      <c r="F1213" s="41" t="n">
        <v>2480</v>
      </c>
      <c r="G1213" s="41" t="n">
        <v>3794</v>
      </c>
      <c r="H1213" s="41" t="n">
        <v>0</v>
      </c>
      <c r="I1213" s="41" t="n">
        <v>1</v>
      </c>
      <c r="J1213" s="41" t="n">
        <v>0</v>
      </c>
      <c r="K1213" s="41" t="n">
        <v>16</v>
      </c>
      <c r="L1213" s="41" t="n">
        <v>17</v>
      </c>
    </row>
    <row r="1214" customFormat="false" ht="15.75" hidden="false" customHeight="false" outlineLevel="0" collapsed="false">
      <c r="B1214" s="39" t="s">
        <v>1346</v>
      </c>
      <c r="C1214" s="40" t="str">
        <f aca="false">IF(B1214="","",IFERROR(INDEX('CLM &amp; IM Mapping'!$B$2:$B$270,MATCH(TRIM(B1214),'CLM &amp; IM Mapping'!$A$2:$A$270,0)),"Not Mapped"))</f>
        <v>Not Mapped</v>
      </c>
      <c r="D1214" s="40" t="str">
        <f aca="false">IF(B1214="","",IFERROR(INDEX('CLM &amp; IM Mapping'!$C$2:$C$270,MATCH(TRIM(B1214),'CLM &amp; IM Mapping'!$A$2:$A$270,0)),"Not Mapped"))</f>
        <v>Not Mapped</v>
      </c>
      <c r="E1214" s="41" t="n">
        <v>2540</v>
      </c>
      <c r="F1214" s="41" t="n">
        <v>1944</v>
      </c>
      <c r="G1214" s="41" t="n">
        <v>388</v>
      </c>
      <c r="H1214" s="41" t="n">
        <v>0</v>
      </c>
      <c r="I1214" s="41" t="n">
        <v>208</v>
      </c>
      <c r="J1214" s="41" t="n">
        <v>0</v>
      </c>
      <c r="K1214" s="41" t="n">
        <v>0</v>
      </c>
      <c r="L1214" s="41" t="n">
        <v>208</v>
      </c>
    </row>
    <row r="1215" customFormat="false" ht="15.75" hidden="false" customHeight="false" outlineLevel="0" collapsed="false">
      <c r="B1215" s="39" t="s">
        <v>1347</v>
      </c>
      <c r="C1215" s="40" t="str">
        <f aca="false">IF(B1215="","",IFERROR(INDEX('CLM &amp; IM Mapping'!$B$2:$B$270,MATCH(TRIM(B1215),'CLM &amp; IM Mapping'!$A$2:$A$270,0)),"Not Mapped"))</f>
        <v>Not Mapped</v>
      </c>
      <c r="D1215" s="40" t="str">
        <f aca="false">IF(B1215="","",IFERROR(INDEX('CLM &amp; IM Mapping'!$C$2:$C$270,MATCH(TRIM(B1215),'CLM &amp; IM Mapping'!$A$2:$A$270,0)),"Not Mapped"))</f>
        <v>Not Mapped</v>
      </c>
      <c r="E1215" s="41" t="n">
        <v>1221</v>
      </c>
      <c r="F1215" s="41" t="n">
        <v>1221</v>
      </c>
      <c r="G1215" s="41" t="n">
        <v>0</v>
      </c>
      <c r="H1215" s="41" t="n">
        <v>0</v>
      </c>
      <c r="I1215" s="41" t="n">
        <v>0</v>
      </c>
      <c r="J1215" s="41" t="n">
        <v>0</v>
      </c>
      <c r="K1215" s="41" t="n">
        <v>0</v>
      </c>
      <c r="L1215" s="41" t="n">
        <v>0</v>
      </c>
    </row>
    <row r="1216" customFormat="false" ht="15.75" hidden="false" customHeight="false" outlineLevel="0" collapsed="false">
      <c r="B1216" s="39" t="s">
        <v>1348</v>
      </c>
      <c r="C1216" s="40" t="str">
        <f aca="false">IF(B1216="","",IFERROR(INDEX('CLM &amp; IM Mapping'!$B$2:$B$270,MATCH(TRIM(B1216),'CLM &amp; IM Mapping'!$A$2:$A$270,0)),"Not Mapped"))</f>
        <v>Not Mapped</v>
      </c>
      <c r="D1216" s="40" t="str">
        <f aca="false">IF(B1216="","",IFERROR(INDEX('CLM &amp; IM Mapping'!$C$2:$C$270,MATCH(TRIM(B1216),'CLM &amp; IM Mapping'!$A$2:$A$270,0)),"Not Mapped"))</f>
        <v>Not Mapped</v>
      </c>
      <c r="E1216" s="41" t="n">
        <v>759</v>
      </c>
      <c r="F1216" s="41" t="n">
        <v>0</v>
      </c>
      <c r="G1216" s="41" t="n">
        <v>569</v>
      </c>
      <c r="H1216" s="41" t="n">
        <v>190</v>
      </c>
      <c r="I1216" s="41" t="n">
        <v>0</v>
      </c>
      <c r="J1216" s="41" t="n">
        <v>0</v>
      </c>
      <c r="K1216" s="41" t="n">
        <v>0</v>
      </c>
      <c r="L1216" s="41" t="n">
        <v>190</v>
      </c>
    </row>
    <row r="1217" customFormat="false" ht="15.75" hidden="false" customHeight="false" outlineLevel="0" collapsed="false">
      <c r="B1217" s="39" t="s">
        <v>1349</v>
      </c>
      <c r="C1217" s="40" t="str">
        <f aca="false">IF(B1217="","",IFERROR(INDEX('CLM &amp; IM Mapping'!$B$2:$B$270,MATCH(TRIM(B1217),'CLM &amp; IM Mapping'!$A$2:$A$270,0)),"Not Mapped"))</f>
        <v>Not Mapped</v>
      </c>
      <c r="D1217" s="40" t="str">
        <f aca="false">IF(B1217="","",IFERROR(INDEX('CLM &amp; IM Mapping'!$C$2:$C$270,MATCH(TRIM(B1217),'CLM &amp; IM Mapping'!$A$2:$A$270,0)),"Not Mapped"))</f>
        <v>Not Mapped</v>
      </c>
      <c r="E1217" s="41" t="n">
        <v>729</v>
      </c>
      <c r="F1217" s="41" t="n">
        <v>729</v>
      </c>
      <c r="G1217" s="41" t="n">
        <v>0</v>
      </c>
      <c r="H1217" s="41" t="n">
        <v>0</v>
      </c>
      <c r="I1217" s="41" t="n">
        <v>0</v>
      </c>
      <c r="J1217" s="41" t="n">
        <v>0</v>
      </c>
      <c r="K1217" s="41" t="n">
        <v>0</v>
      </c>
      <c r="L1217" s="41" t="n">
        <v>0</v>
      </c>
    </row>
    <row r="1218" customFormat="false" ht="15.75" hidden="false" customHeight="false" outlineLevel="0" collapsed="false">
      <c r="B1218" s="39" t="s">
        <v>1350</v>
      </c>
      <c r="C1218" s="40" t="str">
        <f aca="false">IF(B1218="","",IFERROR(INDEX('CLM &amp; IM Mapping'!$B$2:$B$270,MATCH(TRIM(B1218),'CLM &amp; IM Mapping'!$A$2:$A$270,0)),"Not Mapped"))</f>
        <v>Not Mapped</v>
      </c>
      <c r="D1218" s="40" t="str">
        <f aca="false">IF(B1218="","",IFERROR(INDEX('CLM &amp; IM Mapping'!$C$2:$C$270,MATCH(TRIM(B1218),'CLM &amp; IM Mapping'!$A$2:$A$270,0)),"Not Mapped"))</f>
        <v>Not Mapped</v>
      </c>
      <c r="E1218" s="41" t="n">
        <v>1411</v>
      </c>
      <c r="F1218" s="41" t="n">
        <v>95</v>
      </c>
      <c r="G1218" s="41" t="n">
        <v>1316</v>
      </c>
      <c r="H1218" s="41" t="n">
        <v>0</v>
      </c>
      <c r="I1218" s="41" t="n">
        <v>0</v>
      </c>
      <c r="J1218" s="41" t="n">
        <v>0</v>
      </c>
      <c r="K1218" s="41" t="n">
        <v>0</v>
      </c>
      <c r="L1218" s="41" t="n">
        <v>0</v>
      </c>
    </row>
    <row r="1219" customFormat="false" ht="15.75" hidden="false" customHeight="false" outlineLevel="0" collapsed="false">
      <c r="B1219" s="23" t="s">
        <v>1351</v>
      </c>
      <c r="C1219" s="44" t="str">
        <f aca="false">IF(B1219="","",IFERROR(INDEX('CLM &amp; IM Mapping'!$B$2:$B$270,MATCH(TRIM(B1219),'CLM &amp; IM Mapping'!$A$2:$A$270,0)),"Not Mapped"))</f>
        <v>Not Mapped</v>
      </c>
      <c r="D1219" s="44" t="str">
        <f aca="false">IF(B1219="","",IFERROR(INDEX('CLM &amp; IM Mapping'!$C$2:$C$270,MATCH(TRIM(B1219),'CLM &amp; IM Mapping'!$A$2:$A$270,0)),"Not Mapped"))</f>
        <v>Not Mapped</v>
      </c>
      <c r="E1219" s="41" t="n">
        <v>0</v>
      </c>
      <c r="F1219" s="41" t="n">
        <v>0</v>
      </c>
      <c r="G1219" s="41" t="n">
        <v>0</v>
      </c>
      <c r="H1219" s="41" t="n">
        <v>0</v>
      </c>
      <c r="I1219" s="41" t="n">
        <v>0</v>
      </c>
      <c r="J1219" s="41" t="n">
        <v>0</v>
      </c>
      <c r="K1219" s="41" t="n">
        <v>0</v>
      </c>
      <c r="L1219" s="41" t="n">
        <v>0</v>
      </c>
    </row>
    <row r="1220" customFormat="false" ht="15.75" hidden="false" customHeight="false" outlineLevel="0" collapsed="false">
      <c r="B1220" s="39" t="s">
        <v>1352</v>
      </c>
      <c r="C1220" s="40" t="str">
        <f aca="false">IF(B1220="","",IFERROR(INDEX('CLM &amp; IM Mapping'!$B$2:$B$270,MATCH(TRIM(B1220),'CLM &amp; IM Mapping'!$A$2:$A$270,0)),"Not Mapped"))</f>
        <v>Not Mapped</v>
      </c>
      <c r="D1220" s="40" t="str">
        <f aca="false">IF(B1220="","",IFERROR(INDEX('CLM &amp; IM Mapping'!$C$2:$C$270,MATCH(TRIM(B1220),'CLM &amp; IM Mapping'!$A$2:$A$270,0)),"Not Mapped"))</f>
        <v>Not Mapped</v>
      </c>
      <c r="E1220" s="41" t="n">
        <v>0</v>
      </c>
      <c r="F1220" s="41" t="n">
        <v>0</v>
      </c>
      <c r="G1220" s="41" t="n">
        <v>0</v>
      </c>
      <c r="H1220" s="41" t="n">
        <v>0</v>
      </c>
      <c r="I1220" s="41" t="n">
        <v>0</v>
      </c>
      <c r="J1220" s="41" t="n">
        <v>0</v>
      </c>
      <c r="K1220" s="41" t="n">
        <v>0</v>
      </c>
      <c r="L1220" s="41" t="n">
        <v>0</v>
      </c>
    </row>
    <row r="1221" customFormat="false" ht="15.75" hidden="false" customHeight="false" outlineLevel="0" collapsed="false">
      <c r="B1221" s="39" t="s">
        <v>1353</v>
      </c>
      <c r="C1221" s="40" t="str">
        <f aca="false">IF(B1221="","",IFERROR(INDEX('CLM &amp; IM Mapping'!$B$2:$B$270,MATCH(TRIM(B1221),'CLM &amp; IM Mapping'!$A$2:$A$270,0)),"Not Mapped"))</f>
        <v>Not Mapped</v>
      </c>
      <c r="D1221" s="40" t="str">
        <f aca="false">IF(B1221="","",IFERROR(INDEX('CLM &amp; IM Mapping'!$C$2:$C$270,MATCH(TRIM(B1221),'CLM &amp; IM Mapping'!$A$2:$A$270,0)),"Not Mapped"))</f>
        <v>Not Mapped</v>
      </c>
      <c r="E1221" s="41" t="n">
        <v>11260</v>
      </c>
      <c r="F1221" s="41" t="n">
        <v>3631</v>
      </c>
      <c r="G1221" s="41" t="n">
        <v>0</v>
      </c>
      <c r="H1221" s="41" t="n">
        <v>514</v>
      </c>
      <c r="I1221" s="41" t="n">
        <v>4564</v>
      </c>
      <c r="J1221" s="41" t="n">
        <v>76</v>
      </c>
      <c r="K1221" s="41" t="n">
        <v>2475</v>
      </c>
      <c r="L1221" s="41" t="n">
        <v>7115</v>
      </c>
    </row>
    <row r="1222" customFormat="false" ht="15.75" hidden="false" customHeight="false" outlineLevel="0" collapsed="false">
      <c r="B1222" s="39" t="s">
        <v>1354</v>
      </c>
      <c r="C1222" s="40" t="str">
        <f aca="false">IF(B1222="","",IFERROR(INDEX('CLM &amp; IM Mapping'!$B$2:$B$270,MATCH(TRIM(B1222),'CLM &amp; IM Mapping'!$A$2:$A$270,0)),"Not Mapped"))</f>
        <v>Not Mapped</v>
      </c>
      <c r="D1222" s="40" t="str">
        <f aca="false">IF(B1222="","",IFERROR(INDEX('CLM &amp; IM Mapping'!$C$2:$C$270,MATCH(TRIM(B1222),'CLM &amp; IM Mapping'!$A$2:$A$270,0)),"Not Mapped"))</f>
        <v>Not Mapped</v>
      </c>
      <c r="E1222" s="41" t="n">
        <v>0</v>
      </c>
      <c r="F1222" s="41" t="n">
        <v>0</v>
      </c>
      <c r="G1222" s="41" t="n">
        <v>0</v>
      </c>
      <c r="H1222" s="41" t="n">
        <v>0</v>
      </c>
      <c r="I1222" s="41" t="n">
        <v>0</v>
      </c>
      <c r="J1222" s="41" t="n">
        <v>0</v>
      </c>
      <c r="K1222" s="41" t="n">
        <v>0</v>
      </c>
      <c r="L1222" s="41" t="n">
        <v>0</v>
      </c>
    </row>
    <row r="1223" customFormat="false" ht="15.75" hidden="false" customHeight="false" outlineLevel="0" collapsed="false">
      <c r="B1223" s="39" t="s">
        <v>1355</v>
      </c>
      <c r="C1223" s="40" t="str">
        <f aca="false">IF(B1223="","",IFERROR(INDEX('CLM &amp; IM Mapping'!$B$2:$B$270,MATCH(TRIM(B1223),'CLM &amp; IM Mapping'!$A$2:$A$270,0)),"Not Mapped"))</f>
        <v>Not Mapped</v>
      </c>
      <c r="D1223" s="40" t="str">
        <f aca="false">IF(B1223="","",IFERROR(INDEX('CLM &amp; IM Mapping'!$C$2:$C$270,MATCH(TRIM(B1223),'CLM &amp; IM Mapping'!$A$2:$A$270,0)),"Not Mapped"))</f>
        <v>Not Mapped</v>
      </c>
      <c r="E1223" s="41" t="n">
        <v>0</v>
      </c>
      <c r="F1223" s="41" t="n">
        <v>0</v>
      </c>
      <c r="G1223" s="41" t="n">
        <v>0</v>
      </c>
      <c r="H1223" s="41" t="n">
        <v>0</v>
      </c>
      <c r="I1223" s="41" t="n">
        <v>0</v>
      </c>
      <c r="J1223" s="41" t="n">
        <v>0</v>
      </c>
      <c r="K1223" s="41" t="n">
        <v>0</v>
      </c>
      <c r="L1223" s="41" t="n">
        <v>0</v>
      </c>
    </row>
    <row r="1224" customFormat="false" ht="15.75" hidden="false" customHeight="false" outlineLevel="0" collapsed="false">
      <c r="B1224" s="39" t="s">
        <v>1356</v>
      </c>
      <c r="C1224" s="40" t="str">
        <f aca="false">IF(B1224="","",IFERROR(INDEX('CLM &amp; IM Mapping'!$B$2:$B$270,MATCH(TRIM(B1224),'CLM &amp; IM Mapping'!$A$2:$A$270,0)),"Not Mapped"))</f>
        <v>Not Mapped</v>
      </c>
      <c r="D1224" s="40" t="str">
        <f aca="false">IF(B1224="","",IFERROR(INDEX('CLM &amp; IM Mapping'!$C$2:$C$270,MATCH(TRIM(B1224),'CLM &amp; IM Mapping'!$A$2:$A$270,0)),"Not Mapped"))</f>
        <v>Not Mapped</v>
      </c>
      <c r="E1224" s="41" t="n">
        <v>0</v>
      </c>
      <c r="F1224" s="41" t="n">
        <v>0</v>
      </c>
      <c r="G1224" s="41" t="n">
        <v>0</v>
      </c>
      <c r="H1224" s="41" t="n">
        <v>0</v>
      </c>
      <c r="I1224" s="41" t="n">
        <v>0</v>
      </c>
      <c r="J1224" s="41" t="n">
        <v>0</v>
      </c>
      <c r="K1224" s="41" t="n">
        <v>0</v>
      </c>
      <c r="L1224" s="41" t="n">
        <v>0</v>
      </c>
    </row>
    <row r="1225" customFormat="false" ht="15.75" hidden="false" customHeight="false" outlineLevel="0" collapsed="false">
      <c r="B1225" s="39" t="s">
        <v>1357</v>
      </c>
      <c r="C1225" s="40" t="str">
        <f aca="false">IF(B1225="","",IFERROR(INDEX('CLM &amp; IM Mapping'!$B$2:$B$270,MATCH(TRIM(B1225),'CLM &amp; IM Mapping'!$A$2:$A$270,0)),"Not Mapped"))</f>
        <v>Not Mapped</v>
      </c>
      <c r="D1225" s="40" t="str">
        <f aca="false">IF(B1225="","",IFERROR(INDEX('CLM &amp; IM Mapping'!$C$2:$C$270,MATCH(TRIM(B1225),'CLM &amp; IM Mapping'!$A$2:$A$270,0)),"Not Mapped"))</f>
        <v>Not Mapped</v>
      </c>
      <c r="E1225" s="41" t="n">
        <v>0</v>
      </c>
      <c r="F1225" s="41" t="n">
        <v>0</v>
      </c>
      <c r="G1225" s="41" t="n">
        <v>0</v>
      </c>
      <c r="H1225" s="41" t="n">
        <v>0</v>
      </c>
      <c r="I1225" s="41" t="n">
        <v>0</v>
      </c>
      <c r="J1225" s="41" t="n">
        <v>0</v>
      </c>
      <c r="K1225" s="41" t="n">
        <v>0</v>
      </c>
      <c r="L1225" s="41" t="n">
        <v>0</v>
      </c>
    </row>
    <row r="1226" customFormat="false" ht="15.75" hidden="false" customHeight="false" outlineLevel="0" collapsed="false">
      <c r="B1226" s="39" t="s">
        <v>1358</v>
      </c>
      <c r="C1226" s="40" t="str">
        <f aca="false">IF(B1226="","",IFERROR(INDEX('CLM &amp; IM Mapping'!$B$2:$B$270,MATCH(TRIM(B1226),'CLM &amp; IM Mapping'!$A$2:$A$270,0)),"Not Mapped"))</f>
        <v>Not Mapped</v>
      </c>
      <c r="D1226" s="40" t="str">
        <f aca="false">IF(B1226="","",IFERROR(INDEX('CLM &amp; IM Mapping'!$C$2:$C$270,MATCH(TRIM(B1226),'CLM &amp; IM Mapping'!$A$2:$A$270,0)),"Not Mapped"))</f>
        <v>Not Mapped</v>
      </c>
      <c r="E1226" s="41" t="n">
        <v>5801</v>
      </c>
      <c r="F1226" s="41" t="n">
        <v>2412</v>
      </c>
      <c r="G1226" s="41" t="n">
        <v>2</v>
      </c>
      <c r="H1226" s="41" t="n">
        <v>3248</v>
      </c>
      <c r="I1226" s="41" t="n">
        <v>90</v>
      </c>
      <c r="J1226" s="41" t="n">
        <v>49</v>
      </c>
      <c r="K1226" s="41" t="n">
        <v>0</v>
      </c>
      <c r="L1226" s="41" t="n">
        <v>3387</v>
      </c>
    </row>
    <row r="1227" customFormat="false" ht="15.75" hidden="false" customHeight="false" outlineLevel="0" collapsed="false">
      <c r="B1227" s="39" t="s">
        <v>1359</v>
      </c>
      <c r="C1227" s="40" t="str">
        <f aca="false">IF(B1227="","",IFERROR(INDEX('CLM &amp; IM Mapping'!$B$2:$B$270,MATCH(TRIM(B1227),'CLM &amp; IM Mapping'!$A$2:$A$270,0)),"Not Mapped"))</f>
        <v>Not Mapped</v>
      </c>
      <c r="D1227" s="40" t="str">
        <f aca="false">IF(B1227="","",IFERROR(INDEX('CLM &amp; IM Mapping'!$C$2:$C$270,MATCH(TRIM(B1227),'CLM &amp; IM Mapping'!$A$2:$A$270,0)),"Not Mapped"))</f>
        <v>Not Mapped</v>
      </c>
      <c r="E1227" s="41" t="n">
        <v>1255</v>
      </c>
      <c r="F1227" s="41" t="n">
        <v>1255</v>
      </c>
      <c r="G1227" s="41" t="n">
        <v>0</v>
      </c>
      <c r="H1227" s="41" t="n">
        <v>0</v>
      </c>
      <c r="I1227" s="41" t="n">
        <v>0</v>
      </c>
      <c r="J1227" s="41" t="n">
        <v>0</v>
      </c>
      <c r="K1227" s="41" t="n">
        <v>0</v>
      </c>
      <c r="L1227" s="41" t="n">
        <v>0</v>
      </c>
    </row>
    <row r="1228" customFormat="false" ht="15.75" hidden="false" customHeight="false" outlineLevel="0" collapsed="false">
      <c r="B1228" s="39" t="s">
        <v>1360</v>
      </c>
      <c r="C1228" s="40" t="str">
        <f aca="false">IF(B1228="","",IFERROR(INDEX('CLM &amp; IM Mapping'!$B$2:$B$270,MATCH(TRIM(B1228),'CLM &amp; IM Mapping'!$A$2:$A$270,0)),"Not Mapped"))</f>
        <v>Not Mapped</v>
      </c>
      <c r="D1228" s="40" t="str">
        <f aca="false">IF(B1228="","",IFERROR(INDEX('CLM &amp; IM Mapping'!$C$2:$C$270,MATCH(TRIM(B1228),'CLM &amp; IM Mapping'!$A$2:$A$270,0)),"Not Mapped"))</f>
        <v>Not Mapped</v>
      </c>
      <c r="E1228" s="41" t="n">
        <v>0</v>
      </c>
      <c r="F1228" s="41" t="n">
        <v>0</v>
      </c>
      <c r="G1228" s="41" t="n">
        <v>0</v>
      </c>
      <c r="H1228" s="41" t="n">
        <v>0</v>
      </c>
      <c r="I1228" s="41" t="n">
        <v>0</v>
      </c>
      <c r="J1228" s="41" t="n">
        <v>0</v>
      </c>
      <c r="K1228" s="41" t="n">
        <v>0</v>
      </c>
      <c r="L1228" s="41" t="n">
        <v>0</v>
      </c>
    </row>
    <row r="1229" customFormat="false" ht="15.75" hidden="false" customHeight="false" outlineLevel="0" collapsed="false">
      <c r="B1229" s="39" t="s">
        <v>1361</v>
      </c>
      <c r="C1229" s="40" t="str">
        <f aca="false">IF(B1229="","",IFERROR(INDEX('CLM &amp; IM Mapping'!$B$2:$B$270,MATCH(TRIM(B1229),'CLM &amp; IM Mapping'!$A$2:$A$270,0)),"Not Mapped"))</f>
        <v>Not Mapped</v>
      </c>
      <c r="D1229" s="40" t="str">
        <f aca="false">IF(B1229="","",IFERROR(INDEX('CLM &amp; IM Mapping'!$C$2:$C$270,MATCH(TRIM(B1229),'CLM &amp; IM Mapping'!$A$2:$A$270,0)),"Not Mapped"))</f>
        <v>Not Mapped</v>
      </c>
      <c r="E1229" s="41" t="n">
        <v>13139</v>
      </c>
      <c r="F1229" s="41" t="n">
        <v>444</v>
      </c>
      <c r="G1229" s="41" t="n">
        <v>8116</v>
      </c>
      <c r="H1229" s="41" t="n">
        <v>3680</v>
      </c>
      <c r="I1229" s="41" t="n">
        <v>76</v>
      </c>
      <c r="J1229" s="41" t="n">
        <v>773</v>
      </c>
      <c r="K1229" s="41" t="n">
        <v>50</v>
      </c>
      <c r="L1229" s="41" t="n">
        <v>4579</v>
      </c>
    </row>
    <row r="1230" customFormat="false" ht="15.75" hidden="false" customHeight="false" outlineLevel="0" collapsed="false">
      <c r="B1230" s="39" t="s">
        <v>1362</v>
      </c>
      <c r="C1230" s="40" t="str">
        <f aca="false">IF(B1230="","",IFERROR(INDEX('CLM &amp; IM Mapping'!$B$2:$B$270,MATCH(TRIM(B1230),'CLM &amp; IM Mapping'!$A$2:$A$270,0)),"Not Mapped"))</f>
        <v>Not Mapped</v>
      </c>
      <c r="D1230" s="40" t="str">
        <f aca="false">IF(B1230="","",IFERROR(INDEX('CLM &amp; IM Mapping'!$C$2:$C$270,MATCH(TRIM(B1230),'CLM &amp; IM Mapping'!$A$2:$A$270,0)),"Not Mapped"))</f>
        <v>Not Mapped</v>
      </c>
      <c r="E1230" s="41" t="n">
        <v>0</v>
      </c>
      <c r="F1230" s="41" t="n">
        <v>0</v>
      </c>
      <c r="G1230" s="41" t="n">
        <v>0</v>
      </c>
      <c r="H1230" s="41" t="n">
        <v>0</v>
      </c>
      <c r="I1230" s="41" t="n">
        <v>0</v>
      </c>
      <c r="J1230" s="41" t="n">
        <v>0</v>
      </c>
      <c r="K1230" s="41" t="n">
        <v>0</v>
      </c>
      <c r="L1230" s="41" t="n">
        <v>0</v>
      </c>
    </row>
    <row r="1231" customFormat="false" ht="15.75" hidden="false" customHeight="false" outlineLevel="0" collapsed="false">
      <c r="B1231" s="39" t="s">
        <v>1363</v>
      </c>
      <c r="C1231" s="40" t="str">
        <f aca="false">IF(B1231="","",IFERROR(INDEX('CLM &amp; IM Mapping'!$B$2:$B$270,MATCH(TRIM(B1231),'CLM &amp; IM Mapping'!$A$2:$A$270,0)),"Not Mapped"))</f>
        <v>Not Mapped</v>
      </c>
      <c r="D1231" s="40" t="str">
        <f aca="false">IF(B1231="","",IFERROR(INDEX('CLM &amp; IM Mapping'!$C$2:$C$270,MATCH(TRIM(B1231),'CLM &amp; IM Mapping'!$A$2:$A$270,0)),"Not Mapped"))</f>
        <v>Not Mapped</v>
      </c>
      <c r="E1231" s="41" t="n">
        <v>1768</v>
      </c>
      <c r="F1231" s="41" t="n">
        <v>0</v>
      </c>
      <c r="G1231" s="41" t="n">
        <v>1752</v>
      </c>
      <c r="H1231" s="41" t="n">
        <v>0</v>
      </c>
      <c r="I1231" s="41" t="n">
        <v>0</v>
      </c>
      <c r="J1231" s="41" t="n">
        <v>0</v>
      </c>
      <c r="K1231" s="41" t="n">
        <v>16</v>
      </c>
      <c r="L1231" s="41" t="n">
        <v>16</v>
      </c>
    </row>
    <row r="1232" customFormat="false" ht="15.75" hidden="false" customHeight="false" outlineLevel="0" collapsed="false">
      <c r="B1232" s="39" t="s">
        <v>1364</v>
      </c>
      <c r="C1232" s="40" t="str">
        <f aca="false">IF(B1232="","",IFERROR(INDEX('CLM &amp; IM Mapping'!$B$2:$B$270,MATCH(TRIM(B1232),'CLM &amp; IM Mapping'!$A$2:$A$270,0)),"Not Mapped"))</f>
        <v>Not Mapped</v>
      </c>
      <c r="D1232" s="40" t="str">
        <f aca="false">IF(B1232="","",IFERROR(INDEX('CLM &amp; IM Mapping'!$C$2:$C$270,MATCH(TRIM(B1232),'CLM &amp; IM Mapping'!$A$2:$A$270,0)),"Not Mapped"))</f>
        <v>Not Mapped</v>
      </c>
      <c r="E1232" s="41" t="n">
        <v>4340</v>
      </c>
      <c r="F1232" s="41" t="n">
        <v>0</v>
      </c>
      <c r="G1232" s="41" t="n">
        <v>714</v>
      </c>
      <c r="H1232" s="41" t="n">
        <v>2610</v>
      </c>
      <c r="I1232" s="41" t="n">
        <v>0</v>
      </c>
      <c r="J1232" s="41" t="n">
        <v>536</v>
      </c>
      <c r="K1232" s="41" t="n">
        <v>480</v>
      </c>
      <c r="L1232" s="41" t="n">
        <v>3626</v>
      </c>
    </row>
    <row r="1233" customFormat="false" ht="15.75" hidden="false" customHeight="false" outlineLevel="0" collapsed="false">
      <c r="B1233" s="39" t="s">
        <v>1365</v>
      </c>
      <c r="C1233" s="40" t="str">
        <f aca="false">IF(B1233="","",IFERROR(INDEX('CLM &amp; IM Mapping'!$B$2:$B$270,MATCH(TRIM(B1233),'CLM &amp; IM Mapping'!$A$2:$A$270,0)),"Not Mapped"))</f>
        <v>Not Mapped</v>
      </c>
      <c r="D1233" s="40" t="str">
        <f aca="false">IF(B1233="","",IFERROR(INDEX('CLM &amp; IM Mapping'!$C$2:$C$270,MATCH(TRIM(B1233),'CLM &amp; IM Mapping'!$A$2:$A$270,0)),"Not Mapped"))</f>
        <v>Not Mapped</v>
      </c>
      <c r="E1233" s="41" t="n">
        <v>264</v>
      </c>
      <c r="F1233" s="41" t="n">
        <v>0</v>
      </c>
      <c r="G1233" s="41" t="n">
        <v>0</v>
      </c>
      <c r="H1233" s="41" t="n">
        <v>259</v>
      </c>
      <c r="I1233" s="41" t="n">
        <v>0</v>
      </c>
      <c r="J1233" s="41" t="n">
        <v>0</v>
      </c>
      <c r="K1233" s="41" t="n">
        <v>5</v>
      </c>
      <c r="L1233" s="41" t="n">
        <v>5</v>
      </c>
    </row>
    <row r="1234" customFormat="false" ht="15.75" hidden="false" customHeight="false" outlineLevel="0" collapsed="false">
      <c r="B1234" s="39" t="s">
        <v>1366</v>
      </c>
      <c r="C1234" s="40" t="str">
        <f aca="false">IF(B1234="","",IFERROR(INDEX('CLM &amp; IM Mapping'!$B$2:$B$270,MATCH(TRIM(B1234),'CLM &amp; IM Mapping'!$A$2:$A$270,0)),"Not Mapped"))</f>
        <v>Not Mapped</v>
      </c>
      <c r="D1234" s="40" t="str">
        <f aca="false">IF(B1234="","",IFERROR(INDEX('CLM &amp; IM Mapping'!$C$2:$C$270,MATCH(TRIM(B1234),'CLM &amp; IM Mapping'!$A$2:$A$270,0)),"Not Mapped"))</f>
        <v>Not Mapped</v>
      </c>
      <c r="E1234" s="41" t="n">
        <v>2859</v>
      </c>
      <c r="F1234" s="41" t="n">
        <v>0</v>
      </c>
      <c r="G1234" s="41" t="n">
        <v>2859</v>
      </c>
      <c r="H1234" s="41" t="n">
        <v>0</v>
      </c>
      <c r="I1234" s="41" t="n">
        <v>0</v>
      </c>
      <c r="J1234" s="41" t="n">
        <v>0</v>
      </c>
      <c r="K1234" s="41" t="n">
        <v>0</v>
      </c>
      <c r="L1234" s="41" t="n">
        <v>0</v>
      </c>
    </row>
    <row r="1235" customFormat="false" ht="15.75" hidden="false" customHeight="false" outlineLevel="0" collapsed="false">
      <c r="B1235" s="39" t="s">
        <v>1367</v>
      </c>
      <c r="C1235" s="40" t="str">
        <f aca="false">IF(B1235="","",IFERROR(INDEX('CLM &amp; IM Mapping'!$B$2:$B$270,MATCH(TRIM(B1235),'CLM &amp; IM Mapping'!$A$2:$A$270,0)),"Not Mapped"))</f>
        <v>Not Mapped</v>
      </c>
      <c r="D1235" s="40" t="str">
        <f aca="false">IF(B1235="","",IFERROR(INDEX('CLM &amp; IM Mapping'!$C$2:$C$270,MATCH(TRIM(B1235),'CLM &amp; IM Mapping'!$A$2:$A$270,0)),"Not Mapped"))</f>
        <v>Not Mapped</v>
      </c>
      <c r="E1235" s="41" t="n">
        <v>48</v>
      </c>
      <c r="F1235" s="41" t="n">
        <v>0</v>
      </c>
      <c r="G1235" s="41" t="n">
        <v>0</v>
      </c>
      <c r="H1235" s="41" t="n">
        <v>48</v>
      </c>
      <c r="I1235" s="41" t="n">
        <v>0</v>
      </c>
      <c r="J1235" s="41" t="n">
        <v>0</v>
      </c>
      <c r="K1235" s="41" t="n">
        <v>0</v>
      </c>
      <c r="L1235" s="41" t="n">
        <v>48</v>
      </c>
    </row>
    <row r="1236" customFormat="false" ht="15.75" hidden="false" customHeight="false" outlineLevel="0" collapsed="false">
      <c r="B1236" s="39" t="s">
        <v>1368</v>
      </c>
      <c r="C1236" s="40" t="str">
        <f aca="false">IF(B1236="","",IFERROR(INDEX('CLM &amp; IM Mapping'!$B$2:$B$270,MATCH(TRIM(B1236),'CLM &amp; IM Mapping'!$A$2:$A$270,0)),"Not Mapped"))</f>
        <v>Not Mapped</v>
      </c>
      <c r="D1236" s="40" t="str">
        <f aca="false">IF(B1236="","",IFERROR(INDEX('CLM &amp; IM Mapping'!$C$2:$C$270,MATCH(TRIM(B1236),'CLM &amp; IM Mapping'!$A$2:$A$270,0)),"Not Mapped"))</f>
        <v>Not Mapped</v>
      </c>
      <c r="E1236" s="41" t="n">
        <v>3658</v>
      </c>
      <c r="F1236" s="41" t="n">
        <v>896</v>
      </c>
      <c r="G1236" s="41" t="n">
        <v>2088</v>
      </c>
      <c r="H1236" s="41" t="n">
        <v>0</v>
      </c>
      <c r="I1236" s="41" t="n">
        <v>674</v>
      </c>
      <c r="J1236" s="41" t="n">
        <v>0</v>
      </c>
      <c r="K1236" s="41" t="n">
        <v>0</v>
      </c>
      <c r="L1236" s="41" t="n">
        <v>674</v>
      </c>
    </row>
    <row r="1237" customFormat="false" ht="15.75" hidden="false" customHeight="false" outlineLevel="0" collapsed="false">
      <c r="B1237" s="23" t="s">
        <v>1369</v>
      </c>
      <c r="C1237" s="44" t="str">
        <f aca="false">IF(B1237="","",IFERROR(INDEX('CLM &amp; IM Mapping'!$B$2:$B$270,MATCH(TRIM(B1237),'CLM &amp; IM Mapping'!$A$2:$A$270,0)),"Not Mapped"))</f>
        <v>Not Mapped</v>
      </c>
      <c r="D1237" s="44" t="str">
        <f aca="false">IF(B1237="","",IFERROR(INDEX('CLM &amp; IM Mapping'!$C$2:$C$270,MATCH(TRIM(B1237),'CLM &amp; IM Mapping'!$A$2:$A$270,0)),"Not Mapped"))</f>
        <v>Not Mapped</v>
      </c>
      <c r="E1237" s="41" t="n">
        <v>2159</v>
      </c>
      <c r="F1237" s="41" t="n">
        <v>0</v>
      </c>
      <c r="G1237" s="41" t="n">
        <v>2159</v>
      </c>
      <c r="H1237" s="41" t="n">
        <v>0</v>
      </c>
      <c r="I1237" s="41" t="n">
        <v>0</v>
      </c>
      <c r="J1237" s="41" t="n">
        <v>0</v>
      </c>
      <c r="K1237" s="41" t="n">
        <v>0</v>
      </c>
      <c r="L1237" s="41" t="n">
        <v>0</v>
      </c>
    </row>
    <row r="1238" customFormat="false" ht="15.75" hidden="false" customHeight="false" outlineLevel="0" collapsed="false">
      <c r="B1238" s="39" t="s">
        <v>1370</v>
      </c>
      <c r="C1238" s="40" t="str">
        <f aca="false">IF(B1238="","",IFERROR(INDEX('CLM &amp; IM Mapping'!$B$2:$B$270,MATCH(TRIM(B1238),'CLM &amp; IM Mapping'!$A$2:$A$270,0)),"Not Mapped"))</f>
        <v>Not Mapped</v>
      </c>
      <c r="D1238" s="40" t="str">
        <f aca="false">IF(B1238="","",IFERROR(INDEX('CLM &amp; IM Mapping'!$C$2:$C$270,MATCH(TRIM(B1238),'CLM &amp; IM Mapping'!$A$2:$A$270,0)),"Not Mapped"))</f>
        <v>Not Mapped</v>
      </c>
      <c r="E1238" s="41" t="n">
        <v>2476</v>
      </c>
      <c r="F1238" s="41" t="n">
        <v>2476</v>
      </c>
      <c r="G1238" s="41" t="n">
        <v>0</v>
      </c>
      <c r="H1238" s="41" t="n">
        <v>0</v>
      </c>
      <c r="I1238" s="41" t="n">
        <v>0</v>
      </c>
      <c r="J1238" s="41" t="n">
        <v>0</v>
      </c>
      <c r="K1238" s="41" t="n">
        <v>0</v>
      </c>
      <c r="L1238" s="41" t="n">
        <v>0</v>
      </c>
    </row>
    <row r="1239" customFormat="false" ht="15.75" hidden="false" customHeight="false" outlineLevel="0" collapsed="false">
      <c r="B1239" s="39" t="s">
        <v>1371</v>
      </c>
      <c r="C1239" s="40" t="str">
        <f aca="false">IF(B1239="","",IFERROR(INDEX('CLM &amp; IM Mapping'!$B$2:$B$270,MATCH(TRIM(B1239),'CLM &amp; IM Mapping'!$A$2:$A$270,0)),"Not Mapped"))</f>
        <v>Not Mapped</v>
      </c>
      <c r="D1239" s="40" t="str">
        <f aca="false">IF(B1239="","",IFERROR(INDEX('CLM &amp; IM Mapping'!$C$2:$C$270,MATCH(TRIM(B1239),'CLM &amp; IM Mapping'!$A$2:$A$270,0)),"Not Mapped"))</f>
        <v>Not Mapped</v>
      </c>
      <c r="E1239" s="41" t="n">
        <v>1340</v>
      </c>
      <c r="F1239" s="41" t="n">
        <v>0</v>
      </c>
      <c r="G1239" s="41" t="n">
        <v>1142</v>
      </c>
      <c r="H1239" s="41" t="n">
        <v>161</v>
      </c>
      <c r="I1239" s="41" t="n">
        <v>0</v>
      </c>
      <c r="J1239" s="41" t="n">
        <v>37</v>
      </c>
      <c r="K1239" s="41" t="n">
        <v>0</v>
      </c>
      <c r="L1239" s="41" t="n">
        <v>37</v>
      </c>
    </row>
    <row r="1240" customFormat="false" ht="15.75" hidden="false" customHeight="false" outlineLevel="0" collapsed="false">
      <c r="B1240" s="56" t="s">
        <v>1372</v>
      </c>
      <c r="C1240" s="44" t="str">
        <f aca="false">IF(B1240="","",IFERROR(INDEX('CLM &amp; IM Mapping'!$B$2:$B$270,MATCH(TRIM(B1240),'CLM &amp; IM Mapping'!$A$2:$A$270,0)),"Not Mapped"))</f>
        <v>Not Mapped</v>
      </c>
      <c r="D1240" s="44" t="str">
        <f aca="false">IF(B1240="","",IFERROR(INDEX('CLM &amp; IM Mapping'!$C$2:$C$270,MATCH(TRIM(B1240),'CLM &amp; IM Mapping'!$A$2:$A$270,0)),"Not Mapped"))</f>
        <v>Not Mapped</v>
      </c>
      <c r="E1240" s="41" t="n">
        <v>13747</v>
      </c>
      <c r="F1240" s="41" t="n">
        <v>6232</v>
      </c>
      <c r="G1240" s="41" t="n">
        <v>4520</v>
      </c>
      <c r="H1240" s="41" t="n">
        <v>0</v>
      </c>
      <c r="I1240" s="41" t="n">
        <v>2855</v>
      </c>
      <c r="J1240" s="41" t="n">
        <v>127</v>
      </c>
      <c r="K1240" s="41" t="n">
        <v>13</v>
      </c>
      <c r="L1240" s="41" t="n">
        <v>2995</v>
      </c>
    </row>
    <row r="1241" customFormat="false" ht="15.75" hidden="false" customHeight="false" outlineLevel="0" collapsed="false">
      <c r="B1241" s="39" t="s">
        <v>1373</v>
      </c>
      <c r="C1241" s="40" t="str">
        <f aca="false">IF(B1241="","",IFERROR(INDEX('CLM &amp; IM Mapping'!$B$2:$B$270,MATCH(TRIM(B1241),'CLM &amp; IM Mapping'!$A$2:$A$270,0)),"Not Mapped"))</f>
        <v>Not Mapped</v>
      </c>
      <c r="D1241" s="40" t="str">
        <f aca="false">IF(B1241="","",IFERROR(INDEX('CLM &amp; IM Mapping'!$C$2:$C$270,MATCH(TRIM(B1241),'CLM &amp; IM Mapping'!$A$2:$A$270,0)),"Not Mapped"))</f>
        <v>Not Mapped</v>
      </c>
      <c r="E1241" s="41" t="n">
        <v>4066</v>
      </c>
      <c r="F1241" s="41" t="n">
        <v>2809</v>
      </c>
      <c r="G1241" s="41" t="n">
        <v>438</v>
      </c>
      <c r="H1241" s="41" t="n">
        <v>0</v>
      </c>
      <c r="I1241" s="41" t="n">
        <v>568</v>
      </c>
      <c r="J1241" s="41" t="n">
        <v>0</v>
      </c>
      <c r="K1241" s="41" t="n">
        <v>251</v>
      </c>
      <c r="L1241" s="41" t="n">
        <v>819</v>
      </c>
    </row>
    <row r="1242" customFormat="false" ht="15.75" hidden="false" customHeight="false" outlineLevel="0" collapsed="false">
      <c r="B1242" s="39" t="s">
        <v>1374</v>
      </c>
      <c r="C1242" s="40" t="str">
        <f aca="false">IF(B1242="","",IFERROR(INDEX('CLM &amp; IM Mapping'!$B$2:$B$270,MATCH(TRIM(B1242),'CLM &amp; IM Mapping'!$A$2:$A$270,0)),"Not Mapped"))</f>
        <v>Not Mapped</v>
      </c>
      <c r="D1242" s="40" t="str">
        <f aca="false">IF(B1242="","",IFERROR(INDEX('CLM &amp; IM Mapping'!$C$2:$C$270,MATCH(TRIM(B1242),'CLM &amp; IM Mapping'!$A$2:$A$270,0)),"Not Mapped"))</f>
        <v>Not Mapped</v>
      </c>
      <c r="E1242" s="41" t="n">
        <v>350</v>
      </c>
      <c r="F1242" s="41" t="n">
        <v>0</v>
      </c>
      <c r="G1242" s="41" t="n">
        <v>249</v>
      </c>
      <c r="H1242" s="41" t="n">
        <v>100</v>
      </c>
      <c r="I1242" s="41" t="n">
        <v>0</v>
      </c>
      <c r="J1242" s="41" t="n">
        <v>0</v>
      </c>
      <c r="K1242" s="41" t="n">
        <v>1</v>
      </c>
      <c r="L1242" s="41" t="n">
        <v>101</v>
      </c>
    </row>
    <row r="1243" customFormat="false" ht="15.75" hidden="false" customHeight="false" outlineLevel="0" collapsed="false">
      <c r="B1243" s="39" t="s">
        <v>1375</v>
      </c>
      <c r="C1243" s="40" t="str">
        <f aca="false">IF(B1243="","",IFERROR(INDEX('CLM &amp; IM Mapping'!$B$2:$B$270,MATCH(TRIM(B1243),'CLM &amp; IM Mapping'!$A$2:$A$270,0)),"Not Mapped"))</f>
        <v>Not Mapped</v>
      </c>
      <c r="D1243" s="40" t="str">
        <f aca="false">IF(B1243="","",IFERROR(INDEX('CLM &amp; IM Mapping'!$C$2:$C$270,MATCH(TRIM(B1243),'CLM &amp; IM Mapping'!$A$2:$A$270,0)),"Not Mapped"))</f>
        <v>Not Mapped</v>
      </c>
      <c r="E1243" s="41" t="n">
        <v>1307</v>
      </c>
      <c r="F1243" s="41" t="n">
        <v>0</v>
      </c>
      <c r="G1243" s="41" t="n">
        <v>0</v>
      </c>
      <c r="H1243" s="41" t="n">
        <v>1304</v>
      </c>
      <c r="I1243" s="41" t="n">
        <v>0</v>
      </c>
      <c r="J1243" s="41" t="n">
        <v>0</v>
      </c>
      <c r="K1243" s="41" t="n">
        <v>3</v>
      </c>
      <c r="L1243" s="41" t="n">
        <v>3</v>
      </c>
    </row>
    <row r="1244" customFormat="false" ht="15.75" hidden="false" customHeight="false" outlineLevel="0" collapsed="false">
      <c r="B1244" s="39" t="s">
        <v>1376</v>
      </c>
      <c r="C1244" s="40" t="str">
        <f aca="false">IF(B1244="","",IFERROR(INDEX('CLM &amp; IM Mapping'!$B$2:$B$270,MATCH(TRIM(B1244),'CLM &amp; IM Mapping'!$A$2:$A$270,0)),"Not Mapped"))</f>
        <v>Not Mapped</v>
      </c>
      <c r="D1244" s="40" t="str">
        <f aca="false">IF(B1244="","",IFERROR(INDEX('CLM &amp; IM Mapping'!$C$2:$C$270,MATCH(TRIM(B1244),'CLM &amp; IM Mapping'!$A$2:$A$270,0)),"Not Mapped"))</f>
        <v>Not Mapped</v>
      </c>
      <c r="E1244" s="41" t="n">
        <v>0</v>
      </c>
      <c r="F1244" s="41" t="n">
        <v>0</v>
      </c>
      <c r="G1244" s="41" t="n">
        <v>0</v>
      </c>
      <c r="H1244" s="41" t="n">
        <v>0</v>
      </c>
      <c r="I1244" s="41" t="n">
        <v>0</v>
      </c>
      <c r="J1244" s="41" t="n">
        <v>0</v>
      </c>
      <c r="K1244" s="41" t="n">
        <v>0</v>
      </c>
      <c r="L1244" s="41" t="n">
        <v>0</v>
      </c>
    </row>
    <row r="1245" customFormat="false" ht="15.75" hidden="false" customHeight="false" outlineLevel="0" collapsed="false">
      <c r="B1245" s="39" t="s">
        <v>1377</v>
      </c>
      <c r="C1245" s="40" t="str">
        <f aca="false">IF(B1245="","",IFERROR(INDEX('CLM &amp; IM Mapping'!$B$2:$B$270,MATCH(TRIM(B1245),'CLM &amp; IM Mapping'!$A$2:$A$270,0)),"Not Mapped"))</f>
        <v>Not Mapped</v>
      </c>
      <c r="D1245" s="40" t="str">
        <f aca="false">IF(B1245="","",IFERROR(INDEX('CLM &amp; IM Mapping'!$C$2:$C$270,MATCH(TRIM(B1245),'CLM &amp; IM Mapping'!$A$2:$A$270,0)),"Not Mapped"))</f>
        <v>Not Mapped</v>
      </c>
      <c r="E1245" s="41" t="n">
        <v>2942</v>
      </c>
      <c r="F1245" s="41" t="n">
        <v>303</v>
      </c>
      <c r="G1245" s="41" t="n">
        <v>2639</v>
      </c>
      <c r="H1245" s="41" t="n">
        <v>0</v>
      </c>
      <c r="I1245" s="41" t="n">
        <v>0</v>
      </c>
      <c r="J1245" s="41" t="n">
        <v>0</v>
      </c>
      <c r="K1245" s="41" t="n">
        <v>0</v>
      </c>
      <c r="L1245" s="41" t="n">
        <v>0</v>
      </c>
    </row>
    <row r="1246" customFormat="false" ht="15.75" hidden="false" customHeight="false" outlineLevel="0" collapsed="false">
      <c r="B1246" s="39" t="s">
        <v>1378</v>
      </c>
      <c r="C1246" s="40" t="str">
        <f aca="false">IF(B1246="","",IFERROR(INDEX('CLM &amp; IM Mapping'!$B$2:$B$270,MATCH(TRIM(B1246),'CLM &amp; IM Mapping'!$A$2:$A$270,0)),"Not Mapped"))</f>
        <v>Not Mapped</v>
      </c>
      <c r="D1246" s="40" t="str">
        <f aca="false">IF(B1246="","",IFERROR(INDEX('CLM &amp; IM Mapping'!$C$2:$C$270,MATCH(TRIM(B1246),'CLM &amp; IM Mapping'!$A$2:$A$270,0)),"Not Mapped"))</f>
        <v>Not Mapped</v>
      </c>
      <c r="E1246" s="41" t="n">
        <v>4167</v>
      </c>
      <c r="F1246" s="41" t="n">
        <v>4140</v>
      </c>
      <c r="G1246" s="41" t="n">
        <v>0</v>
      </c>
      <c r="H1246" s="41" t="n">
        <v>27</v>
      </c>
      <c r="I1246" s="41" t="n">
        <v>0</v>
      </c>
      <c r="J1246" s="41" t="n">
        <v>0</v>
      </c>
      <c r="K1246" s="41" t="n">
        <v>0</v>
      </c>
      <c r="L1246" s="41" t="n">
        <v>27</v>
      </c>
    </row>
    <row r="1247" customFormat="false" ht="15.75" hidden="false" customHeight="false" outlineLevel="0" collapsed="false">
      <c r="B1247" s="39" t="s">
        <v>1379</v>
      </c>
      <c r="C1247" s="40" t="str">
        <f aca="false">IF(B1247="","",IFERROR(INDEX('CLM &amp; IM Mapping'!$B$2:$B$270,MATCH(TRIM(B1247),'CLM &amp; IM Mapping'!$A$2:$A$270,0)),"Not Mapped"))</f>
        <v>Not Mapped</v>
      </c>
      <c r="D1247" s="40" t="str">
        <f aca="false">IF(B1247="","",IFERROR(INDEX('CLM &amp; IM Mapping'!$C$2:$C$270,MATCH(TRIM(B1247),'CLM &amp; IM Mapping'!$A$2:$A$270,0)),"Not Mapped"))</f>
        <v>Not Mapped</v>
      </c>
      <c r="E1247" s="41" t="n">
        <v>4384</v>
      </c>
      <c r="F1247" s="41" t="n">
        <v>1907</v>
      </c>
      <c r="G1247" s="41" t="n">
        <v>682</v>
      </c>
      <c r="H1247" s="41" t="n">
        <v>1636</v>
      </c>
      <c r="I1247" s="41" t="n">
        <v>0</v>
      </c>
      <c r="J1247" s="41" t="n">
        <v>29</v>
      </c>
      <c r="K1247" s="41" t="n">
        <v>130</v>
      </c>
      <c r="L1247" s="41" t="n">
        <v>1795</v>
      </c>
    </row>
    <row r="1248" customFormat="false" ht="15.75" hidden="false" customHeight="false" outlineLevel="0" collapsed="false">
      <c r="B1248" s="39" t="s">
        <v>1380</v>
      </c>
      <c r="C1248" s="40" t="str">
        <f aca="false">IF(B1248="","",IFERROR(INDEX('CLM &amp; IM Mapping'!$B$2:$B$270,MATCH(TRIM(B1248),'CLM &amp; IM Mapping'!$A$2:$A$270,0)),"Not Mapped"))</f>
        <v>Not Mapped</v>
      </c>
      <c r="D1248" s="40" t="str">
        <f aca="false">IF(B1248="","",IFERROR(INDEX('CLM &amp; IM Mapping'!$C$2:$C$270,MATCH(TRIM(B1248),'CLM &amp; IM Mapping'!$A$2:$A$270,0)),"Not Mapped"))</f>
        <v>Not Mapped</v>
      </c>
      <c r="E1248" s="41" t="n">
        <v>5180</v>
      </c>
      <c r="F1248" s="41" t="n">
        <v>5130</v>
      </c>
      <c r="G1248" s="41" t="n">
        <v>0</v>
      </c>
      <c r="H1248" s="41" t="n">
        <v>0</v>
      </c>
      <c r="I1248" s="41" t="n">
        <v>5</v>
      </c>
      <c r="J1248" s="41" t="n">
        <v>0</v>
      </c>
      <c r="K1248" s="41" t="n">
        <v>45</v>
      </c>
      <c r="L1248" s="41" t="n">
        <v>50</v>
      </c>
    </row>
    <row r="1249" customFormat="false" ht="15.75" hidden="false" customHeight="false" outlineLevel="0" collapsed="false">
      <c r="B1249" s="39" t="s">
        <v>1381</v>
      </c>
      <c r="C1249" s="40" t="str">
        <f aca="false">IF(B1249="","",IFERROR(INDEX('CLM &amp; IM Mapping'!$B$2:$B$270,MATCH(TRIM(B1249),'CLM &amp; IM Mapping'!$A$2:$A$270,0)),"Not Mapped"))</f>
        <v>Not Mapped</v>
      </c>
      <c r="D1249" s="40" t="str">
        <f aca="false">IF(B1249="","",IFERROR(INDEX('CLM &amp; IM Mapping'!$C$2:$C$270,MATCH(TRIM(B1249),'CLM &amp; IM Mapping'!$A$2:$A$270,0)),"Not Mapped"))</f>
        <v>Not Mapped</v>
      </c>
      <c r="E1249" s="41" t="n">
        <v>6647</v>
      </c>
      <c r="F1249" s="41" t="n">
        <v>5478</v>
      </c>
      <c r="G1249" s="41" t="n">
        <v>1169</v>
      </c>
      <c r="H1249" s="41" t="n">
        <v>0</v>
      </c>
      <c r="I1249" s="41" t="n">
        <v>0</v>
      </c>
      <c r="J1249" s="41" t="n">
        <v>0</v>
      </c>
      <c r="K1249" s="41" t="n">
        <v>0</v>
      </c>
      <c r="L1249" s="41" t="n">
        <v>0</v>
      </c>
    </row>
    <row r="1250" customFormat="false" ht="15.75" hidden="false" customHeight="false" outlineLevel="0" collapsed="false">
      <c r="B1250" s="39" t="s">
        <v>1382</v>
      </c>
      <c r="C1250" s="40" t="str">
        <f aca="false">IF(B1250="","",IFERROR(INDEX('CLM &amp; IM Mapping'!$B$2:$B$270,MATCH(TRIM(B1250),'CLM &amp; IM Mapping'!$A$2:$A$270,0)),"Not Mapped"))</f>
        <v>Not Mapped</v>
      </c>
      <c r="D1250" s="40" t="str">
        <f aca="false">IF(B1250="","",IFERROR(INDEX('CLM &amp; IM Mapping'!$C$2:$C$270,MATCH(TRIM(B1250),'CLM &amp; IM Mapping'!$A$2:$A$270,0)),"Not Mapped"))</f>
        <v>Not Mapped</v>
      </c>
      <c r="E1250" s="41" t="n">
        <v>6084</v>
      </c>
      <c r="F1250" s="41" t="n">
        <v>3267</v>
      </c>
      <c r="G1250" s="41" t="n">
        <v>2212</v>
      </c>
      <c r="H1250" s="41" t="n">
        <v>0</v>
      </c>
      <c r="I1250" s="41" t="n">
        <v>601</v>
      </c>
      <c r="J1250" s="41" t="n">
        <v>0</v>
      </c>
      <c r="K1250" s="41" t="n">
        <v>4</v>
      </c>
      <c r="L1250" s="41" t="n">
        <v>605</v>
      </c>
    </row>
    <row r="1251" customFormat="false" ht="15.75" hidden="false" customHeight="false" outlineLevel="0" collapsed="false">
      <c r="B1251" s="39" t="s">
        <v>1383</v>
      </c>
      <c r="C1251" s="40" t="str">
        <f aca="false">IF(B1251="","",IFERROR(INDEX('CLM &amp; IM Mapping'!$B$2:$B$270,MATCH(TRIM(B1251),'CLM &amp; IM Mapping'!$A$2:$A$270,0)),"Not Mapped"))</f>
        <v>Not Mapped</v>
      </c>
      <c r="D1251" s="40" t="str">
        <f aca="false">IF(B1251="","",IFERROR(INDEX('CLM &amp; IM Mapping'!$C$2:$C$270,MATCH(TRIM(B1251),'CLM &amp; IM Mapping'!$A$2:$A$270,0)),"Not Mapped"))</f>
        <v>Not Mapped</v>
      </c>
      <c r="E1251" s="41" t="n">
        <v>6556</v>
      </c>
      <c r="F1251" s="41" t="n">
        <v>0</v>
      </c>
      <c r="G1251" s="41" t="n">
        <v>1318</v>
      </c>
      <c r="H1251" s="41" t="n">
        <v>3719</v>
      </c>
      <c r="I1251" s="41" t="n">
        <v>1055</v>
      </c>
      <c r="J1251" s="41" t="n">
        <v>462</v>
      </c>
      <c r="K1251" s="41" t="n">
        <v>2</v>
      </c>
      <c r="L1251" s="41" t="n">
        <v>5238</v>
      </c>
    </row>
    <row r="1252" customFormat="false" ht="15.75" hidden="false" customHeight="false" outlineLevel="0" collapsed="false">
      <c r="B1252" s="39" t="s">
        <v>1384</v>
      </c>
      <c r="C1252" s="40" t="str">
        <f aca="false">IF(B1252="","",IFERROR(INDEX('CLM &amp; IM Mapping'!$B$2:$B$270,MATCH(TRIM(B1252),'CLM &amp; IM Mapping'!$A$2:$A$270,0)),"Not Mapped"))</f>
        <v>Not Mapped</v>
      </c>
      <c r="D1252" s="40" t="str">
        <f aca="false">IF(B1252="","",IFERROR(INDEX('CLM &amp; IM Mapping'!$C$2:$C$270,MATCH(TRIM(B1252),'CLM &amp; IM Mapping'!$A$2:$A$270,0)),"Not Mapped"))</f>
        <v>Not Mapped</v>
      </c>
      <c r="E1252" s="41" t="n">
        <v>26</v>
      </c>
      <c r="F1252" s="41" t="n">
        <v>0</v>
      </c>
      <c r="G1252" s="41" t="n">
        <v>0</v>
      </c>
      <c r="H1252" s="41" t="n">
        <v>26</v>
      </c>
      <c r="I1252" s="41" t="n">
        <v>0</v>
      </c>
      <c r="J1252" s="41" t="n">
        <v>0</v>
      </c>
      <c r="K1252" s="41" t="n">
        <v>0</v>
      </c>
      <c r="L1252" s="41" t="n">
        <v>26</v>
      </c>
    </row>
    <row r="1253" customFormat="false" ht="15.75" hidden="false" customHeight="false" outlineLevel="0" collapsed="false">
      <c r="B1253" s="39" t="s">
        <v>1385</v>
      </c>
      <c r="C1253" s="40" t="str">
        <f aca="false">IF(B1253="","",IFERROR(INDEX('CLM &amp; IM Mapping'!$B$2:$B$270,MATCH(TRIM(B1253),'CLM &amp; IM Mapping'!$A$2:$A$270,0)),"Not Mapped"))</f>
        <v>Not Mapped</v>
      </c>
      <c r="D1253" s="40" t="str">
        <f aca="false">IF(B1253="","",IFERROR(INDEX('CLM &amp; IM Mapping'!$C$2:$C$270,MATCH(TRIM(B1253),'CLM &amp; IM Mapping'!$A$2:$A$270,0)),"Not Mapped"))</f>
        <v>Not Mapped</v>
      </c>
      <c r="E1253" s="41" t="n">
        <v>707</v>
      </c>
      <c r="F1253" s="41" t="n">
        <v>0</v>
      </c>
      <c r="G1253" s="41" t="n">
        <v>707</v>
      </c>
      <c r="H1253" s="41" t="n">
        <v>0</v>
      </c>
      <c r="I1253" s="41" t="n">
        <v>0</v>
      </c>
      <c r="J1253" s="41" t="n">
        <v>0</v>
      </c>
      <c r="K1253" s="41" t="n">
        <v>0</v>
      </c>
      <c r="L1253" s="41" t="n">
        <v>0</v>
      </c>
    </row>
    <row r="1254" customFormat="false" ht="15.75" hidden="false" customHeight="false" outlineLevel="0" collapsed="false">
      <c r="B1254" s="39" t="s">
        <v>1386</v>
      </c>
      <c r="C1254" s="40" t="str">
        <f aca="false">IF(B1254="","",IFERROR(INDEX('CLM &amp; IM Mapping'!$B$2:$B$270,MATCH(TRIM(B1254),'CLM &amp; IM Mapping'!$A$2:$A$270,0)),"Not Mapped"))</f>
        <v>Not Mapped</v>
      </c>
      <c r="D1254" s="40" t="str">
        <f aca="false">IF(B1254="","",IFERROR(INDEX('CLM &amp; IM Mapping'!$C$2:$C$270,MATCH(TRIM(B1254),'CLM &amp; IM Mapping'!$A$2:$A$270,0)),"Not Mapped"))</f>
        <v>Not Mapped</v>
      </c>
      <c r="E1254" s="41" t="n">
        <v>6985</v>
      </c>
      <c r="F1254" s="41" t="n">
        <v>0</v>
      </c>
      <c r="G1254" s="41" t="n">
        <v>4973</v>
      </c>
      <c r="H1254" s="41" t="n">
        <v>0</v>
      </c>
      <c r="I1254" s="41" t="n">
        <v>0</v>
      </c>
      <c r="J1254" s="41" t="n">
        <v>0</v>
      </c>
      <c r="K1254" s="41" t="n">
        <v>2012</v>
      </c>
      <c r="L1254" s="41" t="n">
        <v>2012</v>
      </c>
    </row>
    <row r="1255" customFormat="false" ht="15.75" hidden="false" customHeight="false" outlineLevel="0" collapsed="false">
      <c r="B1255" s="39" t="s">
        <v>243</v>
      </c>
      <c r="C1255" s="40" t="str">
        <f aca="false">IF(B1255="","",IFERROR(INDEX('CLM &amp; IM Mapping'!$B$2:$B$270,MATCH(TRIM(B1255),'CLM &amp; IM Mapping'!$A$2:$A$270,0)),"Not Mapped"))</f>
        <v>Santhosha M</v>
      </c>
      <c r="D1255" s="40" t="str">
        <f aca="false">IF(B1255="","",IFERROR(INDEX('CLM &amp; IM Mapping'!$C$2:$C$270,MATCH(TRIM(B1255),'CLM &amp; IM Mapping'!$A$2:$A$270,0)),"Not Mapped"))</f>
        <v>Aravind S</v>
      </c>
      <c r="E1255" s="41" t="n">
        <v>0</v>
      </c>
      <c r="F1255" s="41" t="n">
        <v>0</v>
      </c>
      <c r="G1255" s="41" t="n">
        <v>0</v>
      </c>
      <c r="H1255" s="41" t="n">
        <v>0</v>
      </c>
      <c r="I1255" s="41" t="n">
        <v>0</v>
      </c>
      <c r="J1255" s="41" t="n">
        <v>0</v>
      </c>
      <c r="K1255" s="41" t="n">
        <v>0</v>
      </c>
      <c r="L1255" s="41" t="n">
        <v>0</v>
      </c>
    </row>
    <row r="1256" customFormat="false" ht="15.75" hidden="false" customHeight="false" outlineLevel="0" collapsed="false">
      <c r="B1256" s="39" t="s">
        <v>269</v>
      </c>
      <c r="C1256" s="40" t="str">
        <f aca="false">IF(B1256="","",IFERROR(INDEX('CLM &amp; IM Mapping'!$B$2:$B$270,MATCH(TRIM(B1256),'CLM &amp; IM Mapping'!$A$2:$A$270,0)),"Not Mapped"))</f>
        <v>Santhosha M</v>
      </c>
      <c r="D1256" s="40" t="str">
        <f aca="false">IF(B1256="","",IFERROR(INDEX('CLM &amp; IM Mapping'!$C$2:$C$270,MATCH(TRIM(B1256),'CLM &amp; IM Mapping'!$A$2:$A$270,0)),"Not Mapped"))</f>
        <v>Aravind S</v>
      </c>
      <c r="E1256" s="41" t="n">
        <v>429</v>
      </c>
      <c r="F1256" s="41" t="n">
        <v>429</v>
      </c>
      <c r="G1256" s="41" t="n">
        <v>0</v>
      </c>
      <c r="H1256" s="41" t="n">
        <v>0</v>
      </c>
      <c r="I1256" s="41" t="n">
        <v>0</v>
      </c>
      <c r="J1256" s="41" t="n">
        <v>0</v>
      </c>
      <c r="K1256" s="41" t="n">
        <v>0</v>
      </c>
      <c r="L1256" s="41" t="n">
        <v>0</v>
      </c>
    </row>
    <row r="1257" customFormat="false" ht="15.75" hidden="false" customHeight="false" outlineLevel="0" collapsed="false">
      <c r="B1257" s="39" t="s">
        <v>148</v>
      </c>
      <c r="C1257" s="40" t="str">
        <f aca="false">IF(B1257="","",IFERROR(INDEX('CLM &amp; IM Mapping'!$B$2:$B$270,MATCH(TRIM(B1257),'CLM &amp; IM Mapping'!$A$2:$A$270,0)),"Not Mapped"))</f>
        <v>Santhosha M</v>
      </c>
      <c r="D1257" s="40" t="str">
        <f aca="false">IF(B1257="","",IFERROR(INDEX('CLM &amp; IM Mapping'!$C$2:$C$270,MATCH(TRIM(B1257),'CLM &amp; IM Mapping'!$A$2:$A$270,0)),"Not Mapped"))</f>
        <v>Aravind S</v>
      </c>
      <c r="E1257" s="41" t="n">
        <v>3096</v>
      </c>
      <c r="F1257" s="41" t="n">
        <v>3096</v>
      </c>
      <c r="G1257" s="41" t="n">
        <v>0</v>
      </c>
      <c r="H1257" s="41" t="n">
        <v>0</v>
      </c>
      <c r="I1257" s="41" t="n">
        <v>0</v>
      </c>
      <c r="J1257" s="41" t="n">
        <v>0</v>
      </c>
      <c r="K1257" s="41" t="n">
        <v>0</v>
      </c>
      <c r="L1257" s="41" t="n">
        <v>0</v>
      </c>
    </row>
    <row r="1258" customFormat="false" ht="15.75" hidden="false" customHeight="false" outlineLevel="0" collapsed="false">
      <c r="B1258" s="39" t="s">
        <v>282</v>
      </c>
      <c r="C1258" s="40" t="str">
        <f aca="false">IF(B1258="","",IFERROR(INDEX('CLM &amp; IM Mapping'!$B$2:$B$270,MATCH(TRIM(B1258),'CLM &amp; IM Mapping'!$A$2:$A$270,0)),"Not Mapped"))</f>
        <v>Santhosha M</v>
      </c>
      <c r="D1258" s="40" t="str">
        <f aca="false">IF(B1258="","",IFERROR(INDEX('CLM &amp; IM Mapping'!$C$2:$C$270,MATCH(TRIM(B1258),'CLM &amp; IM Mapping'!$A$2:$A$270,0)),"Not Mapped"))</f>
        <v>Aravind S</v>
      </c>
      <c r="E1258" s="41" t="n">
        <v>0</v>
      </c>
      <c r="F1258" s="41" t="n">
        <v>0</v>
      </c>
      <c r="G1258" s="41" t="n">
        <v>0</v>
      </c>
      <c r="H1258" s="41" t="n">
        <v>0</v>
      </c>
      <c r="I1258" s="41" t="n">
        <v>0</v>
      </c>
      <c r="J1258" s="41" t="n">
        <v>0</v>
      </c>
      <c r="K1258" s="41" t="n">
        <v>0</v>
      </c>
      <c r="L1258" s="41" t="n">
        <v>0</v>
      </c>
    </row>
    <row r="1259" customFormat="false" ht="15.75" hidden="false" customHeight="false" outlineLevel="0" collapsed="false">
      <c r="B1259" s="39" t="s">
        <v>32</v>
      </c>
      <c r="C1259" s="40" t="str">
        <f aca="false">IF(B1259="","",IFERROR(INDEX('CLM &amp; IM Mapping'!$B$2:$B$270,MATCH(TRIM(B1259),'CLM &amp; IM Mapping'!$A$2:$A$270,0)),"Not Mapped"))</f>
        <v>Santhosha M</v>
      </c>
      <c r="D1259" s="40" t="str">
        <f aca="false">IF(B1259="","",IFERROR(INDEX('CLM &amp; IM Mapping'!$C$2:$C$270,MATCH(TRIM(B1259),'CLM &amp; IM Mapping'!$A$2:$A$270,0)),"Not Mapped"))</f>
        <v>Aravind S</v>
      </c>
      <c r="E1259" s="41" t="n">
        <v>3805</v>
      </c>
      <c r="F1259" s="41" t="n">
        <v>887</v>
      </c>
      <c r="G1259" s="41" t="n">
        <v>2918</v>
      </c>
      <c r="H1259" s="41" t="n">
        <v>0</v>
      </c>
      <c r="I1259" s="41" t="n">
        <v>0</v>
      </c>
      <c r="J1259" s="41" t="n">
        <v>0</v>
      </c>
      <c r="K1259" s="41" t="n">
        <v>0</v>
      </c>
      <c r="L1259" s="41" t="n">
        <v>0</v>
      </c>
    </row>
    <row r="1260" customFormat="false" ht="15.75" hidden="false" customHeight="false" outlineLevel="0" collapsed="false">
      <c r="B1260" s="39" t="s">
        <v>194</v>
      </c>
      <c r="C1260" s="40" t="str">
        <f aca="false">IF(B1260="","",IFERROR(INDEX('CLM &amp; IM Mapping'!$B$2:$B$270,MATCH(TRIM(B1260),'CLM &amp; IM Mapping'!$A$2:$A$270,0)),"Not Mapped"))</f>
        <v>Santhosha M</v>
      </c>
      <c r="D1260" s="40" t="str">
        <f aca="false">IF(B1260="","",IFERROR(INDEX('CLM &amp; IM Mapping'!$C$2:$C$270,MATCH(TRIM(B1260),'CLM &amp; IM Mapping'!$A$2:$A$270,0)),"Not Mapped"))</f>
        <v>Aravind S</v>
      </c>
      <c r="E1260" s="41" t="n">
        <v>0</v>
      </c>
      <c r="F1260" s="41" t="n">
        <v>0</v>
      </c>
      <c r="G1260" s="41" t="n">
        <v>0</v>
      </c>
      <c r="H1260" s="41" t="n">
        <v>0</v>
      </c>
      <c r="I1260" s="41" t="n">
        <v>0</v>
      </c>
      <c r="J1260" s="41" t="n">
        <v>0</v>
      </c>
      <c r="K1260" s="41" t="n">
        <v>0</v>
      </c>
      <c r="L1260" s="41" t="n">
        <v>0</v>
      </c>
    </row>
    <row r="1261" customFormat="false" ht="15.75" hidden="false" customHeight="false" outlineLevel="0" collapsed="false">
      <c r="B1261" s="39" t="s">
        <v>158</v>
      </c>
      <c r="C1261" s="40" t="str">
        <f aca="false">IF(B1261="","",IFERROR(INDEX('CLM &amp; IM Mapping'!$B$2:$B$270,MATCH(TRIM(B1261),'CLM &amp; IM Mapping'!$A$2:$A$270,0)),"Not Mapped"))</f>
        <v>Santhosha M</v>
      </c>
      <c r="D1261" s="40" t="str">
        <f aca="false">IF(B1261="","",IFERROR(INDEX('CLM &amp; IM Mapping'!$C$2:$C$270,MATCH(TRIM(B1261),'CLM &amp; IM Mapping'!$A$2:$A$270,0)),"Not Mapped"))</f>
        <v>Aravind S</v>
      </c>
      <c r="E1261" s="41" t="n">
        <v>1499</v>
      </c>
      <c r="F1261" s="41" t="n">
        <v>0</v>
      </c>
      <c r="G1261" s="41" t="n">
        <v>1499</v>
      </c>
      <c r="H1261" s="41" t="n">
        <v>0</v>
      </c>
      <c r="I1261" s="41" t="n">
        <v>0</v>
      </c>
      <c r="J1261" s="41" t="n">
        <v>0</v>
      </c>
      <c r="K1261" s="41" t="n">
        <v>0</v>
      </c>
      <c r="L1261" s="41" t="n">
        <v>0</v>
      </c>
    </row>
    <row r="1262" customFormat="false" ht="15.75" hidden="false" customHeight="false" outlineLevel="0" collapsed="false">
      <c r="B1262" s="39" t="s">
        <v>177</v>
      </c>
      <c r="C1262" s="40" t="str">
        <f aca="false">IF(B1262="","",IFERROR(INDEX('CLM &amp; IM Mapping'!$B$2:$B$270,MATCH(TRIM(B1262),'CLM &amp; IM Mapping'!$A$2:$A$270,0)),"Not Mapped"))</f>
        <v>Santhosha M</v>
      </c>
      <c r="D1262" s="40" t="str">
        <f aca="false">IF(B1262="","",IFERROR(INDEX('CLM &amp; IM Mapping'!$C$2:$C$270,MATCH(TRIM(B1262),'CLM &amp; IM Mapping'!$A$2:$A$270,0)),"Not Mapped"))</f>
        <v>Aravind S</v>
      </c>
      <c r="E1262" s="41" t="n">
        <v>4762</v>
      </c>
      <c r="F1262" s="41" t="n">
        <v>4762</v>
      </c>
      <c r="G1262" s="41" t="n">
        <v>0</v>
      </c>
      <c r="H1262" s="41" t="n">
        <v>0</v>
      </c>
      <c r="I1262" s="41" t="n">
        <v>0</v>
      </c>
      <c r="J1262" s="41" t="n">
        <v>0</v>
      </c>
      <c r="K1262" s="41" t="n">
        <v>0</v>
      </c>
      <c r="L1262" s="41" t="n">
        <v>0</v>
      </c>
    </row>
    <row r="1263" customFormat="false" ht="15.75" hidden="false" customHeight="false" outlineLevel="0" collapsed="false">
      <c r="B1263" s="39" t="s">
        <v>172</v>
      </c>
      <c r="C1263" s="40" t="str">
        <f aca="false">IF(B1263="","",IFERROR(INDEX('CLM &amp; IM Mapping'!$B$2:$B$270,MATCH(TRIM(B1263),'CLM &amp; IM Mapping'!$A$2:$A$270,0)),"Not Mapped"))</f>
        <v>Santhosha M</v>
      </c>
      <c r="D1263" s="40" t="str">
        <f aca="false">IF(B1263="","",IFERROR(INDEX('CLM &amp; IM Mapping'!$C$2:$C$270,MATCH(TRIM(B1263),'CLM &amp; IM Mapping'!$A$2:$A$270,0)),"Not Mapped"))</f>
        <v>Aravind S</v>
      </c>
      <c r="E1263" s="41" t="n">
        <v>13</v>
      </c>
      <c r="F1263" s="41" t="n">
        <v>0</v>
      </c>
      <c r="G1263" s="41" t="n">
        <v>13</v>
      </c>
      <c r="H1263" s="41" t="n">
        <v>0</v>
      </c>
      <c r="I1263" s="41" t="n">
        <v>0</v>
      </c>
      <c r="J1263" s="41" t="n">
        <v>0</v>
      </c>
      <c r="K1263" s="41" t="n">
        <v>0</v>
      </c>
      <c r="L1263" s="41" t="n">
        <v>0</v>
      </c>
    </row>
    <row r="1264" customFormat="false" ht="15.75" hidden="false" customHeight="false" outlineLevel="0" collapsed="false">
      <c r="B1264" s="39" t="s">
        <v>1387</v>
      </c>
      <c r="C1264" s="40" t="str">
        <f aca="false">IF(B1264="","",IFERROR(INDEX('CLM &amp; IM Mapping'!$B$2:$B$270,MATCH(TRIM(B1264),'CLM &amp; IM Mapping'!$A$2:$A$270,0)),"Not Mapped"))</f>
        <v>Not Mapped</v>
      </c>
      <c r="D1264" s="40" t="str">
        <f aca="false">IF(B1264="","",IFERROR(INDEX('CLM &amp; IM Mapping'!$C$2:$C$270,MATCH(TRIM(B1264),'CLM &amp; IM Mapping'!$A$2:$A$270,0)),"Not Mapped"))</f>
        <v>Not Mapped</v>
      </c>
      <c r="E1264" s="41" t="n">
        <v>4189</v>
      </c>
      <c r="F1264" s="41" t="n">
        <v>4189</v>
      </c>
      <c r="G1264" s="41" t="n">
        <v>0</v>
      </c>
      <c r="H1264" s="41" t="n">
        <v>0</v>
      </c>
      <c r="I1264" s="41" t="n">
        <v>0</v>
      </c>
      <c r="J1264" s="41" t="n">
        <v>0</v>
      </c>
      <c r="K1264" s="41" t="n">
        <v>0</v>
      </c>
      <c r="L1264" s="41" t="n">
        <v>0</v>
      </c>
    </row>
    <row r="1265" customFormat="false" ht="15.75" hidden="false" customHeight="false" outlineLevel="0" collapsed="false">
      <c r="B1265" s="39" t="s">
        <v>1388</v>
      </c>
      <c r="C1265" s="40" t="str">
        <f aca="false">IF(B1265="","",IFERROR(INDEX('CLM &amp; IM Mapping'!$B$2:$B$270,MATCH(TRIM(B1265),'CLM &amp; IM Mapping'!$A$2:$A$270,0)),"Not Mapped"))</f>
        <v>Not Mapped</v>
      </c>
      <c r="D1265" s="40" t="str">
        <f aca="false">IF(B1265="","",IFERROR(INDEX('CLM &amp; IM Mapping'!$C$2:$C$270,MATCH(TRIM(B1265),'CLM &amp; IM Mapping'!$A$2:$A$270,0)),"Not Mapped"))</f>
        <v>Not Mapped</v>
      </c>
      <c r="E1265" s="41" t="n">
        <v>795</v>
      </c>
      <c r="F1265" s="41" t="n">
        <v>0</v>
      </c>
      <c r="G1265" s="41" t="n">
        <v>757</v>
      </c>
      <c r="H1265" s="41" t="n">
        <v>0</v>
      </c>
      <c r="I1265" s="41" t="n">
        <v>35</v>
      </c>
      <c r="J1265" s="41" t="n">
        <v>0</v>
      </c>
      <c r="K1265" s="41" t="n">
        <v>3</v>
      </c>
      <c r="L1265" s="41" t="n">
        <v>38</v>
      </c>
    </row>
    <row r="1266" customFormat="false" ht="15.75" hidden="false" customHeight="false" outlineLevel="0" collapsed="false">
      <c r="B1266" s="39" t="s">
        <v>1389</v>
      </c>
      <c r="C1266" s="40" t="str">
        <f aca="false">IF(B1266="","",IFERROR(INDEX('CLM &amp; IM Mapping'!$B$2:$B$270,MATCH(TRIM(B1266),'CLM &amp; IM Mapping'!$A$2:$A$270,0)),"Not Mapped"))</f>
        <v>Not Mapped</v>
      </c>
      <c r="D1266" s="40" t="str">
        <f aca="false">IF(B1266="","",IFERROR(INDEX('CLM &amp; IM Mapping'!$C$2:$C$270,MATCH(TRIM(B1266),'CLM &amp; IM Mapping'!$A$2:$A$270,0)),"Not Mapped"))</f>
        <v>Not Mapped</v>
      </c>
      <c r="E1266" s="41" t="n">
        <v>3600</v>
      </c>
      <c r="F1266" s="41" t="n">
        <v>3600</v>
      </c>
      <c r="G1266" s="41" t="n">
        <v>0</v>
      </c>
      <c r="H1266" s="41" t="n">
        <v>0</v>
      </c>
      <c r="I1266" s="41" t="n">
        <v>0</v>
      </c>
      <c r="J1266" s="41" t="n">
        <v>0</v>
      </c>
      <c r="K1266" s="41" t="n">
        <v>0</v>
      </c>
      <c r="L1266" s="41" t="n">
        <v>0</v>
      </c>
    </row>
    <row r="1267" customFormat="false" ht="15.75" hidden="false" customHeight="false" outlineLevel="0" collapsed="false">
      <c r="B1267" s="39" t="s">
        <v>1390</v>
      </c>
      <c r="C1267" s="40" t="str">
        <f aca="false">IF(B1267="","",IFERROR(INDEX('CLM &amp; IM Mapping'!$B$2:$B$270,MATCH(TRIM(B1267),'CLM &amp; IM Mapping'!$A$2:$A$270,0)),"Not Mapped"))</f>
        <v>Not Mapped</v>
      </c>
      <c r="D1267" s="40" t="str">
        <f aca="false">IF(B1267="","",IFERROR(INDEX('CLM &amp; IM Mapping'!$C$2:$C$270,MATCH(TRIM(B1267),'CLM &amp; IM Mapping'!$A$2:$A$270,0)),"Not Mapped"))</f>
        <v>Not Mapped</v>
      </c>
      <c r="E1267" s="41" t="n">
        <v>1182</v>
      </c>
      <c r="F1267" s="41" t="n">
        <v>2</v>
      </c>
      <c r="G1267" s="41" t="n">
        <v>1180</v>
      </c>
      <c r="H1267" s="41" t="n">
        <v>0</v>
      </c>
      <c r="I1267" s="41" t="n">
        <v>0</v>
      </c>
      <c r="J1267" s="41" t="n">
        <v>0</v>
      </c>
      <c r="K1267" s="41" t="n">
        <v>0</v>
      </c>
      <c r="L1267" s="41" t="n">
        <v>0</v>
      </c>
    </row>
    <row r="1268" customFormat="false" ht="15.75" hidden="false" customHeight="false" outlineLevel="0" collapsed="false">
      <c r="B1268" s="39" t="s">
        <v>1391</v>
      </c>
      <c r="C1268" s="40" t="str">
        <f aca="false">IF(B1268="","",IFERROR(INDEX('CLM &amp; IM Mapping'!$B$2:$B$270,MATCH(TRIM(B1268),'CLM &amp; IM Mapping'!$A$2:$A$270,0)),"Not Mapped"))</f>
        <v>Not Mapped</v>
      </c>
      <c r="D1268" s="40" t="str">
        <f aca="false">IF(B1268="","",IFERROR(INDEX('CLM &amp; IM Mapping'!$C$2:$C$270,MATCH(TRIM(B1268),'CLM &amp; IM Mapping'!$A$2:$A$270,0)),"Not Mapped"))</f>
        <v>Not Mapped</v>
      </c>
      <c r="E1268" s="41" t="n">
        <v>2176</v>
      </c>
      <c r="F1268" s="41" t="n">
        <v>0</v>
      </c>
      <c r="G1268" s="41" t="n">
        <v>2176</v>
      </c>
      <c r="H1268" s="41" t="n">
        <v>0</v>
      </c>
      <c r="I1268" s="41" t="n">
        <v>0</v>
      </c>
      <c r="J1268" s="41" t="n">
        <v>0</v>
      </c>
      <c r="K1268" s="41" t="n">
        <v>0</v>
      </c>
      <c r="L1268" s="41" t="n">
        <v>0</v>
      </c>
    </row>
    <row r="1269" customFormat="false" ht="15.75" hidden="false" customHeight="false" outlineLevel="0" collapsed="false">
      <c r="B1269" s="39" t="s">
        <v>1392</v>
      </c>
      <c r="C1269" s="40" t="str">
        <f aca="false">IF(B1269="","",IFERROR(INDEX('CLM &amp; IM Mapping'!$B$2:$B$270,MATCH(TRIM(B1269),'CLM &amp; IM Mapping'!$A$2:$A$270,0)),"Not Mapped"))</f>
        <v>Not Mapped</v>
      </c>
      <c r="D1269" s="40" t="str">
        <f aca="false">IF(B1269="","",IFERROR(INDEX('CLM &amp; IM Mapping'!$C$2:$C$270,MATCH(TRIM(B1269),'CLM &amp; IM Mapping'!$A$2:$A$270,0)),"Not Mapped"))</f>
        <v>Not Mapped</v>
      </c>
      <c r="E1269" s="41" t="n">
        <v>1102</v>
      </c>
      <c r="F1269" s="41" t="n">
        <v>1102</v>
      </c>
      <c r="G1269" s="41" t="n">
        <v>0</v>
      </c>
      <c r="H1269" s="41" t="n">
        <v>0</v>
      </c>
      <c r="I1269" s="41" t="n">
        <v>0</v>
      </c>
      <c r="J1269" s="41" t="n">
        <v>0</v>
      </c>
      <c r="K1269" s="41" t="n">
        <v>0</v>
      </c>
      <c r="L1269" s="41" t="n">
        <v>0</v>
      </c>
    </row>
    <row r="1270" customFormat="false" ht="15.75" hidden="false" customHeight="false" outlineLevel="0" collapsed="false">
      <c r="B1270" s="39" t="s">
        <v>1393</v>
      </c>
      <c r="C1270" s="40" t="str">
        <f aca="false">IF(B1270="","",IFERROR(INDEX('CLM &amp; IM Mapping'!$B$2:$B$270,MATCH(TRIM(B1270),'CLM &amp; IM Mapping'!$A$2:$A$270,0)),"Not Mapped"))</f>
        <v>Not Mapped</v>
      </c>
      <c r="D1270" s="40" t="str">
        <f aca="false">IF(B1270="","",IFERROR(INDEX('CLM &amp; IM Mapping'!$C$2:$C$270,MATCH(TRIM(B1270),'CLM &amp; IM Mapping'!$A$2:$A$270,0)),"Not Mapped"))</f>
        <v>Not Mapped</v>
      </c>
      <c r="E1270" s="41" t="n">
        <v>1738</v>
      </c>
      <c r="F1270" s="41" t="n">
        <v>0</v>
      </c>
      <c r="G1270" s="41" t="n">
        <v>1738</v>
      </c>
      <c r="H1270" s="41" t="n">
        <v>0</v>
      </c>
      <c r="I1270" s="41" t="n">
        <v>0</v>
      </c>
      <c r="J1270" s="41" t="n">
        <v>0</v>
      </c>
      <c r="K1270" s="41" t="n">
        <v>0</v>
      </c>
      <c r="L1270" s="41" t="n">
        <v>0</v>
      </c>
    </row>
    <row r="1271" customFormat="false" ht="15.75" hidden="false" customHeight="false" outlineLevel="0" collapsed="false">
      <c r="B1271" s="39" t="s">
        <v>1394</v>
      </c>
      <c r="C1271" s="40" t="str">
        <f aca="false">IF(B1271="","",IFERROR(INDEX('CLM &amp; IM Mapping'!$B$2:$B$270,MATCH(TRIM(B1271),'CLM &amp; IM Mapping'!$A$2:$A$270,0)),"Not Mapped"))</f>
        <v>Not Mapped</v>
      </c>
      <c r="D1271" s="40" t="str">
        <f aca="false">IF(B1271="","",IFERROR(INDEX('CLM &amp; IM Mapping'!$C$2:$C$270,MATCH(TRIM(B1271),'CLM &amp; IM Mapping'!$A$2:$A$270,0)),"Not Mapped"))</f>
        <v>Not Mapped</v>
      </c>
      <c r="E1271" s="41" t="n">
        <v>6300</v>
      </c>
      <c r="F1271" s="41" t="n">
        <v>3684</v>
      </c>
      <c r="G1271" s="41" t="n">
        <v>0</v>
      </c>
      <c r="H1271" s="41" t="n">
        <v>0</v>
      </c>
      <c r="I1271" s="41" t="n">
        <v>2243</v>
      </c>
      <c r="J1271" s="41" t="n">
        <v>0</v>
      </c>
      <c r="K1271" s="41" t="n">
        <v>373</v>
      </c>
      <c r="L1271" s="41" t="n">
        <v>2616</v>
      </c>
    </row>
    <row r="1272" customFormat="false" ht="15.75" hidden="false" customHeight="false" outlineLevel="0" collapsed="false">
      <c r="B1272" s="39" t="s">
        <v>1395</v>
      </c>
      <c r="C1272" s="40" t="str">
        <f aca="false">IF(B1272="","",IFERROR(INDEX('CLM &amp; IM Mapping'!$B$2:$B$270,MATCH(TRIM(B1272),'CLM &amp; IM Mapping'!$A$2:$A$270,0)),"Not Mapped"))</f>
        <v>Not Mapped</v>
      </c>
      <c r="D1272" s="40" t="str">
        <f aca="false">IF(B1272="","",IFERROR(INDEX('CLM &amp; IM Mapping'!$C$2:$C$270,MATCH(TRIM(B1272),'CLM &amp; IM Mapping'!$A$2:$A$270,0)),"Not Mapped"))</f>
        <v>Not Mapped</v>
      </c>
      <c r="E1272" s="41" t="n">
        <v>6475</v>
      </c>
      <c r="F1272" s="41" t="n">
        <v>0</v>
      </c>
      <c r="G1272" s="41" t="n">
        <v>6032</v>
      </c>
      <c r="H1272" s="41" t="n">
        <v>0</v>
      </c>
      <c r="I1272" s="41" t="n">
        <v>443</v>
      </c>
      <c r="J1272" s="41" t="n">
        <v>0</v>
      </c>
      <c r="K1272" s="41" t="n">
        <v>0</v>
      </c>
      <c r="L1272" s="41" t="n">
        <v>443</v>
      </c>
    </row>
    <row r="1273" customFormat="false" ht="15.75" hidden="false" customHeight="false" outlineLevel="0" collapsed="false">
      <c r="B1273" s="39" t="s">
        <v>1396</v>
      </c>
      <c r="C1273" s="40" t="str">
        <f aca="false">IF(B1273="","",IFERROR(INDEX('CLM &amp; IM Mapping'!$B$2:$B$270,MATCH(TRIM(B1273),'CLM &amp; IM Mapping'!$A$2:$A$270,0)),"Not Mapped"))</f>
        <v>Not Mapped</v>
      </c>
      <c r="D1273" s="40" t="str">
        <f aca="false">IF(B1273="","",IFERROR(INDEX('CLM &amp; IM Mapping'!$C$2:$C$270,MATCH(TRIM(B1273),'CLM &amp; IM Mapping'!$A$2:$A$270,0)),"Not Mapped"))</f>
        <v>Not Mapped</v>
      </c>
      <c r="E1273" s="41" t="n">
        <v>8177</v>
      </c>
      <c r="F1273" s="41" t="n">
        <v>6412</v>
      </c>
      <c r="G1273" s="41" t="n">
        <v>0</v>
      </c>
      <c r="H1273" s="41" t="n">
        <v>86</v>
      </c>
      <c r="I1273" s="41" t="n">
        <v>913</v>
      </c>
      <c r="J1273" s="41" t="n">
        <v>0</v>
      </c>
      <c r="K1273" s="41" t="n">
        <v>766</v>
      </c>
      <c r="L1273" s="41" t="n">
        <v>1765</v>
      </c>
    </row>
    <row r="1274" customFormat="false" ht="15.75" hidden="false" customHeight="false" outlineLevel="0" collapsed="false">
      <c r="B1274" s="39" t="s">
        <v>1397</v>
      </c>
      <c r="C1274" s="40" t="str">
        <f aca="false">IF(B1274="","",IFERROR(INDEX('CLM &amp; IM Mapping'!$B$2:$B$270,MATCH(TRIM(B1274),'CLM &amp; IM Mapping'!$A$2:$A$270,0)),"Not Mapped"))</f>
        <v>Not Mapped</v>
      </c>
      <c r="D1274" s="40" t="str">
        <f aca="false">IF(B1274="","",IFERROR(INDEX('CLM &amp; IM Mapping'!$C$2:$C$270,MATCH(TRIM(B1274),'CLM &amp; IM Mapping'!$A$2:$A$270,0)),"Not Mapped"))</f>
        <v>Not Mapped</v>
      </c>
      <c r="E1274" s="41" t="n">
        <v>7179</v>
      </c>
      <c r="F1274" s="41" t="n">
        <v>7127</v>
      </c>
      <c r="G1274" s="41" t="n">
        <v>0</v>
      </c>
      <c r="H1274" s="41" t="n">
        <v>0</v>
      </c>
      <c r="I1274" s="41" t="n">
        <v>52</v>
      </c>
      <c r="J1274" s="41" t="n">
        <v>0</v>
      </c>
      <c r="K1274" s="41" t="n">
        <v>0</v>
      </c>
      <c r="L1274" s="41" t="n">
        <v>52</v>
      </c>
    </row>
    <row r="1275" customFormat="false" ht="15.75" hidden="false" customHeight="false" outlineLevel="0" collapsed="false">
      <c r="B1275" s="39" t="s">
        <v>1398</v>
      </c>
      <c r="C1275" s="40" t="str">
        <f aca="false">IF(B1275="","",IFERROR(INDEX('CLM &amp; IM Mapping'!$B$2:$B$270,MATCH(TRIM(B1275),'CLM &amp; IM Mapping'!$A$2:$A$270,0)),"Not Mapped"))</f>
        <v>Not Mapped</v>
      </c>
      <c r="D1275" s="40" t="str">
        <f aca="false">IF(B1275="","",IFERROR(INDEX('CLM &amp; IM Mapping'!$C$2:$C$270,MATCH(TRIM(B1275),'CLM &amp; IM Mapping'!$A$2:$A$270,0)),"Not Mapped"))</f>
        <v>Not Mapped</v>
      </c>
      <c r="E1275" s="41" t="n">
        <v>884</v>
      </c>
      <c r="F1275" s="41" t="n">
        <v>884</v>
      </c>
      <c r="G1275" s="41" t="n">
        <v>0</v>
      </c>
      <c r="H1275" s="41" t="n">
        <v>0</v>
      </c>
      <c r="I1275" s="41" t="n">
        <v>0</v>
      </c>
      <c r="J1275" s="41" t="n">
        <v>0</v>
      </c>
      <c r="K1275" s="41" t="n">
        <v>0</v>
      </c>
      <c r="L1275" s="41" t="n">
        <v>0</v>
      </c>
    </row>
    <row r="1276" customFormat="false" ht="15.75" hidden="false" customHeight="false" outlineLevel="0" collapsed="false">
      <c r="B1276" s="39" t="s">
        <v>1399</v>
      </c>
      <c r="C1276" s="40" t="str">
        <f aca="false">IF(B1276="","",IFERROR(INDEX('CLM &amp; IM Mapping'!$B$2:$B$270,MATCH(TRIM(B1276),'CLM &amp; IM Mapping'!$A$2:$A$270,0)),"Not Mapped"))</f>
        <v>Not Mapped</v>
      </c>
      <c r="D1276" s="40" t="str">
        <f aca="false">IF(B1276="","",IFERROR(INDEX('CLM &amp; IM Mapping'!$C$2:$C$270,MATCH(TRIM(B1276),'CLM &amp; IM Mapping'!$A$2:$A$270,0)),"Not Mapped"))</f>
        <v>Not Mapped</v>
      </c>
      <c r="E1276" s="41" t="n">
        <v>500</v>
      </c>
      <c r="F1276" s="41" t="n">
        <v>0</v>
      </c>
      <c r="G1276" s="41" t="n">
        <v>500</v>
      </c>
      <c r="H1276" s="41" t="n">
        <v>0</v>
      </c>
      <c r="I1276" s="41" t="n">
        <v>0</v>
      </c>
      <c r="J1276" s="41" t="n">
        <v>0</v>
      </c>
      <c r="K1276" s="41" t="n">
        <v>0</v>
      </c>
      <c r="L1276" s="41" t="n">
        <v>0</v>
      </c>
    </row>
    <row r="1277" customFormat="false" ht="15.75" hidden="false" customHeight="false" outlineLevel="0" collapsed="false">
      <c r="B1277" s="39" t="s">
        <v>1400</v>
      </c>
      <c r="C1277" s="40" t="str">
        <f aca="false">IF(B1277="","",IFERROR(INDEX('CLM &amp; IM Mapping'!$B$2:$B$270,MATCH(TRIM(B1277),'CLM &amp; IM Mapping'!$A$2:$A$270,0)),"Not Mapped"))</f>
        <v>Not Mapped</v>
      </c>
      <c r="D1277" s="40" t="str">
        <f aca="false">IF(B1277="","",IFERROR(INDEX('CLM &amp; IM Mapping'!$C$2:$C$270,MATCH(TRIM(B1277),'CLM &amp; IM Mapping'!$A$2:$A$270,0)),"Not Mapped"))</f>
        <v>Not Mapped</v>
      </c>
      <c r="E1277" s="41" t="n">
        <v>4505</v>
      </c>
      <c r="F1277" s="41" t="n">
        <v>0</v>
      </c>
      <c r="G1277" s="41" t="n">
        <v>4505</v>
      </c>
      <c r="H1277" s="41" t="n">
        <v>0</v>
      </c>
      <c r="I1277" s="41" t="n">
        <v>0</v>
      </c>
      <c r="J1277" s="41" t="n">
        <v>0</v>
      </c>
      <c r="K1277" s="41" t="n">
        <v>0</v>
      </c>
      <c r="L1277" s="41" t="n">
        <v>0</v>
      </c>
    </row>
    <row r="1278" customFormat="false" ht="15.75" hidden="false" customHeight="false" outlineLevel="0" collapsed="false">
      <c r="B1278" s="39" t="s">
        <v>1401</v>
      </c>
      <c r="C1278" s="40" t="str">
        <f aca="false">IF(B1278="","",IFERROR(INDEX('CLM &amp; IM Mapping'!$B$2:$B$270,MATCH(TRIM(B1278),'CLM &amp; IM Mapping'!$A$2:$A$270,0)),"Not Mapped"))</f>
        <v>Not Mapped</v>
      </c>
      <c r="D1278" s="40" t="str">
        <f aca="false">IF(B1278="","",IFERROR(INDEX('CLM &amp; IM Mapping'!$C$2:$C$270,MATCH(TRIM(B1278),'CLM &amp; IM Mapping'!$A$2:$A$270,0)),"Not Mapped"))</f>
        <v>Not Mapped</v>
      </c>
      <c r="E1278" s="41" t="n">
        <v>1628</v>
      </c>
      <c r="F1278" s="41" t="n">
        <v>1</v>
      </c>
      <c r="G1278" s="41" t="n">
        <v>1627</v>
      </c>
      <c r="H1278" s="41" t="n">
        <v>0</v>
      </c>
      <c r="I1278" s="41" t="n">
        <v>0</v>
      </c>
      <c r="J1278" s="41" t="n">
        <v>0</v>
      </c>
      <c r="K1278" s="41" t="n">
        <v>0</v>
      </c>
      <c r="L1278" s="41" t="n">
        <v>0</v>
      </c>
    </row>
    <row r="1279" customFormat="false" ht="15.75" hidden="false" customHeight="false" outlineLevel="0" collapsed="false">
      <c r="B1279" s="39" t="s">
        <v>1402</v>
      </c>
      <c r="C1279" s="40" t="str">
        <f aca="false">IF(B1279="","",IFERROR(INDEX('CLM &amp; IM Mapping'!$B$2:$B$270,MATCH(TRIM(B1279),'CLM &amp; IM Mapping'!$A$2:$A$270,0)),"Not Mapped"))</f>
        <v>Not Mapped</v>
      </c>
      <c r="D1279" s="40" t="str">
        <f aca="false">IF(B1279="","",IFERROR(INDEX('CLM &amp; IM Mapping'!$C$2:$C$270,MATCH(TRIM(B1279),'CLM &amp; IM Mapping'!$A$2:$A$270,0)),"Not Mapped"))</f>
        <v>Not Mapped</v>
      </c>
      <c r="E1279" s="41" t="n">
        <v>5561</v>
      </c>
      <c r="F1279" s="41" t="n">
        <v>5142</v>
      </c>
      <c r="G1279" s="41" t="n">
        <v>0</v>
      </c>
      <c r="H1279" s="41" t="n">
        <v>0</v>
      </c>
      <c r="I1279" s="41" t="n">
        <v>419</v>
      </c>
      <c r="J1279" s="41" t="n">
        <v>0</v>
      </c>
      <c r="K1279" s="41" t="n">
        <v>0</v>
      </c>
      <c r="L1279" s="41" t="n">
        <v>419</v>
      </c>
    </row>
    <row r="1280" customFormat="false" ht="15.75" hidden="false" customHeight="false" outlineLevel="0" collapsed="false">
      <c r="B1280" s="39" t="s">
        <v>1403</v>
      </c>
      <c r="C1280" s="40" t="str">
        <f aca="false">IF(B1280="","",IFERROR(INDEX('CLM &amp; IM Mapping'!$B$2:$B$270,MATCH(TRIM(B1280),'CLM &amp; IM Mapping'!$A$2:$A$270,0)),"Not Mapped"))</f>
        <v>Not Mapped</v>
      </c>
      <c r="D1280" s="40" t="str">
        <f aca="false">IF(B1280="","",IFERROR(INDEX('CLM &amp; IM Mapping'!$C$2:$C$270,MATCH(TRIM(B1280),'CLM &amp; IM Mapping'!$A$2:$A$270,0)),"Not Mapped"))</f>
        <v>Not Mapped</v>
      </c>
      <c r="E1280" s="41" t="n">
        <v>1825</v>
      </c>
      <c r="F1280" s="41" t="n">
        <v>1825</v>
      </c>
      <c r="G1280" s="41" t="n">
        <v>0</v>
      </c>
      <c r="H1280" s="41" t="n">
        <v>0</v>
      </c>
      <c r="I1280" s="41" t="n">
        <v>0</v>
      </c>
      <c r="J1280" s="41" t="n">
        <v>0</v>
      </c>
      <c r="K1280" s="41" t="n">
        <v>0</v>
      </c>
      <c r="L1280" s="41" t="n">
        <v>0</v>
      </c>
    </row>
    <row r="1281" customFormat="false" ht="15.75" hidden="false" customHeight="false" outlineLevel="0" collapsed="false">
      <c r="B1281" s="39" t="s">
        <v>1404</v>
      </c>
      <c r="C1281" s="40" t="str">
        <f aca="false">IF(B1281="","",IFERROR(INDEX('CLM &amp; IM Mapping'!$B$2:$B$270,MATCH(TRIM(B1281),'CLM &amp; IM Mapping'!$A$2:$A$270,0)),"Not Mapped"))</f>
        <v>Not Mapped</v>
      </c>
      <c r="D1281" s="40" t="str">
        <f aca="false">IF(B1281="","",IFERROR(INDEX('CLM &amp; IM Mapping'!$C$2:$C$270,MATCH(TRIM(B1281),'CLM &amp; IM Mapping'!$A$2:$A$270,0)),"Not Mapped"))</f>
        <v>Not Mapped</v>
      </c>
      <c r="E1281" s="41" t="n">
        <v>2506</v>
      </c>
      <c r="F1281" s="41" t="n">
        <v>0</v>
      </c>
      <c r="G1281" s="41" t="n">
        <v>2506</v>
      </c>
      <c r="H1281" s="41" t="n">
        <v>0</v>
      </c>
      <c r="I1281" s="41" t="n">
        <v>0</v>
      </c>
      <c r="J1281" s="41" t="n">
        <v>0</v>
      </c>
      <c r="K1281" s="41" t="n">
        <v>0</v>
      </c>
      <c r="L1281" s="41" t="n">
        <v>0</v>
      </c>
    </row>
    <row r="1282" customFormat="false" ht="15.75" hidden="false" customHeight="false" outlineLevel="0" collapsed="false">
      <c r="B1282" s="39" t="s">
        <v>1405</v>
      </c>
      <c r="C1282" s="40" t="str">
        <f aca="false">IF(B1282="","",IFERROR(INDEX('CLM &amp; IM Mapping'!$B$2:$B$270,MATCH(TRIM(B1282),'CLM &amp; IM Mapping'!$A$2:$A$270,0)),"Not Mapped"))</f>
        <v>Not Mapped</v>
      </c>
      <c r="D1282" s="40" t="str">
        <f aca="false">IF(B1282="","",IFERROR(INDEX('CLM &amp; IM Mapping'!$C$2:$C$270,MATCH(TRIM(B1282),'CLM &amp; IM Mapping'!$A$2:$A$270,0)),"Not Mapped"))</f>
        <v>Not Mapped</v>
      </c>
      <c r="E1282" s="41" t="n">
        <v>1840</v>
      </c>
      <c r="F1282" s="41" t="n">
        <v>1836</v>
      </c>
      <c r="G1282" s="41" t="n">
        <v>4</v>
      </c>
      <c r="H1282" s="41" t="n">
        <v>0</v>
      </c>
      <c r="I1282" s="41" t="n">
        <v>0</v>
      </c>
      <c r="J1282" s="41" t="n">
        <v>0</v>
      </c>
      <c r="K1282" s="41" t="n">
        <v>0</v>
      </c>
      <c r="L1282" s="41" t="n">
        <v>0</v>
      </c>
    </row>
    <row r="1283" customFormat="false" ht="15.75" hidden="false" customHeight="false" outlineLevel="0" collapsed="false">
      <c r="B1283" s="39" t="s">
        <v>1406</v>
      </c>
      <c r="C1283" s="40" t="str">
        <f aca="false">IF(B1283="","",IFERROR(INDEX('CLM &amp; IM Mapping'!$B$2:$B$270,MATCH(TRIM(B1283),'CLM &amp; IM Mapping'!$A$2:$A$270,0)),"Not Mapped"))</f>
        <v>Not Mapped</v>
      </c>
      <c r="D1283" s="40" t="str">
        <f aca="false">IF(B1283="","",IFERROR(INDEX('CLM &amp; IM Mapping'!$C$2:$C$270,MATCH(TRIM(B1283),'CLM &amp; IM Mapping'!$A$2:$A$270,0)),"Not Mapped"))</f>
        <v>Not Mapped</v>
      </c>
      <c r="E1283" s="41" t="n">
        <v>2588</v>
      </c>
      <c r="F1283" s="41" t="n">
        <v>0</v>
      </c>
      <c r="G1283" s="41" t="n">
        <v>0</v>
      </c>
      <c r="H1283" s="41" t="n">
        <v>1985</v>
      </c>
      <c r="I1283" s="41" t="n">
        <v>0</v>
      </c>
      <c r="J1283" s="41" t="n">
        <v>603</v>
      </c>
      <c r="K1283" s="41" t="n">
        <v>0</v>
      </c>
      <c r="L1283" s="41" t="n">
        <v>603</v>
      </c>
    </row>
    <row r="1284" customFormat="false" ht="15.75" hidden="false" customHeight="false" outlineLevel="0" collapsed="false">
      <c r="B1284" s="39" t="s">
        <v>1407</v>
      </c>
      <c r="C1284" s="40" t="str">
        <f aca="false">IF(B1284="","",IFERROR(INDEX('CLM &amp; IM Mapping'!$B$2:$B$270,MATCH(TRIM(B1284),'CLM &amp; IM Mapping'!$A$2:$A$270,0)),"Not Mapped"))</f>
        <v>Not Mapped</v>
      </c>
      <c r="D1284" s="40" t="str">
        <f aca="false">IF(B1284="","",IFERROR(INDEX('CLM &amp; IM Mapping'!$C$2:$C$270,MATCH(TRIM(B1284),'CLM &amp; IM Mapping'!$A$2:$A$270,0)),"Not Mapped"))</f>
        <v>Not Mapped</v>
      </c>
      <c r="E1284" s="41" t="n">
        <v>0</v>
      </c>
      <c r="F1284" s="41" t="n">
        <v>0</v>
      </c>
      <c r="G1284" s="41" t="n">
        <v>0</v>
      </c>
      <c r="H1284" s="41" t="n">
        <v>0</v>
      </c>
      <c r="I1284" s="41" t="n">
        <v>0</v>
      </c>
      <c r="J1284" s="41" t="n">
        <v>0</v>
      </c>
      <c r="K1284" s="41" t="n">
        <v>0</v>
      </c>
      <c r="L1284" s="41" t="n">
        <v>0</v>
      </c>
    </row>
    <row r="1285" customFormat="false" ht="15.75" hidden="false" customHeight="false" outlineLevel="0" collapsed="false">
      <c r="B1285" s="39" t="s">
        <v>1408</v>
      </c>
      <c r="C1285" s="40" t="str">
        <f aca="false">IF(B1285="","",IFERROR(INDEX('CLM &amp; IM Mapping'!$B$2:$B$270,MATCH(TRIM(B1285),'CLM &amp; IM Mapping'!$A$2:$A$270,0)),"Not Mapped"))</f>
        <v>Not Mapped</v>
      </c>
      <c r="D1285" s="40" t="str">
        <f aca="false">IF(B1285="","",IFERROR(INDEX('CLM &amp; IM Mapping'!$C$2:$C$270,MATCH(TRIM(B1285),'CLM &amp; IM Mapping'!$A$2:$A$270,0)),"Not Mapped"))</f>
        <v>Not Mapped</v>
      </c>
      <c r="E1285" s="41" t="n">
        <v>2579</v>
      </c>
      <c r="F1285" s="41" t="n">
        <v>0</v>
      </c>
      <c r="G1285" s="41" t="n">
        <v>0</v>
      </c>
      <c r="H1285" s="41" t="n">
        <v>2579</v>
      </c>
      <c r="I1285" s="41" t="n">
        <v>0</v>
      </c>
      <c r="J1285" s="41" t="n">
        <v>0</v>
      </c>
      <c r="K1285" s="41" t="n">
        <v>0</v>
      </c>
      <c r="L1285" s="41" t="n">
        <v>2579</v>
      </c>
    </row>
    <row r="1286" customFormat="false" ht="15.75" hidden="false" customHeight="false" outlineLevel="0" collapsed="false">
      <c r="B1286" s="39" t="s">
        <v>1409</v>
      </c>
      <c r="C1286" s="40" t="str">
        <f aca="false">IF(B1286="","",IFERROR(INDEX('CLM &amp; IM Mapping'!$B$2:$B$270,MATCH(TRIM(B1286),'CLM &amp; IM Mapping'!$A$2:$A$270,0)),"Not Mapped"))</f>
        <v>Not Mapped</v>
      </c>
      <c r="D1286" s="40" t="str">
        <f aca="false">IF(B1286="","",IFERROR(INDEX('CLM &amp; IM Mapping'!$C$2:$C$270,MATCH(TRIM(B1286),'CLM &amp; IM Mapping'!$A$2:$A$270,0)),"Not Mapped"))</f>
        <v>Not Mapped</v>
      </c>
      <c r="E1286" s="41" t="n">
        <v>879</v>
      </c>
      <c r="F1286" s="41" t="n">
        <v>0</v>
      </c>
      <c r="G1286" s="41" t="n">
        <v>879</v>
      </c>
      <c r="H1286" s="41" t="n">
        <v>0</v>
      </c>
      <c r="I1286" s="41" t="n">
        <v>0</v>
      </c>
      <c r="J1286" s="41" t="n">
        <v>0</v>
      </c>
      <c r="K1286" s="41" t="n">
        <v>0</v>
      </c>
      <c r="L1286" s="41" t="n">
        <v>0</v>
      </c>
    </row>
    <row r="1287" customFormat="false" ht="15.75" hidden="false" customHeight="false" outlineLevel="0" collapsed="false">
      <c r="B1287" s="39" t="s">
        <v>1410</v>
      </c>
      <c r="C1287" s="40" t="str">
        <f aca="false">IF(B1287="","",IFERROR(INDEX('CLM &amp; IM Mapping'!$B$2:$B$270,MATCH(TRIM(B1287),'CLM &amp; IM Mapping'!$A$2:$A$270,0)),"Not Mapped"))</f>
        <v>Not Mapped</v>
      </c>
      <c r="D1287" s="40" t="str">
        <f aca="false">IF(B1287="","",IFERROR(INDEX('CLM &amp; IM Mapping'!$C$2:$C$270,MATCH(TRIM(B1287),'CLM &amp; IM Mapping'!$A$2:$A$270,0)),"Not Mapped"))</f>
        <v>Not Mapped</v>
      </c>
      <c r="E1287" s="41" t="n">
        <v>0</v>
      </c>
      <c r="F1287" s="41" t="n">
        <v>0</v>
      </c>
      <c r="G1287" s="41" t="n">
        <v>0</v>
      </c>
      <c r="H1287" s="41" t="n">
        <v>0</v>
      </c>
      <c r="I1287" s="41" t="n">
        <v>0</v>
      </c>
      <c r="J1287" s="41" t="n">
        <v>0</v>
      </c>
      <c r="K1287" s="41" t="n">
        <v>0</v>
      </c>
      <c r="L1287" s="41" t="n">
        <v>0</v>
      </c>
    </row>
    <row r="1288" customFormat="false" ht="15.75" hidden="false" customHeight="false" outlineLevel="0" collapsed="false">
      <c r="B1288" s="39" t="s">
        <v>1411</v>
      </c>
      <c r="C1288" s="40" t="str">
        <f aca="false">IF(B1288="","",IFERROR(INDEX('CLM &amp; IM Mapping'!$B$2:$B$270,MATCH(TRIM(B1288),'CLM &amp; IM Mapping'!$A$2:$A$270,0)),"Not Mapped"))</f>
        <v>Not Mapped</v>
      </c>
      <c r="D1288" s="40" t="str">
        <f aca="false">IF(B1288="","",IFERROR(INDEX('CLM &amp; IM Mapping'!$C$2:$C$270,MATCH(TRIM(B1288),'CLM &amp; IM Mapping'!$A$2:$A$270,0)),"Not Mapped"))</f>
        <v>Not Mapped</v>
      </c>
      <c r="E1288" s="41" t="n">
        <v>0</v>
      </c>
      <c r="F1288" s="41" t="n">
        <v>0</v>
      </c>
      <c r="G1288" s="41" t="n">
        <v>0</v>
      </c>
      <c r="H1288" s="41" t="n">
        <v>0</v>
      </c>
      <c r="I1288" s="41" t="n">
        <v>0</v>
      </c>
      <c r="J1288" s="41" t="n">
        <v>0</v>
      </c>
      <c r="K1288" s="41" t="n">
        <v>0</v>
      </c>
      <c r="L1288" s="41" t="n">
        <v>0</v>
      </c>
    </row>
    <row r="1289" customFormat="false" ht="15.75" hidden="false" customHeight="false" outlineLevel="0" collapsed="false">
      <c r="B1289" s="39" t="s">
        <v>1412</v>
      </c>
      <c r="C1289" s="40" t="str">
        <f aca="false">IF(B1289="","",IFERROR(INDEX('CLM &amp; IM Mapping'!$B$2:$B$270,MATCH(TRIM(B1289),'CLM &amp; IM Mapping'!$A$2:$A$270,0)),"Not Mapped"))</f>
        <v>Not Mapped</v>
      </c>
      <c r="D1289" s="40" t="str">
        <f aca="false">IF(B1289="","",IFERROR(INDEX('CLM &amp; IM Mapping'!$C$2:$C$270,MATCH(TRIM(B1289),'CLM &amp; IM Mapping'!$A$2:$A$270,0)),"Not Mapped"))</f>
        <v>Not Mapped</v>
      </c>
      <c r="E1289" s="41" t="n">
        <v>1114</v>
      </c>
      <c r="F1289" s="41" t="n">
        <v>1114</v>
      </c>
      <c r="G1289" s="41" t="n">
        <v>0</v>
      </c>
      <c r="H1289" s="41" t="n">
        <v>0</v>
      </c>
      <c r="I1289" s="41" t="n">
        <v>0</v>
      </c>
      <c r="J1289" s="41" t="n">
        <v>0</v>
      </c>
      <c r="K1289" s="41" t="n">
        <v>0</v>
      </c>
      <c r="L1289" s="41" t="n">
        <v>0</v>
      </c>
    </row>
    <row r="1290" customFormat="false" ht="15.75" hidden="false" customHeight="false" outlineLevel="0" collapsed="false">
      <c r="B1290" s="39" t="s">
        <v>1413</v>
      </c>
      <c r="C1290" s="40" t="str">
        <f aca="false">IF(B1290="","",IFERROR(INDEX('CLM &amp; IM Mapping'!$B$2:$B$270,MATCH(TRIM(B1290),'CLM &amp; IM Mapping'!$A$2:$A$270,0)),"Not Mapped"))</f>
        <v>Not Mapped</v>
      </c>
      <c r="D1290" s="40" t="str">
        <f aca="false">IF(B1290="","",IFERROR(INDEX('CLM &amp; IM Mapping'!$C$2:$C$270,MATCH(TRIM(B1290),'CLM &amp; IM Mapping'!$A$2:$A$270,0)),"Not Mapped"))</f>
        <v>Not Mapped</v>
      </c>
      <c r="E1290" s="41" t="n">
        <v>5</v>
      </c>
      <c r="F1290" s="41" t="n">
        <v>0</v>
      </c>
      <c r="G1290" s="41" t="n">
        <v>5</v>
      </c>
      <c r="H1290" s="41" t="n">
        <v>0</v>
      </c>
      <c r="I1290" s="41" t="n">
        <v>0</v>
      </c>
      <c r="J1290" s="41" t="n">
        <v>0</v>
      </c>
      <c r="K1290" s="41" t="n">
        <v>0</v>
      </c>
      <c r="L1290" s="41" t="n">
        <v>0</v>
      </c>
    </row>
    <row r="1291" customFormat="false" ht="15.75" hidden="false" customHeight="false" outlineLevel="0" collapsed="false">
      <c r="B1291" s="39" t="s">
        <v>1414</v>
      </c>
      <c r="C1291" s="40" t="str">
        <f aca="false">IF(B1291="","",IFERROR(INDEX('CLM &amp; IM Mapping'!$B$2:$B$270,MATCH(TRIM(B1291),'CLM &amp; IM Mapping'!$A$2:$A$270,0)),"Not Mapped"))</f>
        <v>Not Mapped</v>
      </c>
      <c r="D1291" s="40" t="str">
        <f aca="false">IF(B1291="","",IFERROR(INDEX('CLM &amp; IM Mapping'!$C$2:$C$270,MATCH(TRIM(B1291),'CLM &amp; IM Mapping'!$A$2:$A$270,0)),"Not Mapped"))</f>
        <v>Not Mapped</v>
      </c>
      <c r="E1291" s="41" t="n">
        <v>3826</v>
      </c>
      <c r="F1291" s="41" t="n">
        <v>0</v>
      </c>
      <c r="G1291" s="41" t="n">
        <v>0</v>
      </c>
      <c r="H1291" s="41" t="n">
        <v>3826</v>
      </c>
      <c r="I1291" s="41" t="n">
        <v>0</v>
      </c>
      <c r="J1291" s="41" t="n">
        <v>0</v>
      </c>
      <c r="K1291" s="41" t="n">
        <v>0</v>
      </c>
      <c r="L1291" s="41" t="n">
        <v>3826</v>
      </c>
    </row>
    <row r="1292" customFormat="false" ht="15.75" hidden="false" customHeight="false" outlineLevel="0" collapsed="false">
      <c r="B1292" s="39" t="s">
        <v>1415</v>
      </c>
      <c r="C1292" s="40" t="str">
        <f aca="false">IF(B1292="","",IFERROR(INDEX('CLM &amp; IM Mapping'!$B$2:$B$270,MATCH(TRIM(B1292),'CLM &amp; IM Mapping'!$A$2:$A$270,0)),"Not Mapped"))</f>
        <v>Not Mapped</v>
      </c>
      <c r="D1292" s="40" t="str">
        <f aca="false">IF(B1292="","",IFERROR(INDEX('CLM &amp; IM Mapping'!$C$2:$C$270,MATCH(TRIM(B1292),'CLM &amp; IM Mapping'!$A$2:$A$270,0)),"Not Mapped"))</f>
        <v>Not Mapped</v>
      </c>
      <c r="E1292" s="41" t="n">
        <v>4791</v>
      </c>
      <c r="F1292" s="41" t="n">
        <v>4567</v>
      </c>
      <c r="G1292" s="41" t="n">
        <v>0</v>
      </c>
      <c r="H1292" s="41" t="n">
        <v>0</v>
      </c>
      <c r="I1292" s="41" t="n">
        <v>125</v>
      </c>
      <c r="J1292" s="41" t="n">
        <v>0</v>
      </c>
      <c r="K1292" s="41" t="n">
        <v>99</v>
      </c>
      <c r="L1292" s="41" t="n">
        <v>224</v>
      </c>
    </row>
    <row r="1293" customFormat="false" ht="15.75" hidden="false" customHeight="false" outlineLevel="0" collapsed="false">
      <c r="B1293" s="39" t="s">
        <v>1416</v>
      </c>
      <c r="C1293" s="40" t="str">
        <f aca="false">IF(B1293="","",IFERROR(INDEX('CLM &amp; IM Mapping'!$B$2:$B$270,MATCH(TRIM(B1293),'CLM &amp; IM Mapping'!$A$2:$A$270,0)),"Not Mapped"))</f>
        <v>Not Mapped</v>
      </c>
      <c r="D1293" s="40" t="str">
        <f aca="false">IF(B1293="","",IFERROR(INDEX('CLM &amp; IM Mapping'!$C$2:$C$270,MATCH(TRIM(B1293),'CLM &amp; IM Mapping'!$A$2:$A$270,0)),"Not Mapped"))</f>
        <v>Not Mapped</v>
      </c>
      <c r="E1293" s="41" t="n">
        <v>4050</v>
      </c>
      <c r="F1293" s="41" t="n">
        <v>4049</v>
      </c>
      <c r="G1293" s="41" t="n">
        <v>0</v>
      </c>
      <c r="H1293" s="41" t="n">
        <v>1</v>
      </c>
      <c r="I1293" s="41" t="n">
        <v>0</v>
      </c>
      <c r="J1293" s="41" t="n">
        <v>0</v>
      </c>
      <c r="K1293" s="41" t="n">
        <v>0</v>
      </c>
      <c r="L1293" s="41" t="n">
        <v>1</v>
      </c>
    </row>
    <row r="1294" customFormat="false" ht="15.75" hidden="false" customHeight="false" outlineLevel="0" collapsed="false">
      <c r="B1294" s="39" t="s">
        <v>1417</v>
      </c>
      <c r="C1294" s="40" t="str">
        <f aca="false">IF(B1294="","",IFERROR(INDEX('CLM &amp; IM Mapping'!$B$2:$B$270,MATCH(TRIM(B1294),'CLM &amp; IM Mapping'!$A$2:$A$270,0)),"Not Mapped"))</f>
        <v>Not Mapped</v>
      </c>
      <c r="D1294" s="40" t="str">
        <f aca="false">IF(B1294="","",IFERROR(INDEX('CLM &amp; IM Mapping'!$C$2:$C$270,MATCH(TRIM(B1294),'CLM &amp; IM Mapping'!$A$2:$A$270,0)),"Not Mapped"))</f>
        <v>Not Mapped</v>
      </c>
      <c r="E1294" s="41" t="n">
        <v>1364</v>
      </c>
      <c r="F1294" s="41" t="n">
        <v>0</v>
      </c>
      <c r="G1294" s="41" t="n">
        <v>0</v>
      </c>
      <c r="H1294" s="41" t="n">
        <v>1238</v>
      </c>
      <c r="I1294" s="41" t="n">
        <v>120</v>
      </c>
      <c r="J1294" s="41" t="n">
        <v>6</v>
      </c>
      <c r="K1294" s="41" t="n">
        <v>0</v>
      </c>
      <c r="L1294" s="41" t="n">
        <v>1364</v>
      </c>
    </row>
    <row r="1295" customFormat="false" ht="15.75" hidden="false" customHeight="false" outlineLevel="0" collapsed="false">
      <c r="B1295" s="39" t="s">
        <v>1418</v>
      </c>
      <c r="C1295" s="40" t="str">
        <f aca="false">IF(B1295="","",IFERROR(INDEX('CLM &amp; IM Mapping'!$B$2:$B$270,MATCH(TRIM(B1295),'CLM &amp; IM Mapping'!$A$2:$A$270,0)),"Not Mapped"))</f>
        <v>Not Mapped</v>
      </c>
      <c r="D1295" s="40" t="str">
        <f aca="false">IF(B1295="","",IFERROR(INDEX('CLM &amp; IM Mapping'!$C$2:$C$270,MATCH(TRIM(B1295),'CLM &amp; IM Mapping'!$A$2:$A$270,0)),"Not Mapped"))</f>
        <v>Not Mapped</v>
      </c>
      <c r="E1295" s="41" t="n">
        <v>1438</v>
      </c>
      <c r="F1295" s="41" t="n">
        <v>0</v>
      </c>
      <c r="G1295" s="41" t="n">
        <v>1437</v>
      </c>
      <c r="H1295" s="41" t="n">
        <v>0</v>
      </c>
      <c r="I1295" s="41" t="n">
        <v>0</v>
      </c>
      <c r="J1295" s="41" t="n">
        <v>0</v>
      </c>
      <c r="K1295" s="41" t="n">
        <v>1</v>
      </c>
      <c r="L1295" s="41" t="n">
        <v>1</v>
      </c>
    </row>
    <row r="1296" customFormat="false" ht="15.75" hidden="false" customHeight="false" outlineLevel="0" collapsed="false">
      <c r="B1296" s="39" t="s">
        <v>1419</v>
      </c>
      <c r="C1296" s="40" t="str">
        <f aca="false">IF(B1296="","",IFERROR(INDEX('CLM &amp; IM Mapping'!$B$2:$B$270,MATCH(TRIM(B1296),'CLM &amp; IM Mapping'!$A$2:$A$270,0)),"Not Mapped"))</f>
        <v>Not Mapped</v>
      </c>
      <c r="D1296" s="40" t="str">
        <f aca="false">IF(B1296="","",IFERROR(INDEX('CLM &amp; IM Mapping'!$C$2:$C$270,MATCH(TRIM(B1296),'CLM &amp; IM Mapping'!$A$2:$A$270,0)),"Not Mapped"))</f>
        <v>Not Mapped</v>
      </c>
      <c r="E1296" s="41" t="n">
        <v>7055</v>
      </c>
      <c r="F1296" s="41" t="n">
        <v>4440</v>
      </c>
      <c r="G1296" s="41" t="n">
        <v>1295</v>
      </c>
      <c r="H1296" s="41" t="n">
        <v>0</v>
      </c>
      <c r="I1296" s="41" t="n">
        <v>1016</v>
      </c>
      <c r="J1296" s="41" t="n">
        <v>0</v>
      </c>
      <c r="K1296" s="41" t="n">
        <v>304</v>
      </c>
      <c r="L1296" s="41" t="n">
        <v>1320</v>
      </c>
    </row>
    <row r="1297" customFormat="false" ht="15.75" hidden="false" customHeight="false" outlineLevel="0" collapsed="false">
      <c r="B1297" s="39" t="s">
        <v>1420</v>
      </c>
      <c r="C1297" s="40" t="str">
        <f aca="false">IF(B1297="","",IFERROR(INDEX('CLM &amp; IM Mapping'!$B$2:$B$270,MATCH(TRIM(B1297),'CLM &amp; IM Mapping'!$A$2:$A$270,0)),"Not Mapped"))</f>
        <v>Not Mapped</v>
      </c>
      <c r="D1297" s="40" t="str">
        <f aca="false">IF(B1297="","",IFERROR(INDEX('CLM &amp; IM Mapping'!$C$2:$C$270,MATCH(TRIM(B1297),'CLM &amp; IM Mapping'!$A$2:$A$270,0)),"Not Mapped"))</f>
        <v>Not Mapped</v>
      </c>
      <c r="E1297" s="41" t="n">
        <v>3832</v>
      </c>
      <c r="F1297" s="41" t="n">
        <v>3529</v>
      </c>
      <c r="G1297" s="41" t="n">
        <v>1</v>
      </c>
      <c r="H1297" s="41" t="n">
        <v>90</v>
      </c>
      <c r="I1297" s="41" t="n">
        <v>0</v>
      </c>
      <c r="J1297" s="41" t="n">
        <v>209</v>
      </c>
      <c r="K1297" s="41" t="n">
        <v>3</v>
      </c>
      <c r="L1297" s="41" t="n">
        <v>302</v>
      </c>
    </row>
    <row r="1298" customFormat="false" ht="15.75" hidden="false" customHeight="false" outlineLevel="0" collapsed="false">
      <c r="B1298" s="39" t="s">
        <v>1421</v>
      </c>
      <c r="C1298" s="40" t="str">
        <f aca="false">IF(B1298="","",IFERROR(INDEX('CLM &amp; IM Mapping'!$B$2:$B$270,MATCH(TRIM(B1298),'CLM &amp; IM Mapping'!$A$2:$A$270,0)),"Not Mapped"))</f>
        <v>Not Mapped</v>
      </c>
      <c r="D1298" s="40" t="str">
        <f aca="false">IF(B1298="","",IFERROR(INDEX('CLM &amp; IM Mapping'!$C$2:$C$270,MATCH(TRIM(B1298),'CLM &amp; IM Mapping'!$A$2:$A$270,0)),"Not Mapped"))</f>
        <v>Not Mapped</v>
      </c>
      <c r="E1298" s="41" t="n">
        <v>355</v>
      </c>
      <c r="F1298" s="41" t="n">
        <v>0</v>
      </c>
      <c r="G1298" s="41" t="n">
        <v>0</v>
      </c>
      <c r="H1298" s="41" t="n">
        <v>355</v>
      </c>
      <c r="I1298" s="41" t="n">
        <v>0</v>
      </c>
      <c r="J1298" s="41" t="n">
        <v>0</v>
      </c>
      <c r="K1298" s="41" t="n">
        <v>0</v>
      </c>
      <c r="L1298" s="41" t="n">
        <v>0</v>
      </c>
    </row>
    <row r="1299" customFormat="false" ht="15.75" hidden="false" customHeight="false" outlineLevel="0" collapsed="false">
      <c r="B1299" s="39" t="s">
        <v>1422</v>
      </c>
      <c r="C1299" s="40" t="str">
        <f aca="false">IF(B1299="","",IFERROR(INDEX('CLM &amp; IM Mapping'!$B$2:$B$270,MATCH(TRIM(B1299),'CLM &amp; IM Mapping'!$A$2:$A$270,0)),"Not Mapped"))</f>
        <v>Not Mapped</v>
      </c>
      <c r="D1299" s="40" t="str">
        <f aca="false">IF(B1299="","",IFERROR(INDEX('CLM &amp; IM Mapping'!$C$2:$C$270,MATCH(TRIM(B1299),'CLM &amp; IM Mapping'!$A$2:$A$270,0)),"Not Mapped"))</f>
        <v>Not Mapped</v>
      </c>
      <c r="E1299" s="41" t="n">
        <v>5853</v>
      </c>
      <c r="F1299" s="41" t="n">
        <v>5408</v>
      </c>
      <c r="G1299" s="41" t="n">
        <v>28</v>
      </c>
      <c r="H1299" s="41" t="n">
        <v>275</v>
      </c>
      <c r="I1299" s="41" t="n">
        <v>123</v>
      </c>
      <c r="J1299" s="41" t="n">
        <v>17</v>
      </c>
      <c r="K1299" s="41" t="n">
        <v>2</v>
      </c>
      <c r="L1299" s="41" t="n">
        <v>417</v>
      </c>
    </row>
    <row r="1300" customFormat="false" ht="15.75" hidden="false" customHeight="false" outlineLevel="0" collapsed="false">
      <c r="B1300" s="39" t="s">
        <v>1423</v>
      </c>
      <c r="C1300" s="40" t="str">
        <f aca="false">IF(B1300="","",IFERROR(INDEX('CLM &amp; IM Mapping'!$B$2:$B$270,MATCH(TRIM(B1300),'CLM &amp; IM Mapping'!$A$2:$A$270,0)),"Not Mapped"))</f>
        <v>Not Mapped</v>
      </c>
      <c r="D1300" s="40" t="str">
        <f aca="false">IF(B1300="","",IFERROR(INDEX('CLM &amp; IM Mapping'!$C$2:$C$270,MATCH(TRIM(B1300),'CLM &amp; IM Mapping'!$A$2:$A$270,0)),"Not Mapped"))</f>
        <v>Not Mapped</v>
      </c>
      <c r="E1300" s="41" t="n">
        <v>5833</v>
      </c>
      <c r="F1300" s="41" t="n">
        <v>2403</v>
      </c>
      <c r="G1300" s="41" t="n">
        <v>0</v>
      </c>
      <c r="H1300" s="41" t="n">
        <v>2618</v>
      </c>
      <c r="I1300" s="41" t="n">
        <v>668</v>
      </c>
      <c r="J1300" s="41" t="n">
        <v>0</v>
      </c>
      <c r="K1300" s="41" t="n">
        <v>144</v>
      </c>
      <c r="L1300" s="41" t="n">
        <v>3430</v>
      </c>
    </row>
    <row r="1301" customFormat="false" ht="15.75" hidden="false" customHeight="false" outlineLevel="0" collapsed="false">
      <c r="B1301" s="23" t="s">
        <v>1424</v>
      </c>
      <c r="C1301" s="44" t="str">
        <f aca="false">IF(B1301="","",IFERROR(INDEX('CLM &amp; IM Mapping'!$B$2:$B$270,MATCH(TRIM(B1301),'CLM &amp; IM Mapping'!$A$2:$A$270,0)),"Not Mapped"))</f>
        <v>Not Mapped</v>
      </c>
      <c r="D1301" s="44" t="str">
        <f aca="false">IF(B1301="","",IFERROR(INDEX('CLM &amp; IM Mapping'!$C$2:$C$270,MATCH(TRIM(B1301),'CLM &amp; IM Mapping'!$A$2:$A$270,0)),"Not Mapped"))</f>
        <v>Not Mapped</v>
      </c>
      <c r="E1301" s="41" t="n">
        <v>3968</v>
      </c>
      <c r="F1301" s="41" t="n">
        <v>3960</v>
      </c>
      <c r="G1301" s="41" t="n">
        <v>0</v>
      </c>
      <c r="H1301" s="41" t="n">
        <v>0</v>
      </c>
      <c r="I1301" s="41" t="n">
        <v>0</v>
      </c>
      <c r="J1301" s="41" t="n">
        <v>0</v>
      </c>
      <c r="K1301" s="41" t="n">
        <v>8</v>
      </c>
      <c r="L1301" s="41" t="n">
        <v>8</v>
      </c>
    </row>
    <row r="1302" customFormat="false" ht="15.75" hidden="false" customHeight="false" outlineLevel="0" collapsed="false">
      <c r="B1302" s="39" t="s">
        <v>1425</v>
      </c>
      <c r="C1302" s="40" t="str">
        <f aca="false">IF(B1302="","",IFERROR(INDEX('CLM &amp; IM Mapping'!$B$2:$B$270,MATCH(TRIM(B1302),'CLM &amp; IM Mapping'!$A$2:$A$270,0)),"Not Mapped"))</f>
        <v>Not Mapped</v>
      </c>
      <c r="D1302" s="40" t="str">
        <f aca="false">IF(B1302="","",IFERROR(INDEX('CLM &amp; IM Mapping'!$C$2:$C$270,MATCH(TRIM(B1302),'CLM &amp; IM Mapping'!$A$2:$A$270,0)),"Not Mapped"))</f>
        <v>Not Mapped</v>
      </c>
      <c r="E1302" s="41" t="n">
        <v>2983</v>
      </c>
      <c r="F1302" s="41" t="n">
        <v>0</v>
      </c>
      <c r="G1302" s="41" t="n">
        <v>2945</v>
      </c>
      <c r="H1302" s="41" t="n">
        <v>0</v>
      </c>
      <c r="I1302" s="41" t="n">
        <v>3</v>
      </c>
      <c r="J1302" s="41" t="n">
        <v>0</v>
      </c>
      <c r="K1302" s="41" t="n">
        <v>35</v>
      </c>
      <c r="L1302" s="41" t="n">
        <v>38</v>
      </c>
    </row>
    <row r="1303" customFormat="false" ht="15.75" hidden="false" customHeight="false" outlineLevel="0" collapsed="false">
      <c r="B1303" s="39" t="s">
        <v>1426</v>
      </c>
      <c r="C1303" s="40" t="str">
        <f aca="false">IF(B1303="","",IFERROR(INDEX('CLM &amp; IM Mapping'!$B$2:$B$270,MATCH(TRIM(B1303),'CLM &amp; IM Mapping'!$A$2:$A$270,0)),"Not Mapped"))</f>
        <v>Not Mapped</v>
      </c>
      <c r="D1303" s="40" t="str">
        <f aca="false">IF(B1303="","",IFERROR(INDEX('CLM &amp; IM Mapping'!$C$2:$C$270,MATCH(TRIM(B1303),'CLM &amp; IM Mapping'!$A$2:$A$270,0)),"Not Mapped"))</f>
        <v>Not Mapped</v>
      </c>
      <c r="E1303" s="41" t="n">
        <v>4683</v>
      </c>
      <c r="F1303" s="41" t="n">
        <v>2240</v>
      </c>
      <c r="G1303" s="41" t="n">
        <v>0</v>
      </c>
      <c r="H1303" s="41" t="n">
        <v>0</v>
      </c>
      <c r="I1303" s="41" t="n">
        <v>1946</v>
      </c>
      <c r="J1303" s="41" t="n">
        <v>497</v>
      </c>
      <c r="K1303" s="41" t="n">
        <v>0</v>
      </c>
      <c r="L1303" s="41" t="n">
        <v>2443</v>
      </c>
    </row>
    <row r="1304" customFormat="false" ht="15.75" hidden="false" customHeight="false" outlineLevel="0" collapsed="false">
      <c r="B1304" s="39" t="s">
        <v>1427</v>
      </c>
      <c r="C1304" s="40" t="str">
        <f aca="false">IF(B1304="","",IFERROR(INDEX('CLM &amp; IM Mapping'!$B$2:$B$270,MATCH(TRIM(B1304),'CLM &amp; IM Mapping'!$A$2:$A$270,0)),"Not Mapped"))</f>
        <v>Not Mapped</v>
      </c>
      <c r="D1304" s="40" t="str">
        <f aca="false">IF(B1304="","",IFERROR(INDEX('CLM &amp; IM Mapping'!$C$2:$C$270,MATCH(TRIM(B1304),'CLM &amp; IM Mapping'!$A$2:$A$270,0)),"Not Mapped"))</f>
        <v>Not Mapped</v>
      </c>
      <c r="E1304" s="41" t="n">
        <v>0</v>
      </c>
      <c r="F1304" s="41" t="n">
        <v>0</v>
      </c>
      <c r="G1304" s="41" t="n">
        <v>0</v>
      </c>
      <c r="H1304" s="41" t="n">
        <v>0</v>
      </c>
      <c r="I1304" s="41" t="n">
        <v>0</v>
      </c>
      <c r="J1304" s="41" t="n">
        <v>0</v>
      </c>
      <c r="K1304" s="41" t="n">
        <v>0</v>
      </c>
      <c r="L1304" s="41" t="n">
        <v>0</v>
      </c>
    </row>
    <row r="1305" customFormat="false" ht="15.75" hidden="false" customHeight="false" outlineLevel="0" collapsed="false">
      <c r="B1305" s="39" t="s">
        <v>1428</v>
      </c>
      <c r="C1305" s="40" t="str">
        <f aca="false">IF(B1305="","",IFERROR(INDEX('CLM &amp; IM Mapping'!$B$2:$B$270,MATCH(TRIM(B1305),'CLM &amp; IM Mapping'!$A$2:$A$270,0)),"Not Mapped"))</f>
        <v>Not Mapped</v>
      </c>
      <c r="D1305" s="40" t="str">
        <f aca="false">IF(B1305="","",IFERROR(INDEX('CLM &amp; IM Mapping'!$C$2:$C$270,MATCH(TRIM(B1305),'CLM &amp; IM Mapping'!$A$2:$A$270,0)),"Not Mapped"))</f>
        <v>Not Mapped</v>
      </c>
      <c r="E1305" s="41" t="n">
        <v>567</v>
      </c>
      <c r="F1305" s="41" t="n">
        <v>0</v>
      </c>
      <c r="G1305" s="41" t="n">
        <v>567</v>
      </c>
      <c r="H1305" s="41" t="n">
        <v>0</v>
      </c>
      <c r="I1305" s="41" t="n">
        <v>0</v>
      </c>
      <c r="J1305" s="41" t="n">
        <v>0</v>
      </c>
      <c r="K1305" s="41" t="n">
        <v>0</v>
      </c>
      <c r="L1305" s="41" t="n">
        <v>0</v>
      </c>
    </row>
    <row r="1306" customFormat="false" ht="15.75" hidden="false" customHeight="false" outlineLevel="0" collapsed="false">
      <c r="B1306" s="39" t="s">
        <v>1429</v>
      </c>
      <c r="C1306" s="40" t="str">
        <f aca="false">IF(B1306="","",IFERROR(INDEX('CLM &amp; IM Mapping'!$B$2:$B$270,MATCH(TRIM(B1306),'CLM &amp; IM Mapping'!$A$2:$A$270,0)),"Not Mapped"))</f>
        <v>Not Mapped</v>
      </c>
      <c r="D1306" s="40" t="str">
        <f aca="false">IF(B1306="","",IFERROR(INDEX('CLM &amp; IM Mapping'!$C$2:$C$270,MATCH(TRIM(B1306),'CLM &amp; IM Mapping'!$A$2:$A$270,0)),"Not Mapped"))</f>
        <v>Not Mapped</v>
      </c>
      <c r="E1306" s="41" t="n">
        <v>904</v>
      </c>
      <c r="F1306" s="41" t="n">
        <v>0</v>
      </c>
      <c r="G1306" s="41" t="n">
        <v>0</v>
      </c>
      <c r="H1306" s="41" t="n">
        <v>0</v>
      </c>
      <c r="I1306" s="41" t="n">
        <v>0</v>
      </c>
      <c r="J1306" s="41" t="n">
        <v>864</v>
      </c>
      <c r="K1306" s="41" t="n">
        <v>40</v>
      </c>
      <c r="L1306" s="41" t="n">
        <v>904</v>
      </c>
    </row>
    <row r="1307" customFormat="false" ht="15.75" hidden="false" customHeight="false" outlineLevel="0" collapsed="false">
      <c r="B1307" s="39" t="s">
        <v>1430</v>
      </c>
      <c r="C1307" s="40" t="str">
        <f aca="false">IF(B1307="","",IFERROR(INDEX('CLM &amp; IM Mapping'!$B$2:$B$270,MATCH(TRIM(B1307),'CLM &amp; IM Mapping'!$A$2:$A$270,0)),"Not Mapped"))</f>
        <v>Not Mapped</v>
      </c>
      <c r="D1307" s="40" t="str">
        <f aca="false">IF(B1307="","",IFERROR(INDEX('CLM &amp; IM Mapping'!$C$2:$C$270,MATCH(TRIM(B1307),'CLM &amp; IM Mapping'!$A$2:$A$270,0)),"Not Mapped"))</f>
        <v>Not Mapped</v>
      </c>
      <c r="E1307" s="41" t="n">
        <v>2543</v>
      </c>
      <c r="F1307" s="41" t="n">
        <v>2522</v>
      </c>
      <c r="G1307" s="41" t="n">
        <v>0</v>
      </c>
      <c r="H1307" s="41" t="n">
        <v>21</v>
      </c>
      <c r="I1307" s="41" t="n">
        <v>0</v>
      </c>
      <c r="J1307" s="41" t="n">
        <v>0</v>
      </c>
      <c r="K1307" s="41" t="n">
        <v>0</v>
      </c>
      <c r="L1307" s="41" t="n">
        <v>21</v>
      </c>
    </row>
    <row r="1308" customFormat="false" ht="15.75" hidden="false" customHeight="false" outlineLevel="0" collapsed="false">
      <c r="B1308" s="39" t="s">
        <v>1431</v>
      </c>
      <c r="C1308" s="40" t="str">
        <f aca="false">IF(B1308="","",IFERROR(INDEX('CLM &amp; IM Mapping'!$B$2:$B$270,MATCH(TRIM(B1308),'CLM &amp; IM Mapping'!$A$2:$A$270,0)),"Not Mapped"))</f>
        <v>Not Mapped</v>
      </c>
      <c r="D1308" s="40" t="str">
        <f aca="false">IF(B1308="","",IFERROR(INDEX('CLM &amp; IM Mapping'!$C$2:$C$270,MATCH(TRIM(B1308),'CLM &amp; IM Mapping'!$A$2:$A$270,0)),"Not Mapped"))</f>
        <v>Not Mapped</v>
      </c>
      <c r="E1308" s="41" t="n">
        <v>3064</v>
      </c>
      <c r="F1308" s="41" t="n">
        <v>3064</v>
      </c>
      <c r="G1308" s="41" t="n">
        <v>0</v>
      </c>
      <c r="H1308" s="41" t="n">
        <v>0</v>
      </c>
      <c r="I1308" s="41" t="n">
        <v>0</v>
      </c>
      <c r="J1308" s="41" t="n">
        <v>0</v>
      </c>
      <c r="K1308" s="41" t="n">
        <v>0</v>
      </c>
      <c r="L1308" s="41" t="n">
        <v>0</v>
      </c>
    </row>
    <row r="1309" customFormat="false" ht="15.75" hidden="false" customHeight="false" outlineLevel="0" collapsed="false">
      <c r="B1309" s="39" t="s">
        <v>1432</v>
      </c>
      <c r="C1309" s="40" t="str">
        <f aca="false">IF(B1309="","",IFERROR(INDEX('CLM &amp; IM Mapping'!$B$2:$B$270,MATCH(TRIM(B1309),'CLM &amp; IM Mapping'!$A$2:$A$270,0)),"Not Mapped"))</f>
        <v>Not Mapped</v>
      </c>
      <c r="D1309" s="40" t="str">
        <f aca="false">IF(B1309="","",IFERROR(INDEX('CLM &amp; IM Mapping'!$C$2:$C$270,MATCH(TRIM(B1309),'CLM &amp; IM Mapping'!$A$2:$A$270,0)),"Not Mapped"))</f>
        <v>Not Mapped</v>
      </c>
      <c r="E1309" s="41" t="n">
        <v>4369</v>
      </c>
      <c r="F1309" s="41" t="n">
        <v>1498</v>
      </c>
      <c r="G1309" s="41" t="n">
        <v>2871</v>
      </c>
      <c r="H1309" s="41" t="n">
        <v>0</v>
      </c>
      <c r="I1309" s="41" t="n">
        <v>0</v>
      </c>
      <c r="J1309" s="41" t="n">
        <v>0</v>
      </c>
      <c r="K1309" s="41" t="n">
        <v>0</v>
      </c>
      <c r="L1309" s="41" t="n">
        <v>0</v>
      </c>
    </row>
    <row r="1310" customFormat="false" ht="15.75" hidden="false" customHeight="false" outlineLevel="0" collapsed="false">
      <c r="B1310" s="23" t="s">
        <v>1433</v>
      </c>
      <c r="C1310" s="44" t="str">
        <f aca="false">IF(B1310="","",IFERROR(INDEX('CLM &amp; IM Mapping'!$B$2:$B$270,MATCH(TRIM(B1310),'CLM &amp; IM Mapping'!$A$2:$A$270,0)),"Not Mapped"))</f>
        <v>Not Mapped</v>
      </c>
      <c r="D1310" s="44" t="str">
        <f aca="false">IF(B1310="","",IFERROR(INDEX('CLM &amp; IM Mapping'!$C$2:$C$270,MATCH(TRIM(B1310),'CLM &amp; IM Mapping'!$A$2:$A$270,0)),"Not Mapped"))</f>
        <v>Not Mapped</v>
      </c>
      <c r="E1310" s="41" t="n">
        <v>1353</v>
      </c>
      <c r="F1310" s="41" t="n">
        <v>0</v>
      </c>
      <c r="G1310" s="41" t="n">
        <v>0</v>
      </c>
      <c r="H1310" s="41" t="n">
        <v>1353</v>
      </c>
      <c r="I1310" s="41" t="n">
        <v>0</v>
      </c>
      <c r="J1310" s="41" t="n">
        <v>0</v>
      </c>
      <c r="K1310" s="41" t="n">
        <v>0</v>
      </c>
      <c r="L1310" s="41" t="n">
        <v>0</v>
      </c>
    </row>
    <row r="1311" customFormat="false" ht="15.75" hidden="false" customHeight="false" outlineLevel="0" collapsed="false">
      <c r="B1311" s="39" t="s">
        <v>1434</v>
      </c>
      <c r="C1311" s="40" t="str">
        <f aca="false">IF(B1311="","",IFERROR(INDEX('CLM &amp; IM Mapping'!$B$2:$B$270,MATCH(TRIM(B1311),'CLM &amp; IM Mapping'!$A$2:$A$270,0)),"Not Mapped"))</f>
        <v>Not Mapped</v>
      </c>
      <c r="D1311" s="40" t="str">
        <f aca="false">IF(B1311="","",IFERROR(INDEX('CLM &amp; IM Mapping'!$C$2:$C$270,MATCH(TRIM(B1311),'CLM &amp; IM Mapping'!$A$2:$A$270,0)),"Not Mapped"))</f>
        <v>Not Mapped</v>
      </c>
      <c r="E1311" s="41" t="n">
        <v>5813</v>
      </c>
      <c r="F1311" s="41" t="n">
        <v>2224</v>
      </c>
      <c r="G1311" s="41" t="n">
        <v>3579</v>
      </c>
      <c r="H1311" s="41" t="n">
        <v>10</v>
      </c>
      <c r="I1311" s="41" t="n">
        <v>0</v>
      </c>
      <c r="J1311" s="41" t="n">
        <v>0</v>
      </c>
      <c r="K1311" s="41" t="n">
        <v>0</v>
      </c>
      <c r="L1311" s="41" t="n">
        <v>10</v>
      </c>
    </row>
    <row r="1312" customFormat="false" ht="15.75" hidden="false" customHeight="false" outlineLevel="0" collapsed="false">
      <c r="B1312" s="39" t="s">
        <v>1435</v>
      </c>
      <c r="C1312" s="40" t="str">
        <f aca="false">IF(B1312="","",IFERROR(INDEX('CLM &amp; IM Mapping'!$B$2:$B$270,MATCH(TRIM(B1312),'CLM &amp; IM Mapping'!$A$2:$A$270,0)),"Not Mapped"))</f>
        <v>Not Mapped</v>
      </c>
      <c r="D1312" s="40" t="str">
        <f aca="false">IF(B1312="","",IFERROR(INDEX('CLM &amp; IM Mapping'!$C$2:$C$270,MATCH(TRIM(B1312),'CLM &amp; IM Mapping'!$A$2:$A$270,0)),"Not Mapped"))</f>
        <v>Not Mapped</v>
      </c>
      <c r="E1312" s="41" t="n">
        <v>1751</v>
      </c>
      <c r="F1312" s="41" t="n">
        <v>1751</v>
      </c>
      <c r="G1312" s="41" t="n">
        <v>0</v>
      </c>
      <c r="H1312" s="41" t="n">
        <v>0</v>
      </c>
      <c r="I1312" s="41" t="n">
        <v>0</v>
      </c>
      <c r="J1312" s="41" t="n">
        <v>0</v>
      </c>
      <c r="K1312" s="41" t="n">
        <v>0</v>
      </c>
      <c r="L1312" s="41" t="n">
        <v>0</v>
      </c>
    </row>
    <row r="1313" customFormat="false" ht="15.75" hidden="false" customHeight="false" outlineLevel="0" collapsed="false">
      <c r="B1313" s="39" t="s">
        <v>1436</v>
      </c>
      <c r="C1313" s="40" t="str">
        <f aca="false">IF(B1313="","",IFERROR(INDEX('CLM &amp; IM Mapping'!$B$2:$B$270,MATCH(TRIM(B1313),'CLM &amp; IM Mapping'!$A$2:$A$270,0)),"Not Mapped"))</f>
        <v>Not Mapped</v>
      </c>
      <c r="D1313" s="40" t="str">
        <f aca="false">IF(B1313="","",IFERROR(INDEX('CLM &amp; IM Mapping'!$C$2:$C$270,MATCH(TRIM(B1313),'CLM &amp; IM Mapping'!$A$2:$A$270,0)),"Not Mapped"))</f>
        <v>Not Mapped</v>
      </c>
      <c r="E1313" s="41" t="n">
        <v>3929</v>
      </c>
      <c r="F1313" s="41" t="n">
        <v>0</v>
      </c>
      <c r="G1313" s="41" t="n">
        <v>3845</v>
      </c>
      <c r="H1313" s="41" t="n">
        <v>0</v>
      </c>
      <c r="I1313" s="41" t="n">
        <v>0</v>
      </c>
      <c r="J1313" s="41" t="n">
        <v>0</v>
      </c>
      <c r="K1313" s="41" t="n">
        <v>84</v>
      </c>
      <c r="L1313" s="41" t="n">
        <v>84</v>
      </c>
    </row>
    <row r="1314" customFormat="false" ht="15.75" hidden="false" customHeight="false" outlineLevel="0" collapsed="false">
      <c r="B1314" s="39" t="s">
        <v>1437</v>
      </c>
      <c r="C1314" s="40" t="str">
        <f aca="false">IF(B1314="","",IFERROR(INDEX('CLM &amp; IM Mapping'!$B$2:$B$270,MATCH(TRIM(B1314),'CLM &amp; IM Mapping'!$A$2:$A$270,0)),"Not Mapped"))</f>
        <v>Not Mapped</v>
      </c>
      <c r="D1314" s="40" t="str">
        <f aca="false">IF(B1314="","",IFERROR(INDEX('CLM &amp; IM Mapping'!$C$2:$C$270,MATCH(TRIM(B1314),'CLM &amp; IM Mapping'!$A$2:$A$270,0)),"Not Mapped"))</f>
        <v>Not Mapped</v>
      </c>
      <c r="E1314" s="41" t="n">
        <v>2584</v>
      </c>
      <c r="F1314" s="41" t="n">
        <v>0</v>
      </c>
      <c r="G1314" s="41" t="n">
        <v>2584</v>
      </c>
      <c r="H1314" s="41" t="n">
        <v>0</v>
      </c>
      <c r="I1314" s="41" t="n">
        <v>0</v>
      </c>
      <c r="J1314" s="41" t="n">
        <v>0</v>
      </c>
      <c r="K1314" s="41" t="n">
        <v>0</v>
      </c>
      <c r="L1314" s="41" t="n">
        <v>0</v>
      </c>
    </row>
    <row r="1315" customFormat="false" ht="15.75" hidden="false" customHeight="false" outlineLevel="0" collapsed="false">
      <c r="B1315" s="39" t="s">
        <v>1438</v>
      </c>
      <c r="C1315" s="40" t="str">
        <f aca="false">IF(B1315="","",IFERROR(INDEX('CLM &amp; IM Mapping'!$B$2:$B$270,MATCH(TRIM(B1315),'CLM &amp; IM Mapping'!$A$2:$A$270,0)),"Not Mapped"))</f>
        <v>Not Mapped</v>
      </c>
      <c r="D1315" s="40" t="str">
        <f aca="false">IF(B1315="","",IFERROR(INDEX('CLM &amp; IM Mapping'!$C$2:$C$270,MATCH(TRIM(B1315),'CLM &amp; IM Mapping'!$A$2:$A$270,0)),"Not Mapped"))</f>
        <v>Not Mapped</v>
      </c>
      <c r="E1315" s="41" t="n">
        <v>3357</v>
      </c>
      <c r="F1315" s="41" t="n">
        <v>3357</v>
      </c>
      <c r="G1315" s="41" t="n">
        <v>0</v>
      </c>
      <c r="H1315" s="41" t="n">
        <v>0</v>
      </c>
      <c r="I1315" s="41" t="n">
        <v>0</v>
      </c>
      <c r="J1315" s="41" t="n">
        <v>0</v>
      </c>
      <c r="K1315" s="41" t="n">
        <v>0</v>
      </c>
      <c r="L1315" s="41" t="n">
        <v>0</v>
      </c>
    </row>
    <row r="1316" customFormat="false" ht="15.75" hidden="false" customHeight="false" outlineLevel="0" collapsed="false">
      <c r="B1316" s="39" t="s">
        <v>1439</v>
      </c>
      <c r="C1316" s="40" t="str">
        <f aca="false">IF(B1316="","",IFERROR(INDEX('CLM &amp; IM Mapping'!$B$2:$B$270,MATCH(TRIM(B1316),'CLM &amp; IM Mapping'!$A$2:$A$270,0)),"Not Mapped"))</f>
        <v>Not Mapped</v>
      </c>
      <c r="D1316" s="40" t="str">
        <f aca="false">IF(B1316="","",IFERROR(INDEX('CLM &amp; IM Mapping'!$C$2:$C$270,MATCH(TRIM(B1316),'CLM &amp; IM Mapping'!$A$2:$A$270,0)),"Not Mapped"))</f>
        <v>Not Mapped</v>
      </c>
      <c r="E1316" s="41" t="n">
        <v>4518</v>
      </c>
      <c r="F1316" s="41" t="n">
        <v>4334</v>
      </c>
      <c r="G1316" s="41" t="n">
        <v>0</v>
      </c>
      <c r="H1316" s="41" t="n">
        <v>0</v>
      </c>
      <c r="I1316" s="41" t="n">
        <v>184</v>
      </c>
      <c r="J1316" s="41" t="n">
        <v>0</v>
      </c>
      <c r="K1316" s="41" t="n">
        <v>0</v>
      </c>
      <c r="L1316" s="41" t="n">
        <v>184</v>
      </c>
    </row>
    <row r="1317" customFormat="false" ht="15.75" hidden="false" customHeight="false" outlineLevel="0" collapsed="false">
      <c r="B1317" s="39" t="s">
        <v>1440</v>
      </c>
      <c r="C1317" s="40" t="str">
        <f aca="false">IF(B1317="","",IFERROR(INDEX('CLM &amp; IM Mapping'!$B$2:$B$270,MATCH(TRIM(B1317),'CLM &amp; IM Mapping'!$A$2:$A$270,0)),"Not Mapped"))</f>
        <v>Not Mapped</v>
      </c>
      <c r="D1317" s="40" t="str">
        <f aca="false">IF(B1317="","",IFERROR(INDEX('CLM &amp; IM Mapping'!$C$2:$C$270,MATCH(TRIM(B1317),'CLM &amp; IM Mapping'!$A$2:$A$270,0)),"Not Mapped"))</f>
        <v>Not Mapped</v>
      </c>
      <c r="E1317" s="41" t="n">
        <v>1920</v>
      </c>
      <c r="F1317" s="41" t="n">
        <v>1809</v>
      </c>
      <c r="G1317" s="41" t="n">
        <v>0</v>
      </c>
      <c r="H1317" s="41" t="n">
        <v>0</v>
      </c>
      <c r="I1317" s="41" t="n">
        <v>111</v>
      </c>
      <c r="J1317" s="41" t="n">
        <v>0</v>
      </c>
      <c r="K1317" s="41" t="n">
        <v>0</v>
      </c>
      <c r="L1317" s="41" t="n">
        <v>111</v>
      </c>
    </row>
    <row r="1318" customFormat="false" ht="15.75" hidden="false" customHeight="false" outlineLevel="0" collapsed="false">
      <c r="B1318" s="39" t="s">
        <v>1441</v>
      </c>
      <c r="C1318" s="40" t="str">
        <f aca="false">IF(B1318="","",IFERROR(INDEX('CLM &amp; IM Mapping'!$B$2:$B$270,MATCH(TRIM(B1318),'CLM &amp; IM Mapping'!$A$2:$A$270,0)),"Not Mapped"))</f>
        <v>Not Mapped</v>
      </c>
      <c r="D1318" s="40" t="str">
        <f aca="false">IF(B1318="","",IFERROR(INDEX('CLM &amp; IM Mapping'!$C$2:$C$270,MATCH(TRIM(B1318),'CLM &amp; IM Mapping'!$A$2:$A$270,0)),"Not Mapped"))</f>
        <v>Not Mapped</v>
      </c>
      <c r="E1318" s="41" t="n">
        <v>223</v>
      </c>
      <c r="F1318" s="41" t="n">
        <v>0</v>
      </c>
      <c r="G1318" s="41" t="n">
        <v>0</v>
      </c>
      <c r="H1318" s="41" t="n">
        <v>223</v>
      </c>
      <c r="I1318" s="41" t="n">
        <v>0</v>
      </c>
      <c r="J1318" s="41" t="n">
        <v>0</v>
      </c>
      <c r="K1318" s="41" t="n">
        <v>0</v>
      </c>
      <c r="L1318" s="41" t="n">
        <v>223</v>
      </c>
    </row>
    <row r="1319" customFormat="false" ht="15.75" hidden="false" customHeight="false" outlineLevel="0" collapsed="false">
      <c r="B1319" s="39" t="s">
        <v>1442</v>
      </c>
      <c r="C1319" s="40" t="str">
        <f aca="false">IF(B1319="","",IFERROR(INDEX('CLM &amp; IM Mapping'!$B$2:$B$270,MATCH(TRIM(B1319),'CLM &amp; IM Mapping'!$A$2:$A$270,0)),"Not Mapped"))</f>
        <v>Not Mapped</v>
      </c>
      <c r="D1319" s="40" t="str">
        <f aca="false">IF(B1319="","",IFERROR(INDEX('CLM &amp; IM Mapping'!$C$2:$C$270,MATCH(TRIM(B1319),'CLM &amp; IM Mapping'!$A$2:$A$270,0)),"Not Mapped"))</f>
        <v>Not Mapped</v>
      </c>
      <c r="E1319" s="41" t="n">
        <v>3258</v>
      </c>
      <c r="F1319" s="41" t="n">
        <v>0</v>
      </c>
      <c r="G1319" s="41" t="n">
        <v>2432</v>
      </c>
      <c r="H1319" s="41" t="n">
        <v>804</v>
      </c>
      <c r="I1319" s="41" t="n">
        <v>0</v>
      </c>
      <c r="J1319" s="41" t="n">
        <v>0</v>
      </c>
      <c r="K1319" s="41" t="n">
        <v>22</v>
      </c>
      <c r="L1319" s="41" t="n">
        <v>826</v>
      </c>
    </row>
    <row r="1320" customFormat="false" ht="15.75" hidden="false" customHeight="false" outlineLevel="0" collapsed="false">
      <c r="B1320" s="39" t="s">
        <v>1443</v>
      </c>
      <c r="C1320" s="40" t="str">
        <f aca="false">IF(B1320="","",IFERROR(INDEX('CLM &amp; IM Mapping'!$B$2:$B$270,MATCH(TRIM(B1320),'CLM &amp; IM Mapping'!$A$2:$A$270,0)),"Not Mapped"))</f>
        <v>Not Mapped</v>
      </c>
      <c r="D1320" s="40" t="str">
        <f aca="false">IF(B1320="","",IFERROR(INDEX('CLM &amp; IM Mapping'!$C$2:$C$270,MATCH(TRIM(B1320),'CLM &amp; IM Mapping'!$A$2:$A$270,0)),"Not Mapped"))</f>
        <v>Not Mapped</v>
      </c>
      <c r="E1320" s="41" t="n">
        <v>3521</v>
      </c>
      <c r="F1320" s="41" t="n">
        <v>3521</v>
      </c>
      <c r="G1320" s="41" t="n">
        <v>0</v>
      </c>
      <c r="H1320" s="41" t="n">
        <v>0</v>
      </c>
      <c r="I1320" s="41" t="n">
        <v>0</v>
      </c>
      <c r="J1320" s="41" t="n">
        <v>0</v>
      </c>
      <c r="K1320" s="41" t="n">
        <v>0</v>
      </c>
      <c r="L1320" s="41" t="n">
        <v>0</v>
      </c>
    </row>
    <row r="1321" customFormat="false" ht="15.75" hidden="false" customHeight="false" outlineLevel="0" collapsed="false">
      <c r="B1321" s="39" t="s">
        <v>1444</v>
      </c>
      <c r="C1321" s="40" t="str">
        <f aca="false">IF(B1321="","",IFERROR(INDEX('CLM &amp; IM Mapping'!$B$2:$B$270,MATCH(TRIM(B1321),'CLM &amp; IM Mapping'!$A$2:$A$270,0)),"Not Mapped"))</f>
        <v>Not Mapped</v>
      </c>
      <c r="D1321" s="40" t="str">
        <f aca="false">IF(B1321="","",IFERROR(INDEX('CLM &amp; IM Mapping'!$C$2:$C$270,MATCH(TRIM(B1321),'CLM &amp; IM Mapping'!$A$2:$A$270,0)),"Not Mapped"))</f>
        <v>Not Mapped</v>
      </c>
      <c r="E1321" s="41" t="n">
        <v>7953</v>
      </c>
      <c r="F1321" s="41" t="n">
        <v>7387</v>
      </c>
      <c r="G1321" s="41" t="n">
        <v>0</v>
      </c>
      <c r="H1321" s="41" t="n">
        <v>0</v>
      </c>
      <c r="I1321" s="41" t="n">
        <v>0</v>
      </c>
      <c r="J1321" s="41" t="n">
        <v>1</v>
      </c>
      <c r="K1321" s="41" t="n">
        <v>565</v>
      </c>
      <c r="L1321" s="41" t="n">
        <v>566</v>
      </c>
    </row>
    <row r="1322" customFormat="false" ht="15.75" hidden="false" customHeight="false" outlineLevel="0" collapsed="false">
      <c r="B1322" s="39" t="s">
        <v>1445</v>
      </c>
      <c r="C1322" s="40" t="str">
        <f aca="false">IF(B1322="","",IFERROR(INDEX('CLM &amp; IM Mapping'!$B$2:$B$270,MATCH(TRIM(B1322),'CLM &amp; IM Mapping'!$A$2:$A$270,0)),"Not Mapped"))</f>
        <v>Not Mapped</v>
      </c>
      <c r="D1322" s="40" t="str">
        <f aca="false">IF(B1322="","",IFERROR(INDEX('CLM &amp; IM Mapping'!$C$2:$C$270,MATCH(TRIM(B1322),'CLM &amp; IM Mapping'!$A$2:$A$270,0)),"Not Mapped"))</f>
        <v>Not Mapped</v>
      </c>
      <c r="E1322" s="41" t="n">
        <v>2534</v>
      </c>
      <c r="F1322" s="41" t="n">
        <v>41</v>
      </c>
      <c r="G1322" s="41" t="n">
        <v>2335</v>
      </c>
      <c r="H1322" s="41" t="n">
        <v>96</v>
      </c>
      <c r="I1322" s="41" t="n">
        <v>0</v>
      </c>
      <c r="J1322" s="41" t="n">
        <v>46</v>
      </c>
      <c r="K1322" s="41" t="n">
        <v>16</v>
      </c>
      <c r="L1322" s="41" t="n">
        <v>158</v>
      </c>
    </row>
    <row r="1323" customFormat="false" ht="15.75" hidden="false" customHeight="false" outlineLevel="0" collapsed="false">
      <c r="B1323" s="39" t="s">
        <v>1446</v>
      </c>
      <c r="C1323" s="40" t="str">
        <f aca="false">IF(B1323="","",IFERROR(INDEX('CLM &amp; IM Mapping'!$B$2:$B$270,MATCH(TRIM(B1323),'CLM &amp; IM Mapping'!$A$2:$A$270,0)),"Not Mapped"))</f>
        <v>Not Mapped</v>
      </c>
      <c r="D1323" s="40" t="str">
        <f aca="false">IF(B1323="","",IFERROR(INDEX('CLM &amp; IM Mapping'!$C$2:$C$270,MATCH(TRIM(B1323),'CLM &amp; IM Mapping'!$A$2:$A$270,0)),"Not Mapped"))</f>
        <v>Not Mapped</v>
      </c>
      <c r="E1323" s="41" t="n">
        <v>1676</v>
      </c>
      <c r="F1323" s="41" t="n">
        <v>278</v>
      </c>
      <c r="G1323" s="41" t="n">
        <v>1398</v>
      </c>
      <c r="H1323" s="41" t="n">
        <v>0</v>
      </c>
      <c r="I1323" s="41" t="n">
        <v>0</v>
      </c>
      <c r="J1323" s="41" t="n">
        <v>0</v>
      </c>
      <c r="K1323" s="41" t="n">
        <v>0</v>
      </c>
      <c r="L1323" s="41" t="n">
        <v>0</v>
      </c>
    </row>
    <row r="1324" customFormat="false" ht="15.75" hidden="false" customHeight="false" outlineLevel="0" collapsed="false">
      <c r="B1324" s="39" t="s">
        <v>1447</v>
      </c>
      <c r="C1324" s="40" t="str">
        <f aca="false">IF(B1324="","",IFERROR(INDEX('CLM &amp; IM Mapping'!$B$2:$B$270,MATCH(TRIM(B1324),'CLM &amp; IM Mapping'!$A$2:$A$270,0)),"Not Mapped"))</f>
        <v>Not Mapped</v>
      </c>
      <c r="D1324" s="40" t="str">
        <f aca="false">IF(B1324="","",IFERROR(INDEX('CLM &amp; IM Mapping'!$C$2:$C$270,MATCH(TRIM(B1324),'CLM &amp; IM Mapping'!$A$2:$A$270,0)),"Not Mapped"))</f>
        <v>Not Mapped</v>
      </c>
      <c r="E1324" s="41" t="n">
        <v>3401</v>
      </c>
      <c r="F1324" s="41" t="n">
        <v>3401</v>
      </c>
      <c r="G1324" s="41" t="n">
        <v>0</v>
      </c>
      <c r="H1324" s="41" t="n">
        <v>0</v>
      </c>
      <c r="I1324" s="41" t="n">
        <v>0</v>
      </c>
      <c r="J1324" s="41" t="n">
        <v>0</v>
      </c>
      <c r="K1324" s="41" t="n">
        <v>0</v>
      </c>
      <c r="L1324" s="41" t="n">
        <v>0</v>
      </c>
    </row>
    <row r="1325" customFormat="false" ht="15.75" hidden="false" customHeight="false" outlineLevel="0" collapsed="false">
      <c r="B1325" s="39" t="s">
        <v>1448</v>
      </c>
      <c r="C1325" s="40" t="str">
        <f aca="false">IF(B1325="","",IFERROR(INDEX('CLM &amp; IM Mapping'!$B$2:$B$270,MATCH(TRIM(B1325),'CLM &amp; IM Mapping'!$A$2:$A$270,0)),"Not Mapped"))</f>
        <v>Not Mapped</v>
      </c>
      <c r="D1325" s="40" t="str">
        <f aca="false">IF(B1325="","",IFERROR(INDEX('CLM &amp; IM Mapping'!$C$2:$C$270,MATCH(TRIM(B1325),'CLM &amp; IM Mapping'!$A$2:$A$270,0)),"Not Mapped"))</f>
        <v>Not Mapped</v>
      </c>
      <c r="E1325" s="41" t="n">
        <v>6922</v>
      </c>
      <c r="F1325" s="41" t="n">
        <v>2648</v>
      </c>
      <c r="G1325" s="41" t="n">
        <v>1587</v>
      </c>
      <c r="H1325" s="41" t="n">
        <v>2687</v>
      </c>
      <c r="I1325" s="41" t="n">
        <v>0</v>
      </c>
      <c r="J1325" s="41" t="n">
        <v>0</v>
      </c>
      <c r="K1325" s="41" t="n">
        <v>0</v>
      </c>
      <c r="L1325" s="41" t="n">
        <v>2687</v>
      </c>
    </row>
    <row r="1326" customFormat="false" ht="15.75" hidden="false" customHeight="false" outlineLevel="0" collapsed="false">
      <c r="B1326" s="39" t="s">
        <v>1449</v>
      </c>
      <c r="C1326" s="40" t="str">
        <f aca="false">IF(B1326="","",IFERROR(INDEX('CLM &amp; IM Mapping'!$B$2:$B$270,MATCH(TRIM(B1326),'CLM &amp; IM Mapping'!$A$2:$A$270,0)),"Not Mapped"))</f>
        <v>Not Mapped</v>
      </c>
      <c r="D1326" s="40" t="str">
        <f aca="false">IF(B1326="","",IFERROR(INDEX('CLM &amp; IM Mapping'!$C$2:$C$270,MATCH(TRIM(B1326),'CLM &amp; IM Mapping'!$A$2:$A$270,0)),"Not Mapped"))</f>
        <v>Not Mapped</v>
      </c>
      <c r="E1326" s="41" t="n">
        <v>4331</v>
      </c>
      <c r="F1326" s="41" t="n">
        <v>0</v>
      </c>
      <c r="G1326" s="41" t="n">
        <v>0</v>
      </c>
      <c r="H1326" s="41" t="n">
        <v>3937</v>
      </c>
      <c r="I1326" s="41" t="n">
        <v>0</v>
      </c>
      <c r="J1326" s="41" t="n">
        <v>394</v>
      </c>
      <c r="K1326" s="41" t="n">
        <v>0</v>
      </c>
      <c r="L1326" s="41" t="n">
        <v>4331</v>
      </c>
    </row>
    <row r="1327" customFormat="false" ht="15.75" hidden="false" customHeight="false" outlineLevel="0" collapsed="false">
      <c r="B1327" s="39" t="s">
        <v>1450</v>
      </c>
      <c r="C1327" s="40" t="str">
        <f aca="false">IF(B1327="","",IFERROR(INDEX('CLM &amp; IM Mapping'!$B$2:$B$270,MATCH(TRIM(B1327),'CLM &amp; IM Mapping'!$A$2:$A$270,0)),"Not Mapped"))</f>
        <v>Not Mapped</v>
      </c>
      <c r="D1327" s="40" t="str">
        <f aca="false">IF(B1327="","",IFERROR(INDEX('CLM &amp; IM Mapping'!$C$2:$C$270,MATCH(TRIM(B1327),'CLM &amp; IM Mapping'!$A$2:$A$270,0)),"Not Mapped"))</f>
        <v>Not Mapped</v>
      </c>
      <c r="E1327" s="41" t="n">
        <v>1888</v>
      </c>
      <c r="F1327" s="41" t="n">
        <v>661</v>
      </c>
      <c r="G1327" s="41" t="n">
        <v>1227</v>
      </c>
      <c r="H1327" s="41" t="n">
        <v>0</v>
      </c>
      <c r="I1327" s="41" t="n">
        <v>0</v>
      </c>
      <c r="J1327" s="41" t="n">
        <v>0</v>
      </c>
      <c r="K1327" s="41" t="n">
        <v>0</v>
      </c>
      <c r="L1327" s="41" t="n">
        <v>0</v>
      </c>
    </row>
    <row r="1328" customFormat="false" ht="15.75" hidden="false" customHeight="false" outlineLevel="0" collapsed="false">
      <c r="B1328" s="39" t="s">
        <v>1451</v>
      </c>
      <c r="C1328" s="40" t="str">
        <f aca="false">IF(B1328="","",IFERROR(INDEX('CLM &amp; IM Mapping'!$B$2:$B$270,MATCH(TRIM(B1328),'CLM &amp; IM Mapping'!$A$2:$A$270,0)),"Not Mapped"))</f>
        <v>Not Mapped</v>
      </c>
      <c r="D1328" s="40" t="str">
        <f aca="false">IF(B1328="","",IFERROR(INDEX('CLM &amp; IM Mapping'!$C$2:$C$270,MATCH(TRIM(B1328),'CLM &amp; IM Mapping'!$A$2:$A$270,0)),"Not Mapped"))</f>
        <v>Not Mapped</v>
      </c>
      <c r="E1328" s="41" t="n">
        <v>1397</v>
      </c>
      <c r="F1328" s="41" t="n">
        <v>0</v>
      </c>
      <c r="G1328" s="41" t="n">
        <v>0</v>
      </c>
      <c r="H1328" s="41" t="n">
        <v>1359</v>
      </c>
      <c r="I1328" s="41" t="n">
        <v>0</v>
      </c>
      <c r="J1328" s="41" t="n">
        <v>38</v>
      </c>
      <c r="K1328" s="41" t="n">
        <v>0</v>
      </c>
      <c r="L1328" s="41" t="n">
        <v>1397</v>
      </c>
    </row>
    <row r="1329" customFormat="false" ht="15.75" hidden="false" customHeight="false" outlineLevel="0" collapsed="false">
      <c r="B1329" s="39" t="s">
        <v>1452</v>
      </c>
      <c r="C1329" s="40" t="str">
        <f aca="false">IF(B1329="","",IFERROR(INDEX('CLM &amp; IM Mapping'!$B$2:$B$270,MATCH(TRIM(B1329),'CLM &amp; IM Mapping'!$A$2:$A$270,0)),"Not Mapped"))</f>
        <v>Not Mapped</v>
      </c>
      <c r="D1329" s="40" t="str">
        <f aca="false">IF(B1329="","",IFERROR(INDEX('CLM &amp; IM Mapping'!$C$2:$C$270,MATCH(TRIM(B1329),'CLM &amp; IM Mapping'!$A$2:$A$270,0)),"Not Mapped"))</f>
        <v>Not Mapped</v>
      </c>
      <c r="E1329" s="41" t="n">
        <v>596</v>
      </c>
      <c r="F1329" s="41" t="n">
        <v>0</v>
      </c>
      <c r="G1329" s="41" t="n">
        <v>0</v>
      </c>
      <c r="H1329" s="41" t="n">
        <v>594</v>
      </c>
      <c r="I1329" s="41" t="n">
        <v>0</v>
      </c>
      <c r="J1329" s="41" t="n">
        <v>2</v>
      </c>
      <c r="K1329" s="41" t="n">
        <v>0</v>
      </c>
      <c r="L1329" s="41" t="n">
        <v>596</v>
      </c>
    </row>
    <row r="1330" customFormat="false" ht="15.75" hidden="false" customHeight="false" outlineLevel="0" collapsed="false">
      <c r="B1330" s="39" t="s">
        <v>1453</v>
      </c>
      <c r="C1330" s="40" t="str">
        <f aca="false">IF(B1330="","",IFERROR(INDEX('CLM &amp; IM Mapping'!$B$2:$B$270,MATCH(TRIM(B1330),'CLM &amp; IM Mapping'!$A$2:$A$270,0)),"Not Mapped"))</f>
        <v>Not Mapped</v>
      </c>
      <c r="D1330" s="40" t="str">
        <f aca="false">IF(B1330="","",IFERROR(INDEX('CLM &amp; IM Mapping'!$C$2:$C$270,MATCH(TRIM(B1330),'CLM &amp; IM Mapping'!$A$2:$A$270,0)),"Not Mapped"))</f>
        <v>Not Mapped</v>
      </c>
      <c r="E1330" s="41" t="n">
        <v>3968</v>
      </c>
      <c r="F1330" s="41" t="n">
        <v>146</v>
      </c>
      <c r="G1330" s="41" t="n">
        <v>2426</v>
      </c>
      <c r="H1330" s="41" t="n">
        <v>1374</v>
      </c>
      <c r="I1330" s="41" t="n">
        <v>0</v>
      </c>
      <c r="J1330" s="41" t="n">
        <v>6</v>
      </c>
      <c r="K1330" s="41" t="n">
        <v>16</v>
      </c>
      <c r="L1330" s="41" t="n">
        <v>1396</v>
      </c>
    </row>
    <row r="1331" customFormat="false" ht="15.75" hidden="false" customHeight="false" outlineLevel="0" collapsed="false">
      <c r="B1331" s="39" t="s">
        <v>1454</v>
      </c>
      <c r="C1331" s="40" t="str">
        <f aca="false">IF(B1331="","",IFERROR(INDEX('CLM &amp; IM Mapping'!$B$2:$B$270,MATCH(TRIM(B1331),'CLM &amp; IM Mapping'!$A$2:$A$270,0)),"Not Mapped"))</f>
        <v>Not Mapped</v>
      </c>
      <c r="D1331" s="40" t="str">
        <f aca="false">IF(B1331="","",IFERROR(INDEX('CLM &amp; IM Mapping'!$C$2:$C$270,MATCH(TRIM(B1331),'CLM &amp; IM Mapping'!$A$2:$A$270,0)),"Not Mapped"))</f>
        <v>Not Mapped</v>
      </c>
      <c r="E1331" s="41" t="n">
        <v>6178</v>
      </c>
      <c r="F1331" s="41" t="n">
        <v>6178</v>
      </c>
      <c r="G1331" s="41" t="n">
        <v>0</v>
      </c>
      <c r="H1331" s="41" t="n">
        <v>0</v>
      </c>
      <c r="I1331" s="41" t="n">
        <v>0</v>
      </c>
      <c r="J1331" s="41" t="n">
        <v>0</v>
      </c>
      <c r="K1331" s="41" t="n">
        <v>0</v>
      </c>
      <c r="L1331" s="41" t="n">
        <v>0</v>
      </c>
    </row>
    <row r="1332" customFormat="false" ht="15.75" hidden="false" customHeight="false" outlineLevel="0" collapsed="false">
      <c r="B1332" s="39" t="s">
        <v>1455</v>
      </c>
      <c r="C1332" s="40" t="str">
        <f aca="false">IF(B1332="","",IFERROR(INDEX('CLM &amp; IM Mapping'!$B$2:$B$270,MATCH(TRIM(B1332),'CLM &amp; IM Mapping'!$A$2:$A$270,0)),"Not Mapped"))</f>
        <v>Not Mapped</v>
      </c>
      <c r="D1332" s="40" t="str">
        <f aca="false">IF(B1332="","",IFERROR(INDEX('CLM &amp; IM Mapping'!$C$2:$C$270,MATCH(TRIM(B1332),'CLM &amp; IM Mapping'!$A$2:$A$270,0)),"Not Mapped"))</f>
        <v>Not Mapped</v>
      </c>
      <c r="E1332" s="41" t="n">
        <v>364</v>
      </c>
      <c r="F1332" s="41" t="n">
        <v>0</v>
      </c>
      <c r="G1332" s="41" t="n">
        <v>363</v>
      </c>
      <c r="H1332" s="41" t="n">
        <v>0</v>
      </c>
      <c r="I1332" s="41" t="n">
        <v>1</v>
      </c>
      <c r="J1332" s="41" t="n">
        <v>0</v>
      </c>
      <c r="K1332" s="41" t="n">
        <v>0</v>
      </c>
      <c r="L1332" s="41" t="n">
        <v>1</v>
      </c>
    </row>
    <row r="1333" customFormat="false" ht="15.75" hidden="false" customHeight="false" outlineLevel="0" collapsed="false">
      <c r="B1333" s="39" t="s">
        <v>1456</v>
      </c>
      <c r="C1333" s="40" t="str">
        <f aca="false">IF(B1333="","",IFERROR(INDEX('CLM &amp; IM Mapping'!$B$2:$B$270,MATCH(TRIM(B1333),'CLM &amp; IM Mapping'!$A$2:$A$270,0)),"Not Mapped"))</f>
        <v>Not Mapped</v>
      </c>
      <c r="D1333" s="40" t="str">
        <f aca="false">IF(B1333="","",IFERROR(INDEX('CLM &amp; IM Mapping'!$C$2:$C$270,MATCH(TRIM(B1333),'CLM &amp; IM Mapping'!$A$2:$A$270,0)),"Not Mapped"))</f>
        <v>Not Mapped</v>
      </c>
      <c r="E1333" s="41" t="n">
        <v>6362</v>
      </c>
      <c r="F1333" s="41" t="n">
        <v>6362</v>
      </c>
      <c r="G1333" s="41" t="n">
        <v>0</v>
      </c>
      <c r="H1333" s="41" t="n">
        <v>0</v>
      </c>
      <c r="I1333" s="41" t="n">
        <v>0</v>
      </c>
      <c r="J1333" s="41" t="n">
        <v>0</v>
      </c>
      <c r="K1333" s="41" t="n">
        <v>0</v>
      </c>
      <c r="L1333" s="41" t="n">
        <v>0</v>
      </c>
    </row>
    <row r="1334" customFormat="false" ht="15.75" hidden="false" customHeight="false" outlineLevel="0" collapsed="false">
      <c r="B1334" s="39" t="s">
        <v>1457</v>
      </c>
      <c r="C1334" s="40" t="str">
        <f aca="false">IF(B1334="","",IFERROR(INDEX('CLM &amp; IM Mapping'!$B$2:$B$270,MATCH(TRIM(B1334),'CLM &amp; IM Mapping'!$A$2:$A$270,0)),"Not Mapped"))</f>
        <v>Not Mapped</v>
      </c>
      <c r="D1334" s="40" t="str">
        <f aca="false">IF(B1334="","",IFERROR(INDEX('CLM &amp; IM Mapping'!$C$2:$C$270,MATCH(TRIM(B1334),'CLM &amp; IM Mapping'!$A$2:$A$270,0)),"Not Mapped"))</f>
        <v>Not Mapped</v>
      </c>
      <c r="E1334" s="41" t="n">
        <v>5741</v>
      </c>
      <c r="F1334" s="41" t="n">
        <v>2213</v>
      </c>
      <c r="G1334" s="41" t="n">
        <v>0</v>
      </c>
      <c r="H1334" s="41" t="n">
        <v>3528</v>
      </c>
      <c r="I1334" s="41" t="n">
        <v>0</v>
      </c>
      <c r="J1334" s="41" t="n">
        <v>0</v>
      </c>
      <c r="K1334" s="41" t="n">
        <v>0</v>
      </c>
      <c r="L1334" s="41" t="n">
        <v>0</v>
      </c>
    </row>
    <row r="1335" customFormat="false" ht="15.75" hidden="false" customHeight="false" outlineLevel="0" collapsed="false">
      <c r="B1335" s="39" t="s">
        <v>1458</v>
      </c>
      <c r="C1335" s="40" t="str">
        <f aca="false">IF(B1335="","",IFERROR(INDEX('CLM &amp; IM Mapping'!$B$2:$B$270,MATCH(TRIM(B1335),'CLM &amp; IM Mapping'!$A$2:$A$270,0)),"Not Mapped"))</f>
        <v>Not Mapped</v>
      </c>
      <c r="D1335" s="40" t="str">
        <f aca="false">IF(B1335="","",IFERROR(INDEX('CLM &amp; IM Mapping'!$C$2:$C$270,MATCH(TRIM(B1335),'CLM &amp; IM Mapping'!$A$2:$A$270,0)),"Not Mapped"))</f>
        <v>Not Mapped</v>
      </c>
      <c r="E1335" s="41" t="n">
        <v>2105</v>
      </c>
      <c r="F1335" s="41" t="n">
        <v>0</v>
      </c>
      <c r="G1335" s="41" t="n">
        <v>0</v>
      </c>
      <c r="H1335" s="41" t="n">
        <v>0</v>
      </c>
      <c r="I1335" s="41" t="n">
        <v>786</v>
      </c>
      <c r="J1335" s="41" t="n">
        <v>1007</v>
      </c>
      <c r="K1335" s="41" t="n">
        <v>312</v>
      </c>
      <c r="L1335" s="41" t="n">
        <v>2105</v>
      </c>
    </row>
    <row r="1336" customFormat="false" ht="15.75" hidden="false" customHeight="false" outlineLevel="0" collapsed="false">
      <c r="B1336" s="39" t="s">
        <v>1459</v>
      </c>
      <c r="C1336" s="40" t="str">
        <f aca="false">IF(B1336="","",IFERROR(INDEX('CLM &amp; IM Mapping'!$B$2:$B$270,MATCH(TRIM(B1336),'CLM &amp; IM Mapping'!$A$2:$A$270,0)),"Not Mapped"))</f>
        <v>Not Mapped</v>
      </c>
      <c r="D1336" s="40" t="str">
        <f aca="false">IF(B1336="","",IFERROR(INDEX('CLM &amp; IM Mapping'!$C$2:$C$270,MATCH(TRIM(B1336),'CLM &amp; IM Mapping'!$A$2:$A$270,0)),"Not Mapped"))</f>
        <v>Not Mapped</v>
      </c>
      <c r="E1336" s="41" t="n">
        <v>152</v>
      </c>
      <c r="F1336" s="41" t="n">
        <v>0</v>
      </c>
      <c r="G1336" s="41" t="n">
        <v>0</v>
      </c>
      <c r="H1336" s="41" t="n">
        <v>138</v>
      </c>
      <c r="I1336" s="41" t="n">
        <v>14</v>
      </c>
      <c r="J1336" s="41" t="n">
        <v>0</v>
      </c>
      <c r="K1336" s="41" t="n">
        <v>0</v>
      </c>
      <c r="L1336" s="41" t="n">
        <v>152</v>
      </c>
    </row>
    <row r="1337" customFormat="false" ht="15.75" hidden="false" customHeight="false" outlineLevel="0" collapsed="false">
      <c r="B1337" s="39" t="s">
        <v>1460</v>
      </c>
      <c r="C1337" s="40" t="str">
        <f aca="false">IF(B1337="","",IFERROR(INDEX('CLM &amp; IM Mapping'!$B$2:$B$270,MATCH(TRIM(B1337),'CLM &amp; IM Mapping'!$A$2:$A$270,0)),"Not Mapped"))</f>
        <v>Not Mapped</v>
      </c>
      <c r="D1337" s="40" t="str">
        <f aca="false">IF(B1337="","",IFERROR(INDEX('CLM &amp; IM Mapping'!$C$2:$C$270,MATCH(TRIM(B1337),'CLM &amp; IM Mapping'!$A$2:$A$270,0)),"Not Mapped"))</f>
        <v>Not Mapped</v>
      </c>
      <c r="E1337" s="41" t="n">
        <v>7087</v>
      </c>
      <c r="F1337" s="41" t="n">
        <v>4391</v>
      </c>
      <c r="G1337" s="41" t="n">
        <v>112</v>
      </c>
      <c r="H1337" s="41" t="n">
        <v>0</v>
      </c>
      <c r="I1337" s="41" t="n">
        <v>1924</v>
      </c>
      <c r="J1337" s="41" t="n">
        <v>0</v>
      </c>
      <c r="K1337" s="41" t="n">
        <v>660</v>
      </c>
      <c r="L1337" s="41" t="n">
        <v>2584</v>
      </c>
    </row>
    <row r="1338" customFormat="false" ht="15.75" hidden="false" customHeight="false" outlineLevel="0" collapsed="false">
      <c r="B1338" s="39" t="s">
        <v>1461</v>
      </c>
      <c r="C1338" s="40" t="str">
        <f aca="false">IF(B1338="","",IFERROR(INDEX('CLM &amp; IM Mapping'!$B$2:$B$270,MATCH(TRIM(B1338),'CLM &amp; IM Mapping'!$A$2:$A$270,0)),"Not Mapped"))</f>
        <v>Not Mapped</v>
      </c>
      <c r="D1338" s="40" t="str">
        <f aca="false">IF(B1338="","",IFERROR(INDEX('CLM &amp; IM Mapping'!$C$2:$C$270,MATCH(TRIM(B1338),'CLM &amp; IM Mapping'!$A$2:$A$270,0)),"Not Mapped"))</f>
        <v>Not Mapped</v>
      </c>
      <c r="E1338" s="41" t="n">
        <v>2765</v>
      </c>
      <c r="F1338" s="41" t="n">
        <v>0</v>
      </c>
      <c r="G1338" s="41" t="n">
        <v>2745</v>
      </c>
      <c r="H1338" s="41" t="n">
        <v>20</v>
      </c>
      <c r="I1338" s="41" t="n">
        <v>0</v>
      </c>
      <c r="J1338" s="41" t="n">
        <v>0</v>
      </c>
      <c r="K1338" s="41" t="n">
        <v>0</v>
      </c>
      <c r="L1338" s="41" t="n">
        <v>20</v>
      </c>
    </row>
    <row r="1339" customFormat="false" ht="15.75" hidden="false" customHeight="false" outlineLevel="0" collapsed="false">
      <c r="B1339" s="39" t="s">
        <v>1462</v>
      </c>
      <c r="C1339" s="40" t="str">
        <f aca="false">IF(B1339="","",IFERROR(INDEX('CLM &amp; IM Mapping'!$B$2:$B$270,MATCH(TRIM(B1339),'CLM &amp; IM Mapping'!$A$2:$A$270,0)),"Not Mapped"))</f>
        <v>Not Mapped</v>
      </c>
      <c r="D1339" s="40" t="str">
        <f aca="false">IF(B1339="","",IFERROR(INDEX('CLM &amp; IM Mapping'!$C$2:$C$270,MATCH(TRIM(B1339),'CLM &amp; IM Mapping'!$A$2:$A$270,0)),"Not Mapped"))</f>
        <v>Not Mapped</v>
      </c>
      <c r="E1339" s="41" t="n">
        <v>6672</v>
      </c>
      <c r="F1339" s="41" t="n">
        <v>3626</v>
      </c>
      <c r="G1339" s="41" t="n">
        <v>0</v>
      </c>
      <c r="H1339" s="41" t="n">
        <v>3046</v>
      </c>
      <c r="I1339" s="41" t="n">
        <v>0</v>
      </c>
      <c r="J1339" s="41" t="n">
        <v>0</v>
      </c>
      <c r="K1339" s="41" t="n">
        <v>0</v>
      </c>
      <c r="L1339" s="41" t="n">
        <v>3046</v>
      </c>
    </row>
    <row r="1340" customFormat="false" ht="15.75" hidden="false" customHeight="false" outlineLevel="0" collapsed="false">
      <c r="B1340" s="39" t="s">
        <v>1463</v>
      </c>
      <c r="C1340" s="40" t="str">
        <f aca="false">IF(B1340="","",IFERROR(INDEX('CLM &amp; IM Mapping'!$B$2:$B$270,MATCH(TRIM(B1340),'CLM &amp; IM Mapping'!$A$2:$A$270,0)),"Not Mapped"))</f>
        <v>Not Mapped</v>
      </c>
      <c r="D1340" s="40" t="str">
        <f aca="false">IF(B1340="","",IFERROR(INDEX('CLM &amp; IM Mapping'!$C$2:$C$270,MATCH(TRIM(B1340),'CLM &amp; IM Mapping'!$A$2:$A$270,0)),"Not Mapped"))</f>
        <v>Not Mapped</v>
      </c>
      <c r="E1340" s="41" t="n">
        <v>2392</v>
      </c>
      <c r="F1340" s="41" t="n">
        <v>0</v>
      </c>
      <c r="G1340" s="41" t="n">
        <v>0</v>
      </c>
      <c r="H1340" s="41" t="n">
        <v>2389</v>
      </c>
      <c r="I1340" s="41" t="n">
        <v>0</v>
      </c>
      <c r="J1340" s="41" t="n">
        <v>0</v>
      </c>
      <c r="K1340" s="41" t="n">
        <v>3</v>
      </c>
      <c r="L1340" s="41" t="n">
        <v>2392</v>
      </c>
    </row>
    <row r="1341" customFormat="false" ht="15.75" hidden="false" customHeight="false" outlineLevel="0" collapsed="false">
      <c r="B1341" s="39" t="s">
        <v>1464</v>
      </c>
      <c r="C1341" s="40" t="str">
        <f aca="false">IF(B1341="","",IFERROR(INDEX('CLM &amp; IM Mapping'!$B$2:$B$270,MATCH(TRIM(B1341),'CLM &amp; IM Mapping'!$A$2:$A$270,0)),"Not Mapped"))</f>
        <v>Not Mapped</v>
      </c>
      <c r="D1341" s="40" t="str">
        <f aca="false">IF(B1341="","",IFERROR(INDEX('CLM &amp; IM Mapping'!$C$2:$C$270,MATCH(TRIM(B1341),'CLM &amp; IM Mapping'!$A$2:$A$270,0)),"Not Mapped"))</f>
        <v>Not Mapped</v>
      </c>
      <c r="E1341" s="41" t="n">
        <v>703</v>
      </c>
      <c r="F1341" s="41" t="n">
        <v>0</v>
      </c>
      <c r="G1341" s="41" t="n">
        <v>41</v>
      </c>
      <c r="H1341" s="41" t="n">
        <v>649</v>
      </c>
      <c r="I1341" s="41" t="n">
        <v>0</v>
      </c>
      <c r="J1341" s="41" t="n">
        <v>13</v>
      </c>
      <c r="K1341" s="41" t="n">
        <v>0</v>
      </c>
      <c r="L1341" s="41" t="n">
        <v>662</v>
      </c>
    </row>
    <row r="1342" customFormat="false" ht="15.75" hidden="false" customHeight="false" outlineLevel="0" collapsed="false">
      <c r="B1342" s="39" t="s">
        <v>1465</v>
      </c>
      <c r="C1342" s="40" t="str">
        <f aca="false">IF(B1342="","",IFERROR(INDEX('CLM &amp; IM Mapping'!$B$2:$B$270,MATCH(TRIM(B1342),'CLM &amp; IM Mapping'!$A$2:$A$270,0)),"Not Mapped"))</f>
        <v>Not Mapped</v>
      </c>
      <c r="D1342" s="40" t="str">
        <f aca="false">IF(B1342="","",IFERROR(INDEX('CLM &amp; IM Mapping'!$C$2:$C$270,MATCH(TRIM(B1342),'CLM &amp; IM Mapping'!$A$2:$A$270,0)),"Not Mapped"))</f>
        <v>Not Mapped</v>
      </c>
      <c r="E1342" s="41" t="n">
        <v>5158</v>
      </c>
      <c r="F1342" s="41" t="n">
        <v>139</v>
      </c>
      <c r="G1342" s="41" t="n">
        <v>4326</v>
      </c>
      <c r="H1342" s="41" t="n">
        <v>0</v>
      </c>
      <c r="I1342" s="41" t="n">
        <v>693</v>
      </c>
      <c r="J1342" s="41" t="n">
        <v>0</v>
      </c>
      <c r="K1342" s="41" t="n">
        <v>0</v>
      </c>
      <c r="L1342" s="41" t="n">
        <v>693</v>
      </c>
    </row>
    <row r="1343" customFormat="false" ht="15.75" hidden="false" customHeight="false" outlineLevel="0" collapsed="false">
      <c r="B1343" s="39" t="s">
        <v>1466</v>
      </c>
      <c r="C1343" s="40" t="str">
        <f aca="false">IF(B1343="","",IFERROR(INDEX('CLM &amp; IM Mapping'!$B$2:$B$270,MATCH(TRIM(B1343),'CLM &amp; IM Mapping'!$A$2:$A$270,0)),"Not Mapped"))</f>
        <v>Not Mapped</v>
      </c>
      <c r="D1343" s="40" t="str">
        <f aca="false">IF(B1343="","",IFERROR(INDEX('CLM &amp; IM Mapping'!$C$2:$C$270,MATCH(TRIM(B1343),'CLM &amp; IM Mapping'!$A$2:$A$270,0)),"Not Mapped"))</f>
        <v>Not Mapped</v>
      </c>
      <c r="E1343" s="41" t="n">
        <v>284</v>
      </c>
      <c r="F1343" s="41" t="n">
        <v>284</v>
      </c>
      <c r="G1343" s="41" t="n">
        <v>0</v>
      </c>
      <c r="H1343" s="41" t="n">
        <v>0</v>
      </c>
      <c r="I1343" s="41" t="n">
        <v>0</v>
      </c>
      <c r="J1343" s="41" t="n">
        <v>0</v>
      </c>
      <c r="K1343" s="41" t="n">
        <v>0</v>
      </c>
      <c r="L1343" s="41" t="n">
        <v>0</v>
      </c>
    </row>
    <row r="1344" customFormat="false" ht="15.75" hidden="false" customHeight="false" outlineLevel="0" collapsed="false">
      <c r="B1344" s="39" t="s">
        <v>1467</v>
      </c>
      <c r="C1344" s="40" t="str">
        <f aca="false">IF(B1344="","",IFERROR(INDEX('CLM &amp; IM Mapping'!$B$2:$B$270,MATCH(TRIM(B1344),'CLM &amp; IM Mapping'!$A$2:$A$270,0)),"Not Mapped"))</f>
        <v>Not Mapped</v>
      </c>
      <c r="D1344" s="40" t="str">
        <f aca="false">IF(B1344="","",IFERROR(INDEX('CLM &amp; IM Mapping'!$C$2:$C$270,MATCH(TRIM(B1344),'CLM &amp; IM Mapping'!$A$2:$A$270,0)),"Not Mapped"))</f>
        <v>Not Mapped</v>
      </c>
      <c r="E1344" s="41" t="n">
        <v>922</v>
      </c>
      <c r="F1344" s="41" t="n">
        <v>55</v>
      </c>
      <c r="G1344" s="41" t="n">
        <v>0</v>
      </c>
      <c r="H1344" s="41" t="n">
        <v>867</v>
      </c>
      <c r="I1344" s="41" t="n">
        <v>0</v>
      </c>
      <c r="J1344" s="41" t="n">
        <v>0</v>
      </c>
      <c r="K1344" s="41" t="n">
        <v>0</v>
      </c>
      <c r="L1344" s="41" t="n">
        <v>867</v>
      </c>
    </row>
    <row r="1345" customFormat="false" ht="15.75" hidden="false" customHeight="false" outlineLevel="0" collapsed="false">
      <c r="B1345" s="39" t="s">
        <v>1468</v>
      </c>
      <c r="C1345" s="40" t="str">
        <f aca="false">IF(B1345="","",IFERROR(INDEX('CLM &amp; IM Mapping'!$B$2:$B$270,MATCH(TRIM(B1345),'CLM &amp; IM Mapping'!$A$2:$A$270,0)),"Not Mapped"))</f>
        <v>Not Mapped</v>
      </c>
      <c r="D1345" s="40" t="str">
        <f aca="false">IF(B1345="","",IFERROR(INDEX('CLM &amp; IM Mapping'!$C$2:$C$270,MATCH(TRIM(B1345),'CLM &amp; IM Mapping'!$A$2:$A$270,0)),"Not Mapped"))</f>
        <v>Not Mapped</v>
      </c>
      <c r="E1345" s="41" t="n">
        <v>4235</v>
      </c>
      <c r="F1345" s="41" t="n">
        <v>16</v>
      </c>
      <c r="G1345" s="41" t="n">
        <v>2273</v>
      </c>
      <c r="H1345" s="41" t="n">
        <v>0</v>
      </c>
      <c r="I1345" s="41" t="n">
        <v>0</v>
      </c>
      <c r="J1345" s="41" t="n">
        <v>1940</v>
      </c>
      <c r="K1345" s="41" t="n">
        <v>6</v>
      </c>
      <c r="L1345" s="41" t="n">
        <v>1946</v>
      </c>
    </row>
    <row r="1346" customFormat="false" ht="15.75" hidden="false" customHeight="false" outlineLevel="0" collapsed="false">
      <c r="B1346" s="39" t="s">
        <v>1469</v>
      </c>
      <c r="C1346" s="40" t="str">
        <f aca="false">IF(B1346="","",IFERROR(INDEX('CLM &amp; IM Mapping'!$B$2:$B$270,MATCH(TRIM(B1346),'CLM &amp; IM Mapping'!$A$2:$A$270,0)),"Not Mapped"))</f>
        <v>Not Mapped</v>
      </c>
      <c r="D1346" s="40" t="str">
        <f aca="false">IF(B1346="","",IFERROR(INDEX('CLM &amp; IM Mapping'!$C$2:$C$270,MATCH(TRIM(B1346),'CLM &amp; IM Mapping'!$A$2:$A$270,0)),"Not Mapped"))</f>
        <v>Not Mapped</v>
      </c>
      <c r="E1346" s="41" t="n">
        <v>2249</v>
      </c>
      <c r="F1346" s="41" t="n">
        <v>0</v>
      </c>
      <c r="G1346" s="41" t="n">
        <v>0</v>
      </c>
      <c r="H1346" s="41" t="n">
        <v>2249</v>
      </c>
      <c r="I1346" s="41" t="n">
        <v>0</v>
      </c>
      <c r="J1346" s="41" t="n">
        <v>0</v>
      </c>
      <c r="K1346" s="41" t="n">
        <v>0</v>
      </c>
      <c r="L1346" s="41" t="n">
        <v>2249</v>
      </c>
    </row>
    <row r="1347" customFormat="false" ht="15.75" hidden="false" customHeight="false" outlineLevel="0" collapsed="false">
      <c r="B1347" s="39" t="s">
        <v>1470</v>
      </c>
      <c r="C1347" s="40" t="str">
        <f aca="false">IF(B1347="","",IFERROR(INDEX('CLM &amp; IM Mapping'!$B$2:$B$270,MATCH(TRIM(B1347),'CLM &amp; IM Mapping'!$A$2:$A$270,0)),"Not Mapped"))</f>
        <v>Not Mapped</v>
      </c>
      <c r="D1347" s="40" t="str">
        <f aca="false">IF(B1347="","",IFERROR(INDEX('CLM &amp; IM Mapping'!$C$2:$C$270,MATCH(TRIM(B1347),'CLM &amp; IM Mapping'!$A$2:$A$270,0)),"Not Mapped"))</f>
        <v>Not Mapped</v>
      </c>
      <c r="E1347" s="41" t="n">
        <v>2996</v>
      </c>
      <c r="F1347" s="41" t="n">
        <v>0</v>
      </c>
      <c r="G1347" s="41" t="n">
        <v>2715</v>
      </c>
      <c r="H1347" s="41" t="n">
        <v>0</v>
      </c>
      <c r="I1347" s="41" t="n">
        <v>0</v>
      </c>
      <c r="J1347" s="41" t="n">
        <v>280</v>
      </c>
      <c r="K1347" s="41" t="n">
        <v>1</v>
      </c>
      <c r="L1347" s="41" t="n">
        <v>281</v>
      </c>
    </row>
    <row r="1348" customFormat="false" ht="15.75" hidden="false" customHeight="false" outlineLevel="0" collapsed="false">
      <c r="B1348" s="39" t="s">
        <v>1471</v>
      </c>
      <c r="C1348" s="40" t="str">
        <f aca="false">IF(B1348="","",IFERROR(INDEX('CLM &amp; IM Mapping'!$B$2:$B$270,MATCH(TRIM(B1348),'CLM &amp; IM Mapping'!$A$2:$A$270,0)),"Not Mapped"))</f>
        <v>Not Mapped</v>
      </c>
      <c r="D1348" s="40" t="str">
        <f aca="false">IF(B1348="","",IFERROR(INDEX('CLM &amp; IM Mapping'!$C$2:$C$270,MATCH(TRIM(B1348),'CLM &amp; IM Mapping'!$A$2:$A$270,0)),"Not Mapped"))</f>
        <v>Not Mapped</v>
      </c>
      <c r="E1348" s="41" t="n">
        <v>5235</v>
      </c>
      <c r="F1348" s="41" t="n">
        <v>5115</v>
      </c>
      <c r="G1348" s="41" t="n">
        <v>0</v>
      </c>
      <c r="H1348" s="41" t="n">
        <v>0</v>
      </c>
      <c r="I1348" s="41" t="n">
        <v>4</v>
      </c>
      <c r="J1348" s="41" t="n">
        <v>108</v>
      </c>
      <c r="K1348" s="41" t="n">
        <v>8</v>
      </c>
      <c r="L1348" s="41" t="n">
        <v>120</v>
      </c>
    </row>
    <row r="1349" customFormat="false" ht="15.75" hidden="false" customHeight="false" outlineLevel="0" collapsed="false">
      <c r="B1349" s="39" t="s">
        <v>209</v>
      </c>
      <c r="C1349" s="40" t="str">
        <f aca="false">IF(B1349="","",IFERROR(INDEX('CLM &amp; IM Mapping'!$B$2:$B$270,MATCH(TRIM(B1349),'CLM &amp; IM Mapping'!$A$2:$A$270,0)),"Not Mapped"))</f>
        <v>Vishnu V</v>
      </c>
      <c r="D1349" s="40" t="str">
        <f aca="false">IF(B1349="","",IFERROR(INDEX('CLM &amp; IM Mapping'!$C$2:$C$270,MATCH(TRIM(B1349),'CLM &amp; IM Mapping'!$A$2:$A$270,0)),"Not Mapped"))</f>
        <v>Arivind S</v>
      </c>
      <c r="E1349" s="41" t="n">
        <v>0</v>
      </c>
      <c r="F1349" s="41" t="n">
        <v>0</v>
      </c>
      <c r="G1349" s="41" t="n">
        <v>0</v>
      </c>
      <c r="H1349" s="41" t="n">
        <v>0</v>
      </c>
      <c r="I1349" s="41" t="n">
        <v>0</v>
      </c>
      <c r="J1349" s="41" t="n">
        <v>0</v>
      </c>
      <c r="K1349" s="41" t="n">
        <v>0</v>
      </c>
      <c r="L1349" s="41" t="n">
        <v>0</v>
      </c>
    </row>
    <row r="1350" customFormat="false" ht="15.75" hidden="false" customHeight="false" outlineLevel="0" collapsed="false">
      <c r="B1350" s="39" t="s">
        <v>201</v>
      </c>
      <c r="C1350" s="40" t="str">
        <f aca="false">IF(B1350="","",IFERROR(INDEX('CLM &amp; IM Mapping'!$B$2:$B$270,MATCH(TRIM(B1350),'CLM &amp; IM Mapping'!$A$2:$A$270,0)),"Not Mapped"))</f>
        <v>Vishnu V</v>
      </c>
      <c r="D1350" s="40" t="str">
        <f aca="false">IF(B1350="","",IFERROR(INDEX('CLM &amp; IM Mapping'!$C$2:$C$270,MATCH(TRIM(B1350),'CLM &amp; IM Mapping'!$A$2:$A$270,0)),"Not Mapped"))</f>
        <v>Arivind S</v>
      </c>
      <c r="E1350" s="41" t="n">
        <v>1171</v>
      </c>
      <c r="F1350" s="41" t="n">
        <v>0</v>
      </c>
      <c r="G1350" s="41" t="n">
        <v>0</v>
      </c>
      <c r="H1350" s="41" t="n">
        <v>1171</v>
      </c>
      <c r="I1350" s="41" t="n">
        <v>0</v>
      </c>
      <c r="J1350" s="41" t="n">
        <v>0</v>
      </c>
      <c r="K1350" s="41" t="n">
        <v>0</v>
      </c>
      <c r="L1350" s="41" t="n">
        <v>1171</v>
      </c>
    </row>
    <row r="1351" customFormat="false" ht="15.75" hidden="false" customHeight="false" outlineLevel="0" collapsed="false">
      <c r="B1351" s="39" t="s">
        <v>34</v>
      </c>
      <c r="C1351" s="40" t="str">
        <f aca="false">IF(B1351="","",IFERROR(INDEX('CLM &amp; IM Mapping'!$B$2:$B$270,MATCH(TRIM(B1351),'CLM &amp; IM Mapping'!$A$2:$A$270,0)),"Not Mapped"))</f>
        <v>Vishnu V</v>
      </c>
      <c r="D1351" s="40" t="str">
        <f aca="false">IF(B1351="","",IFERROR(INDEX('CLM &amp; IM Mapping'!$C$2:$C$270,MATCH(TRIM(B1351),'CLM &amp; IM Mapping'!$A$2:$A$270,0)),"Not Mapped"))</f>
        <v>Arivind S</v>
      </c>
      <c r="E1351" s="41" t="n">
        <v>0</v>
      </c>
      <c r="F1351" s="41" t="n">
        <v>0</v>
      </c>
      <c r="G1351" s="41" t="n">
        <v>0</v>
      </c>
      <c r="H1351" s="41" t="n">
        <v>0</v>
      </c>
      <c r="I1351" s="41" t="n">
        <v>0</v>
      </c>
      <c r="J1351" s="41" t="n">
        <v>0</v>
      </c>
      <c r="K1351" s="41" t="n">
        <v>0</v>
      </c>
      <c r="L1351" s="41" t="n">
        <v>0</v>
      </c>
    </row>
    <row r="1352" customFormat="false" ht="15.75" hidden="false" customHeight="false" outlineLevel="0" collapsed="false">
      <c r="B1352" s="39" t="s">
        <v>1472</v>
      </c>
      <c r="C1352" s="40" t="str">
        <f aca="false">IF(B1352="","",IFERROR(INDEX('CLM &amp; IM Mapping'!$B$2:$B$270,MATCH(TRIM(B1352),'CLM &amp; IM Mapping'!$A$2:$A$270,0)),"Not Mapped"))</f>
        <v>Not Mapped</v>
      </c>
      <c r="D1352" s="40" t="str">
        <f aca="false">IF(B1352="","",IFERROR(INDEX('CLM &amp; IM Mapping'!$C$2:$C$270,MATCH(TRIM(B1352),'CLM &amp; IM Mapping'!$A$2:$A$270,0)),"Not Mapped"))</f>
        <v>Not Mapped</v>
      </c>
      <c r="E1352" s="41" t="n">
        <v>1444</v>
      </c>
      <c r="F1352" s="41" t="n">
        <v>0</v>
      </c>
      <c r="G1352" s="41" t="n">
        <v>1444</v>
      </c>
      <c r="H1352" s="41" t="n">
        <v>0</v>
      </c>
      <c r="I1352" s="41" t="n">
        <v>0</v>
      </c>
      <c r="J1352" s="41" t="n">
        <v>0</v>
      </c>
      <c r="K1352" s="41" t="n">
        <v>0</v>
      </c>
      <c r="L1352" s="41" t="n">
        <v>0</v>
      </c>
    </row>
    <row r="1353" customFormat="false" ht="15.75" hidden="false" customHeight="false" outlineLevel="0" collapsed="false">
      <c r="B1353" s="39" t="s">
        <v>1473</v>
      </c>
      <c r="C1353" s="40" t="str">
        <f aca="false">IF(B1353="","",IFERROR(INDEX('CLM &amp; IM Mapping'!$B$2:$B$270,MATCH(TRIM(B1353),'CLM &amp; IM Mapping'!$A$2:$A$270,0)),"Not Mapped"))</f>
        <v>Not Mapped</v>
      </c>
      <c r="D1353" s="40" t="str">
        <f aca="false">IF(B1353="","",IFERROR(INDEX('CLM &amp; IM Mapping'!$C$2:$C$270,MATCH(TRIM(B1353),'CLM &amp; IM Mapping'!$A$2:$A$270,0)),"Not Mapped"))</f>
        <v>Not Mapped</v>
      </c>
      <c r="E1353" s="41" t="n">
        <v>7736</v>
      </c>
      <c r="F1353" s="41" t="n">
        <v>0</v>
      </c>
      <c r="G1353" s="41" t="n">
        <v>5287</v>
      </c>
      <c r="H1353" s="41" t="n">
        <v>0</v>
      </c>
      <c r="I1353" s="41" t="n">
        <v>0</v>
      </c>
      <c r="J1353" s="41" t="n">
        <v>1896</v>
      </c>
      <c r="K1353" s="41" t="n">
        <v>553</v>
      </c>
      <c r="L1353" s="41" t="n">
        <v>2449</v>
      </c>
    </row>
    <row r="1354" customFormat="false" ht="15.75" hidden="false" customHeight="false" outlineLevel="0" collapsed="false">
      <c r="B1354" s="39" t="s">
        <v>1474</v>
      </c>
      <c r="C1354" s="40" t="str">
        <f aca="false">IF(B1354="","",IFERROR(INDEX('CLM &amp; IM Mapping'!$B$2:$B$270,MATCH(TRIM(B1354),'CLM &amp; IM Mapping'!$A$2:$A$270,0)),"Not Mapped"))</f>
        <v>Not Mapped</v>
      </c>
      <c r="D1354" s="40" t="str">
        <f aca="false">IF(B1354="","",IFERROR(INDEX('CLM &amp; IM Mapping'!$C$2:$C$270,MATCH(TRIM(B1354),'CLM &amp; IM Mapping'!$A$2:$A$270,0)),"Not Mapped"))</f>
        <v>Not Mapped</v>
      </c>
      <c r="E1354" s="41" t="n">
        <v>997</v>
      </c>
      <c r="F1354" s="41" t="n">
        <v>0</v>
      </c>
      <c r="G1354" s="41" t="n">
        <v>997</v>
      </c>
      <c r="H1354" s="41" t="n">
        <v>0</v>
      </c>
      <c r="I1354" s="41" t="n">
        <v>0</v>
      </c>
      <c r="J1354" s="41" t="n">
        <v>0</v>
      </c>
      <c r="K1354" s="41" t="n">
        <v>0</v>
      </c>
      <c r="L1354" s="41" t="n">
        <v>0</v>
      </c>
    </row>
    <row r="1355" customFormat="false" ht="15.75" hidden="false" customHeight="false" outlineLevel="0" collapsed="false">
      <c r="B1355" s="39" t="s">
        <v>1475</v>
      </c>
      <c r="C1355" s="40" t="str">
        <f aca="false">IF(B1355="","",IFERROR(INDEX('CLM &amp; IM Mapping'!$B$2:$B$270,MATCH(TRIM(B1355),'CLM &amp; IM Mapping'!$A$2:$A$270,0)),"Not Mapped"))</f>
        <v>Not Mapped</v>
      </c>
      <c r="D1355" s="40" t="str">
        <f aca="false">IF(B1355="","",IFERROR(INDEX('CLM &amp; IM Mapping'!$C$2:$C$270,MATCH(TRIM(B1355),'CLM &amp; IM Mapping'!$A$2:$A$270,0)),"Not Mapped"))</f>
        <v>Not Mapped</v>
      </c>
      <c r="E1355" s="41" t="n">
        <v>0</v>
      </c>
      <c r="F1355" s="41" t="n">
        <v>0</v>
      </c>
      <c r="G1355" s="41" t="n">
        <v>0</v>
      </c>
      <c r="H1355" s="41" t="n">
        <v>0</v>
      </c>
      <c r="I1355" s="41" t="n">
        <v>0</v>
      </c>
      <c r="J1355" s="41" t="n">
        <v>0</v>
      </c>
      <c r="K1355" s="41" t="n">
        <v>0</v>
      </c>
      <c r="L1355" s="41" t="n">
        <v>0</v>
      </c>
    </row>
    <row r="1356" customFormat="false" ht="15.75" hidden="false" customHeight="false" outlineLevel="0" collapsed="false">
      <c r="B1356" s="39" t="s">
        <v>1476</v>
      </c>
      <c r="C1356" s="40" t="str">
        <f aca="false">IF(B1356="","",IFERROR(INDEX('CLM &amp; IM Mapping'!$B$2:$B$270,MATCH(TRIM(B1356),'CLM &amp; IM Mapping'!$A$2:$A$270,0)),"Not Mapped"))</f>
        <v>Not Mapped</v>
      </c>
      <c r="D1356" s="40" t="str">
        <f aca="false">IF(B1356="","",IFERROR(INDEX('CLM &amp; IM Mapping'!$C$2:$C$270,MATCH(TRIM(B1356),'CLM &amp; IM Mapping'!$A$2:$A$270,0)),"Not Mapped"))</f>
        <v>Not Mapped</v>
      </c>
      <c r="E1356" s="41" t="n">
        <v>968</v>
      </c>
      <c r="F1356" s="41" t="n">
        <v>968</v>
      </c>
      <c r="G1356" s="41" t="n">
        <v>0</v>
      </c>
      <c r="H1356" s="41" t="n">
        <v>0</v>
      </c>
      <c r="I1356" s="41" t="n">
        <v>0</v>
      </c>
      <c r="J1356" s="41" t="n">
        <v>0</v>
      </c>
      <c r="K1356" s="41" t="n">
        <v>0</v>
      </c>
      <c r="L1356" s="41" t="n">
        <v>0</v>
      </c>
    </row>
    <row r="1357" customFormat="false" ht="15.75" hidden="false" customHeight="false" outlineLevel="0" collapsed="false">
      <c r="B1357" s="39" t="s">
        <v>1477</v>
      </c>
      <c r="C1357" s="40" t="str">
        <f aca="false">IF(B1357="","",IFERROR(INDEX('CLM &amp; IM Mapping'!$B$2:$B$270,MATCH(TRIM(B1357),'CLM &amp; IM Mapping'!$A$2:$A$270,0)),"Not Mapped"))</f>
        <v>Not Mapped</v>
      </c>
      <c r="D1357" s="40" t="str">
        <f aca="false">IF(B1357="","",IFERROR(INDEX('CLM &amp; IM Mapping'!$C$2:$C$270,MATCH(TRIM(B1357),'CLM &amp; IM Mapping'!$A$2:$A$270,0)),"Not Mapped"))</f>
        <v>Not Mapped</v>
      </c>
      <c r="E1357" s="41" t="n">
        <v>1657</v>
      </c>
      <c r="F1357" s="41" t="n">
        <v>1657</v>
      </c>
      <c r="G1357" s="41" t="n">
        <v>0</v>
      </c>
      <c r="H1357" s="41" t="n">
        <v>0</v>
      </c>
      <c r="I1357" s="41" t="n">
        <v>0</v>
      </c>
      <c r="J1357" s="41" t="n">
        <v>0</v>
      </c>
      <c r="K1357" s="41" t="n">
        <v>0</v>
      </c>
      <c r="L1357" s="41" t="n">
        <v>0</v>
      </c>
    </row>
    <row r="1358" customFormat="false" ht="15.75" hidden="false" customHeight="false" outlineLevel="0" collapsed="false">
      <c r="B1358" s="39" t="s">
        <v>1478</v>
      </c>
      <c r="C1358" s="40" t="str">
        <f aca="false">IF(B1358="","",IFERROR(INDEX('CLM &amp; IM Mapping'!$B$2:$B$270,MATCH(TRIM(B1358),'CLM &amp; IM Mapping'!$A$2:$A$270,0)),"Not Mapped"))</f>
        <v>Not Mapped</v>
      </c>
      <c r="D1358" s="40" t="str">
        <f aca="false">IF(B1358="","",IFERROR(INDEX('CLM &amp; IM Mapping'!$C$2:$C$270,MATCH(TRIM(B1358),'CLM &amp; IM Mapping'!$A$2:$A$270,0)),"Not Mapped"))</f>
        <v>Not Mapped</v>
      </c>
      <c r="E1358" s="41" t="n">
        <v>0</v>
      </c>
      <c r="F1358" s="41" t="n">
        <v>0</v>
      </c>
      <c r="G1358" s="41" t="n">
        <v>0</v>
      </c>
      <c r="H1358" s="41" t="n">
        <v>0</v>
      </c>
      <c r="I1358" s="41" t="n">
        <v>0</v>
      </c>
      <c r="J1358" s="41" t="n">
        <v>0</v>
      </c>
      <c r="K1358" s="41" t="n">
        <v>0</v>
      </c>
      <c r="L1358" s="41" t="n">
        <v>0</v>
      </c>
    </row>
    <row r="1359" customFormat="false" ht="15.75" hidden="false" customHeight="false" outlineLevel="0" collapsed="false">
      <c r="B1359" s="39" t="s">
        <v>1479</v>
      </c>
      <c r="C1359" s="40" t="str">
        <f aca="false">IF(B1359="","",IFERROR(INDEX('CLM &amp; IM Mapping'!$B$2:$B$270,MATCH(TRIM(B1359),'CLM &amp; IM Mapping'!$A$2:$A$270,0)),"Not Mapped"))</f>
        <v>Not Mapped</v>
      </c>
      <c r="D1359" s="40" t="str">
        <f aca="false">IF(B1359="","",IFERROR(INDEX('CLM &amp; IM Mapping'!$C$2:$C$270,MATCH(TRIM(B1359),'CLM &amp; IM Mapping'!$A$2:$A$270,0)),"Not Mapped"))</f>
        <v>Not Mapped</v>
      </c>
      <c r="E1359" s="41" t="n">
        <v>869</v>
      </c>
      <c r="F1359" s="41" t="n">
        <v>0</v>
      </c>
      <c r="G1359" s="41" t="n">
        <v>869</v>
      </c>
      <c r="H1359" s="41" t="n">
        <v>0</v>
      </c>
      <c r="I1359" s="41" t="n">
        <v>0</v>
      </c>
      <c r="J1359" s="41" t="n">
        <v>0</v>
      </c>
      <c r="K1359" s="41" t="n">
        <v>0</v>
      </c>
      <c r="L1359" s="41" t="n">
        <v>0</v>
      </c>
    </row>
    <row r="1360" customFormat="false" ht="15.75" hidden="false" customHeight="false" outlineLevel="0" collapsed="false">
      <c r="B1360" s="39" t="s">
        <v>1480</v>
      </c>
      <c r="C1360" s="40" t="str">
        <f aca="false">IF(B1360="","",IFERROR(INDEX('CLM &amp; IM Mapping'!$B$2:$B$270,MATCH(TRIM(B1360),'CLM &amp; IM Mapping'!$A$2:$A$270,0)),"Not Mapped"))</f>
        <v>Not Mapped</v>
      </c>
      <c r="D1360" s="40" t="str">
        <f aca="false">IF(B1360="","",IFERROR(INDEX('CLM &amp; IM Mapping'!$C$2:$C$270,MATCH(TRIM(B1360),'CLM &amp; IM Mapping'!$A$2:$A$270,0)),"Not Mapped"))</f>
        <v>Not Mapped</v>
      </c>
      <c r="E1360" s="41" t="n">
        <v>847</v>
      </c>
      <c r="F1360" s="41" t="n">
        <v>0</v>
      </c>
      <c r="G1360" s="41" t="n">
        <v>0</v>
      </c>
      <c r="H1360" s="41" t="n">
        <v>847</v>
      </c>
      <c r="I1360" s="41" t="n">
        <v>0</v>
      </c>
      <c r="J1360" s="41" t="n">
        <v>0</v>
      </c>
      <c r="K1360" s="41" t="n">
        <v>0</v>
      </c>
      <c r="L1360" s="41" t="n">
        <v>847</v>
      </c>
    </row>
    <row r="1361" customFormat="false" ht="15.75" hidden="false" customHeight="false" outlineLevel="0" collapsed="false">
      <c r="B1361" s="39" t="s">
        <v>1481</v>
      </c>
      <c r="C1361" s="40" t="str">
        <f aca="false">IF(B1361="","",IFERROR(INDEX('CLM &amp; IM Mapping'!$B$2:$B$270,MATCH(TRIM(B1361),'CLM &amp; IM Mapping'!$A$2:$A$270,0)),"Not Mapped"))</f>
        <v>Not Mapped</v>
      </c>
      <c r="D1361" s="40" t="str">
        <f aca="false">IF(B1361="","",IFERROR(INDEX('CLM &amp; IM Mapping'!$C$2:$C$270,MATCH(TRIM(B1361),'CLM &amp; IM Mapping'!$A$2:$A$270,0)),"Not Mapped"))</f>
        <v>Not Mapped</v>
      </c>
      <c r="E1361" s="41" t="n">
        <v>6962</v>
      </c>
      <c r="F1361" s="41" t="n">
        <v>2847</v>
      </c>
      <c r="G1361" s="41" t="n">
        <v>0</v>
      </c>
      <c r="H1361" s="41" t="n">
        <v>0</v>
      </c>
      <c r="I1361" s="41" t="n">
        <v>3660</v>
      </c>
      <c r="J1361" s="41" t="n">
        <v>158</v>
      </c>
      <c r="K1361" s="41" t="n">
        <v>297</v>
      </c>
      <c r="L1361" s="41" t="n">
        <v>4115</v>
      </c>
    </row>
    <row r="1362" customFormat="false" ht="15.75" hidden="false" customHeight="false" outlineLevel="0" collapsed="false">
      <c r="B1362" s="39" t="s">
        <v>1482</v>
      </c>
      <c r="C1362" s="40" t="str">
        <f aca="false">IF(B1362="","",IFERROR(INDEX('CLM &amp; IM Mapping'!$B$2:$B$270,MATCH(TRIM(B1362),'CLM &amp; IM Mapping'!$A$2:$A$270,0)),"Not Mapped"))</f>
        <v>Not Mapped</v>
      </c>
      <c r="D1362" s="40" t="str">
        <f aca="false">IF(B1362="","",IFERROR(INDEX('CLM &amp; IM Mapping'!$C$2:$C$270,MATCH(TRIM(B1362),'CLM &amp; IM Mapping'!$A$2:$A$270,0)),"Not Mapped"))</f>
        <v>Not Mapped</v>
      </c>
      <c r="E1362" s="41" t="n">
        <v>1727</v>
      </c>
      <c r="F1362" s="41" t="n">
        <v>1727</v>
      </c>
      <c r="G1362" s="41" t="n">
        <v>0</v>
      </c>
      <c r="H1362" s="41" t="n">
        <v>0</v>
      </c>
      <c r="I1362" s="41" t="n">
        <v>0</v>
      </c>
      <c r="J1362" s="41" t="n">
        <v>0</v>
      </c>
      <c r="K1362" s="41" t="n">
        <v>0</v>
      </c>
      <c r="L1362" s="41" t="n">
        <v>0</v>
      </c>
    </row>
    <row r="1363" customFormat="false" ht="15.75" hidden="false" customHeight="false" outlineLevel="0" collapsed="false">
      <c r="B1363" s="39" t="s">
        <v>1483</v>
      </c>
      <c r="C1363" s="40" t="str">
        <f aca="false">IF(B1363="","",IFERROR(INDEX('CLM &amp; IM Mapping'!$B$2:$B$270,MATCH(TRIM(B1363),'CLM &amp; IM Mapping'!$A$2:$A$270,0)),"Not Mapped"))</f>
        <v>Not Mapped</v>
      </c>
      <c r="D1363" s="40" t="str">
        <f aca="false">IF(B1363="","",IFERROR(INDEX('CLM &amp; IM Mapping'!$C$2:$C$270,MATCH(TRIM(B1363),'CLM &amp; IM Mapping'!$A$2:$A$270,0)),"Not Mapped"))</f>
        <v>Not Mapped</v>
      </c>
      <c r="E1363" s="41" t="n">
        <v>1988</v>
      </c>
      <c r="F1363" s="41" t="n">
        <v>1988</v>
      </c>
      <c r="G1363" s="41" t="n">
        <v>0</v>
      </c>
      <c r="H1363" s="41" t="n">
        <v>0</v>
      </c>
      <c r="I1363" s="41" t="n">
        <v>0</v>
      </c>
      <c r="J1363" s="41" t="n">
        <v>0</v>
      </c>
      <c r="K1363" s="41" t="n">
        <v>0</v>
      </c>
      <c r="L1363" s="41" t="n">
        <v>0</v>
      </c>
    </row>
    <row r="1364" customFormat="false" ht="15.75" hidden="false" customHeight="false" outlineLevel="0" collapsed="false">
      <c r="B1364" s="39" t="s">
        <v>1484</v>
      </c>
      <c r="C1364" s="40" t="str">
        <f aca="false">IF(B1364="","",IFERROR(INDEX('CLM &amp; IM Mapping'!$B$2:$B$270,MATCH(TRIM(B1364),'CLM &amp; IM Mapping'!$A$2:$A$270,0)),"Not Mapped"))</f>
        <v>Not Mapped</v>
      </c>
      <c r="D1364" s="40" t="str">
        <f aca="false">IF(B1364="","",IFERROR(INDEX('CLM &amp; IM Mapping'!$C$2:$C$270,MATCH(TRIM(B1364),'CLM &amp; IM Mapping'!$A$2:$A$270,0)),"Not Mapped"))</f>
        <v>Not Mapped</v>
      </c>
      <c r="E1364" s="41" t="n">
        <v>743</v>
      </c>
      <c r="F1364" s="41" t="n">
        <v>706</v>
      </c>
      <c r="G1364" s="41" t="n">
        <v>37</v>
      </c>
      <c r="H1364" s="41" t="n">
        <v>0</v>
      </c>
      <c r="I1364" s="41" t="n">
        <v>0</v>
      </c>
      <c r="J1364" s="41" t="n">
        <v>0</v>
      </c>
      <c r="K1364" s="41" t="n">
        <v>0</v>
      </c>
      <c r="L1364" s="41" t="n">
        <v>0</v>
      </c>
    </row>
    <row r="1365" customFormat="false" ht="15.75" hidden="false" customHeight="false" outlineLevel="0" collapsed="false">
      <c r="B1365" s="39" t="s">
        <v>1485</v>
      </c>
      <c r="C1365" s="40" t="str">
        <f aca="false">IF(B1365="","",IFERROR(INDEX('CLM &amp; IM Mapping'!$B$2:$B$270,MATCH(TRIM(B1365),'CLM &amp; IM Mapping'!$A$2:$A$270,0)),"Not Mapped"))</f>
        <v>Not Mapped</v>
      </c>
      <c r="D1365" s="40" t="str">
        <f aca="false">IF(B1365="","",IFERROR(INDEX('CLM &amp; IM Mapping'!$C$2:$C$270,MATCH(TRIM(B1365),'CLM &amp; IM Mapping'!$A$2:$A$270,0)),"Not Mapped"))</f>
        <v>Not Mapped</v>
      </c>
      <c r="E1365" s="41" t="n">
        <v>3749</v>
      </c>
      <c r="F1365" s="41" t="n">
        <v>3749</v>
      </c>
      <c r="G1365" s="41" t="n">
        <v>0</v>
      </c>
      <c r="H1365" s="41" t="n">
        <v>0</v>
      </c>
      <c r="I1365" s="41" t="n">
        <v>0</v>
      </c>
      <c r="J1365" s="41" t="n">
        <v>0</v>
      </c>
      <c r="K1365" s="41" t="n">
        <v>0</v>
      </c>
      <c r="L1365" s="41" t="n">
        <v>0</v>
      </c>
    </row>
    <row r="1366" customFormat="false" ht="15.75" hidden="false" customHeight="false" outlineLevel="0" collapsed="false">
      <c r="B1366" s="39" t="s">
        <v>1486</v>
      </c>
      <c r="C1366" s="40" t="str">
        <f aca="false">IF(B1366="","",IFERROR(INDEX('CLM &amp; IM Mapping'!$B$2:$B$270,MATCH(TRIM(B1366),'CLM &amp; IM Mapping'!$A$2:$A$270,0)),"Not Mapped"))</f>
        <v>Not Mapped</v>
      </c>
      <c r="D1366" s="40" t="str">
        <f aca="false">IF(B1366="","",IFERROR(INDEX('CLM &amp; IM Mapping'!$C$2:$C$270,MATCH(TRIM(B1366),'CLM &amp; IM Mapping'!$A$2:$A$270,0)),"Not Mapped"))</f>
        <v>Not Mapped</v>
      </c>
      <c r="E1366" s="41" t="n">
        <v>1973</v>
      </c>
      <c r="F1366" s="41" t="n">
        <v>1535</v>
      </c>
      <c r="G1366" s="41" t="n">
        <v>438</v>
      </c>
      <c r="H1366" s="41" t="n">
        <v>0</v>
      </c>
      <c r="I1366" s="41" t="n">
        <v>0</v>
      </c>
      <c r="J1366" s="41" t="n">
        <v>0</v>
      </c>
      <c r="K1366" s="41" t="n">
        <v>0</v>
      </c>
      <c r="L1366" s="41" t="n">
        <v>0</v>
      </c>
    </row>
    <row r="1367" customFormat="false" ht="15.75" hidden="false" customHeight="false" outlineLevel="0" collapsed="false">
      <c r="B1367" s="39" t="s">
        <v>1487</v>
      </c>
      <c r="C1367" s="40" t="str">
        <f aca="false">IF(B1367="","",IFERROR(INDEX('CLM &amp; IM Mapping'!$B$2:$B$270,MATCH(TRIM(B1367),'CLM &amp; IM Mapping'!$A$2:$A$270,0)),"Not Mapped"))</f>
        <v>Not Mapped</v>
      </c>
      <c r="D1367" s="40" t="str">
        <f aca="false">IF(B1367="","",IFERROR(INDEX('CLM &amp; IM Mapping'!$C$2:$C$270,MATCH(TRIM(B1367),'CLM &amp; IM Mapping'!$A$2:$A$270,0)),"Not Mapped"))</f>
        <v>Not Mapped</v>
      </c>
      <c r="E1367" s="41" t="n">
        <v>965</v>
      </c>
      <c r="F1367" s="41" t="n">
        <v>791</v>
      </c>
      <c r="G1367" s="41" t="n">
        <v>174</v>
      </c>
      <c r="H1367" s="41" t="n">
        <v>0</v>
      </c>
      <c r="I1367" s="41" t="n">
        <v>0</v>
      </c>
      <c r="J1367" s="41" t="n">
        <v>0</v>
      </c>
      <c r="K1367" s="41" t="n">
        <v>0</v>
      </c>
      <c r="L1367" s="41" t="n">
        <v>0</v>
      </c>
    </row>
    <row r="1368" customFormat="false" ht="15.75" hidden="false" customHeight="false" outlineLevel="0" collapsed="false">
      <c r="B1368" s="39" t="s">
        <v>1488</v>
      </c>
      <c r="C1368" s="40" t="str">
        <f aca="false">IF(B1368="","",IFERROR(INDEX('CLM &amp; IM Mapping'!$B$2:$B$270,MATCH(TRIM(B1368),'CLM &amp; IM Mapping'!$A$2:$A$270,0)),"Not Mapped"))</f>
        <v>Not Mapped</v>
      </c>
      <c r="D1368" s="40" t="str">
        <f aca="false">IF(B1368="","",IFERROR(INDEX('CLM &amp; IM Mapping'!$C$2:$C$270,MATCH(TRIM(B1368),'CLM &amp; IM Mapping'!$A$2:$A$270,0)),"Not Mapped"))</f>
        <v>Not Mapped</v>
      </c>
      <c r="E1368" s="41" t="n">
        <v>3805</v>
      </c>
      <c r="F1368" s="41" t="n">
        <v>3724</v>
      </c>
      <c r="G1368" s="41" t="n">
        <v>0</v>
      </c>
      <c r="H1368" s="41" t="n">
        <v>0</v>
      </c>
      <c r="I1368" s="41" t="n">
        <v>81</v>
      </c>
      <c r="J1368" s="41" t="n">
        <v>0</v>
      </c>
      <c r="K1368" s="41" t="n">
        <v>0</v>
      </c>
      <c r="L1368" s="41" t="n">
        <v>81</v>
      </c>
    </row>
    <row r="1369" customFormat="false" ht="15.75" hidden="false" customHeight="false" outlineLevel="0" collapsed="false">
      <c r="B1369" s="39" t="s">
        <v>1489</v>
      </c>
      <c r="C1369" s="40" t="str">
        <f aca="false">IF(B1369="","",IFERROR(INDEX('CLM &amp; IM Mapping'!$B$2:$B$270,MATCH(TRIM(B1369),'CLM &amp; IM Mapping'!$A$2:$A$270,0)),"Not Mapped"))</f>
        <v>Not Mapped</v>
      </c>
      <c r="D1369" s="40" t="str">
        <f aca="false">IF(B1369="","",IFERROR(INDEX('CLM &amp; IM Mapping'!$C$2:$C$270,MATCH(TRIM(B1369),'CLM &amp; IM Mapping'!$A$2:$A$270,0)),"Not Mapped"))</f>
        <v>Not Mapped</v>
      </c>
      <c r="E1369" s="41" t="n">
        <v>1767</v>
      </c>
      <c r="F1369" s="41" t="n">
        <v>798</v>
      </c>
      <c r="G1369" s="41" t="n">
        <v>0</v>
      </c>
      <c r="H1369" s="41" t="n">
        <v>0</v>
      </c>
      <c r="I1369" s="41" t="n">
        <v>519</v>
      </c>
      <c r="J1369" s="41" t="n">
        <v>0</v>
      </c>
      <c r="K1369" s="41" t="n">
        <v>450</v>
      </c>
      <c r="L1369" s="41" t="n">
        <v>969</v>
      </c>
    </row>
    <row r="1370" customFormat="false" ht="15.75" hidden="false" customHeight="false" outlineLevel="0" collapsed="false">
      <c r="B1370" s="39" t="s">
        <v>1490</v>
      </c>
      <c r="C1370" s="40" t="str">
        <f aca="false">IF(B1370="","",IFERROR(INDEX('CLM &amp; IM Mapping'!$B$2:$B$270,MATCH(TRIM(B1370),'CLM &amp; IM Mapping'!$A$2:$A$270,0)),"Not Mapped"))</f>
        <v>Not Mapped</v>
      </c>
      <c r="D1370" s="40" t="str">
        <f aca="false">IF(B1370="","",IFERROR(INDEX('CLM &amp; IM Mapping'!$C$2:$C$270,MATCH(TRIM(B1370),'CLM &amp; IM Mapping'!$A$2:$A$270,0)),"Not Mapped"))</f>
        <v>Not Mapped</v>
      </c>
      <c r="E1370" s="41" t="n">
        <v>7831</v>
      </c>
      <c r="F1370" s="41" t="n">
        <v>6946</v>
      </c>
      <c r="G1370" s="41" t="n">
        <v>0</v>
      </c>
      <c r="H1370" s="41" t="n">
        <v>0</v>
      </c>
      <c r="I1370" s="41" t="n">
        <v>884</v>
      </c>
      <c r="J1370" s="41" t="n">
        <v>0</v>
      </c>
      <c r="K1370" s="41" t="n">
        <v>1</v>
      </c>
      <c r="L1370" s="41" t="n">
        <v>885</v>
      </c>
    </row>
    <row r="1371" customFormat="false" ht="15.75" hidden="false" customHeight="false" outlineLevel="0" collapsed="false">
      <c r="B1371" s="39" t="s">
        <v>1491</v>
      </c>
      <c r="C1371" s="40" t="str">
        <f aca="false">IF(B1371="","",IFERROR(INDEX('CLM &amp; IM Mapping'!$B$2:$B$270,MATCH(TRIM(B1371),'CLM &amp; IM Mapping'!$A$2:$A$270,0)),"Not Mapped"))</f>
        <v>Not Mapped</v>
      </c>
      <c r="D1371" s="40" t="str">
        <f aca="false">IF(B1371="","",IFERROR(INDEX('CLM &amp; IM Mapping'!$C$2:$C$270,MATCH(TRIM(B1371),'CLM &amp; IM Mapping'!$A$2:$A$270,0)),"Not Mapped"))</f>
        <v>Not Mapped</v>
      </c>
      <c r="E1371" s="41" t="n">
        <v>13650</v>
      </c>
      <c r="F1371" s="41" t="n">
        <v>12356</v>
      </c>
      <c r="G1371" s="41" t="n">
        <v>0</v>
      </c>
      <c r="H1371" s="41" t="n">
        <v>0</v>
      </c>
      <c r="I1371" s="41" t="n">
        <v>0</v>
      </c>
      <c r="J1371" s="41" t="n">
        <v>0</v>
      </c>
      <c r="K1371" s="41" t="n">
        <v>1294</v>
      </c>
      <c r="L1371" s="41" t="n">
        <v>1294</v>
      </c>
    </row>
    <row r="1372" customFormat="false" ht="15.75" hidden="false" customHeight="false" outlineLevel="0" collapsed="false">
      <c r="B1372" s="39" t="s">
        <v>1492</v>
      </c>
      <c r="C1372" s="40" t="str">
        <f aca="false">IF(B1372="","",IFERROR(INDEX('CLM &amp; IM Mapping'!$B$2:$B$270,MATCH(TRIM(B1372),'CLM &amp; IM Mapping'!$A$2:$A$270,0)),"Not Mapped"))</f>
        <v>Not Mapped</v>
      </c>
      <c r="D1372" s="40" t="str">
        <f aca="false">IF(B1372="","",IFERROR(INDEX('CLM &amp; IM Mapping'!$C$2:$C$270,MATCH(TRIM(B1372),'CLM &amp; IM Mapping'!$A$2:$A$270,0)),"Not Mapped"))</f>
        <v>Not Mapped</v>
      </c>
      <c r="E1372" s="41" t="n">
        <v>0</v>
      </c>
      <c r="F1372" s="41" t="n">
        <v>0</v>
      </c>
      <c r="G1372" s="41" t="n">
        <v>0</v>
      </c>
      <c r="H1372" s="41" t="n">
        <v>0</v>
      </c>
      <c r="I1372" s="41" t="n">
        <v>0</v>
      </c>
      <c r="J1372" s="41" t="n">
        <v>0</v>
      </c>
      <c r="K1372" s="41" t="n">
        <v>0</v>
      </c>
      <c r="L1372" s="41" t="n">
        <v>0</v>
      </c>
    </row>
    <row r="1373" customFormat="false" ht="15.75" hidden="false" customHeight="false" outlineLevel="0" collapsed="false">
      <c r="B1373" s="39" t="s">
        <v>1493</v>
      </c>
      <c r="C1373" s="40" t="str">
        <f aca="false">IF(B1373="","",IFERROR(INDEX('CLM &amp; IM Mapping'!$B$2:$B$270,MATCH(TRIM(B1373),'CLM &amp; IM Mapping'!$A$2:$A$270,0)),"Not Mapped"))</f>
        <v>Not Mapped</v>
      </c>
      <c r="D1373" s="40" t="str">
        <f aca="false">IF(B1373="","",IFERROR(INDEX('CLM &amp; IM Mapping'!$C$2:$C$270,MATCH(TRIM(B1373),'CLM &amp; IM Mapping'!$A$2:$A$270,0)),"Not Mapped"))</f>
        <v>Not Mapped</v>
      </c>
      <c r="E1373" s="41" t="n">
        <v>341</v>
      </c>
      <c r="F1373" s="41" t="n">
        <v>0</v>
      </c>
      <c r="G1373" s="41" t="n">
        <v>341</v>
      </c>
      <c r="H1373" s="41" t="n">
        <v>0</v>
      </c>
      <c r="I1373" s="41" t="n">
        <v>0</v>
      </c>
      <c r="J1373" s="41" t="n">
        <v>0</v>
      </c>
      <c r="K1373" s="41" t="n">
        <v>0</v>
      </c>
      <c r="L1373" s="41" t="n">
        <v>0</v>
      </c>
    </row>
    <row r="1374" customFormat="false" ht="15.75" hidden="false" customHeight="false" outlineLevel="0" collapsed="false">
      <c r="B1374" s="39" t="s">
        <v>1494</v>
      </c>
      <c r="C1374" s="40" t="str">
        <f aca="false">IF(B1374="","",IFERROR(INDEX('CLM &amp; IM Mapping'!$B$2:$B$270,MATCH(TRIM(B1374),'CLM &amp; IM Mapping'!$A$2:$A$270,0)),"Not Mapped"))</f>
        <v>Not Mapped</v>
      </c>
      <c r="D1374" s="40" t="str">
        <f aca="false">IF(B1374="","",IFERROR(INDEX('CLM &amp; IM Mapping'!$C$2:$C$270,MATCH(TRIM(B1374),'CLM &amp; IM Mapping'!$A$2:$A$270,0)),"Not Mapped"))</f>
        <v>Not Mapped</v>
      </c>
      <c r="E1374" s="41" t="n">
        <v>0</v>
      </c>
      <c r="F1374" s="41" t="n">
        <v>0</v>
      </c>
      <c r="G1374" s="41" t="n">
        <v>0</v>
      </c>
      <c r="H1374" s="41" t="n">
        <v>0</v>
      </c>
      <c r="I1374" s="41" t="n">
        <v>0</v>
      </c>
      <c r="J1374" s="41" t="n">
        <v>0</v>
      </c>
      <c r="K1374" s="41" t="n">
        <v>0</v>
      </c>
      <c r="L1374" s="41" t="n">
        <v>0</v>
      </c>
    </row>
    <row r="1375" customFormat="false" ht="15.75" hidden="false" customHeight="false" outlineLevel="0" collapsed="false">
      <c r="B1375" s="39" t="s">
        <v>1495</v>
      </c>
      <c r="C1375" s="40" t="str">
        <f aca="false">IF(B1375="","",IFERROR(INDEX('CLM &amp; IM Mapping'!$B$2:$B$270,MATCH(TRIM(B1375),'CLM &amp; IM Mapping'!$A$2:$A$270,0)),"Not Mapped"))</f>
        <v>Not Mapped</v>
      </c>
      <c r="D1375" s="40" t="str">
        <f aca="false">IF(B1375="","",IFERROR(INDEX('CLM &amp; IM Mapping'!$C$2:$C$270,MATCH(TRIM(B1375),'CLM &amp; IM Mapping'!$A$2:$A$270,0)),"Not Mapped"))</f>
        <v>Not Mapped</v>
      </c>
      <c r="E1375" s="41" t="n">
        <v>3261</v>
      </c>
      <c r="F1375" s="41" t="n">
        <v>5</v>
      </c>
      <c r="G1375" s="41" t="n">
        <v>2924</v>
      </c>
      <c r="H1375" s="41" t="n">
        <v>27</v>
      </c>
      <c r="I1375" s="41" t="n">
        <v>305</v>
      </c>
      <c r="J1375" s="41" t="n">
        <v>0</v>
      </c>
      <c r="K1375" s="41" t="n">
        <v>0</v>
      </c>
      <c r="L1375" s="41" t="n">
        <v>332</v>
      </c>
    </row>
    <row r="1376" customFormat="false" ht="15.75" hidden="false" customHeight="false" outlineLevel="0" collapsed="false">
      <c r="B1376" s="39" t="s">
        <v>1496</v>
      </c>
      <c r="C1376" s="40" t="str">
        <f aca="false">IF(B1376="","",IFERROR(INDEX('CLM &amp; IM Mapping'!$B$2:$B$270,MATCH(TRIM(B1376),'CLM &amp; IM Mapping'!$A$2:$A$270,0)),"Not Mapped"))</f>
        <v>Not Mapped</v>
      </c>
      <c r="D1376" s="40" t="str">
        <f aca="false">IF(B1376="","",IFERROR(INDEX('CLM &amp; IM Mapping'!$C$2:$C$270,MATCH(TRIM(B1376),'CLM &amp; IM Mapping'!$A$2:$A$270,0)),"Not Mapped"))</f>
        <v>Not Mapped</v>
      </c>
      <c r="E1376" s="41" t="n">
        <v>2436</v>
      </c>
      <c r="F1376" s="41" t="n">
        <v>0</v>
      </c>
      <c r="G1376" s="41" t="n">
        <v>2436</v>
      </c>
      <c r="H1376" s="41" t="n">
        <v>0</v>
      </c>
      <c r="I1376" s="41" t="n">
        <v>0</v>
      </c>
      <c r="J1376" s="41" t="n">
        <v>0</v>
      </c>
      <c r="K1376" s="41" t="n">
        <v>0</v>
      </c>
      <c r="L1376" s="41" t="n">
        <v>0</v>
      </c>
    </row>
    <row r="1377" customFormat="false" ht="15.75" hidden="false" customHeight="false" outlineLevel="0" collapsed="false">
      <c r="B1377" s="39" t="s">
        <v>1497</v>
      </c>
      <c r="C1377" s="40" t="str">
        <f aca="false">IF(B1377="","",IFERROR(INDEX('CLM &amp; IM Mapping'!$B$2:$B$270,MATCH(TRIM(B1377),'CLM &amp; IM Mapping'!$A$2:$A$270,0)),"Not Mapped"))</f>
        <v>Not Mapped</v>
      </c>
      <c r="D1377" s="40" t="str">
        <f aca="false">IF(B1377="","",IFERROR(INDEX('CLM &amp; IM Mapping'!$C$2:$C$270,MATCH(TRIM(B1377),'CLM &amp; IM Mapping'!$A$2:$A$270,0)),"Not Mapped"))</f>
        <v>Not Mapped</v>
      </c>
      <c r="E1377" s="41" t="n">
        <v>3925</v>
      </c>
      <c r="F1377" s="41" t="n">
        <v>239</v>
      </c>
      <c r="G1377" s="41" t="n">
        <v>3686</v>
      </c>
      <c r="H1377" s="41" t="n">
        <v>0</v>
      </c>
      <c r="I1377" s="41" t="n">
        <v>0</v>
      </c>
      <c r="J1377" s="41" t="n">
        <v>0</v>
      </c>
      <c r="K1377" s="41" t="n">
        <v>0</v>
      </c>
      <c r="L1377" s="41" t="n">
        <v>0</v>
      </c>
    </row>
    <row r="1378" customFormat="false" ht="15.75" hidden="false" customHeight="false" outlineLevel="0" collapsed="false">
      <c r="B1378" s="39" t="s">
        <v>1498</v>
      </c>
      <c r="C1378" s="40" t="str">
        <f aca="false">IF(B1378="","",IFERROR(INDEX('CLM &amp; IM Mapping'!$B$2:$B$270,MATCH(TRIM(B1378),'CLM &amp; IM Mapping'!$A$2:$A$270,0)),"Not Mapped"))</f>
        <v>Not Mapped</v>
      </c>
      <c r="D1378" s="40" t="str">
        <f aca="false">IF(B1378="","",IFERROR(INDEX('CLM &amp; IM Mapping'!$C$2:$C$270,MATCH(TRIM(B1378),'CLM &amp; IM Mapping'!$A$2:$A$270,0)),"Not Mapped"))</f>
        <v>Not Mapped</v>
      </c>
      <c r="E1378" s="41" t="n">
        <v>6</v>
      </c>
      <c r="F1378" s="41" t="n">
        <v>0</v>
      </c>
      <c r="G1378" s="41" t="n">
        <v>3</v>
      </c>
      <c r="H1378" s="41" t="n">
        <v>0</v>
      </c>
      <c r="I1378" s="41" t="n">
        <v>3</v>
      </c>
      <c r="J1378" s="41" t="n">
        <v>0</v>
      </c>
      <c r="K1378" s="41" t="n">
        <v>0</v>
      </c>
      <c r="L1378" s="41" t="n">
        <v>3</v>
      </c>
    </row>
    <row r="1379" customFormat="false" ht="15.75" hidden="false" customHeight="false" outlineLevel="0" collapsed="false">
      <c r="B1379" s="39" t="s">
        <v>1499</v>
      </c>
      <c r="C1379" s="40" t="str">
        <f aca="false">IF(B1379="","",IFERROR(INDEX('CLM &amp; IM Mapping'!$B$2:$B$270,MATCH(TRIM(B1379),'CLM &amp; IM Mapping'!$A$2:$A$270,0)),"Not Mapped"))</f>
        <v>Not Mapped</v>
      </c>
      <c r="D1379" s="40" t="str">
        <f aca="false">IF(B1379="","",IFERROR(INDEX('CLM &amp; IM Mapping'!$C$2:$C$270,MATCH(TRIM(B1379),'CLM &amp; IM Mapping'!$A$2:$A$270,0)),"Not Mapped"))</f>
        <v>Not Mapped</v>
      </c>
      <c r="E1379" s="41" t="n">
        <v>194</v>
      </c>
      <c r="F1379" s="41" t="n">
        <v>0</v>
      </c>
      <c r="G1379" s="41" t="n">
        <v>0</v>
      </c>
      <c r="H1379" s="41" t="n">
        <v>194</v>
      </c>
      <c r="I1379" s="41" t="n">
        <v>0</v>
      </c>
      <c r="J1379" s="41" t="n">
        <v>0</v>
      </c>
      <c r="K1379" s="41" t="n">
        <v>0</v>
      </c>
      <c r="L1379" s="41" t="n">
        <v>194</v>
      </c>
    </row>
    <row r="1380" customFormat="false" ht="15.75" hidden="false" customHeight="false" outlineLevel="0" collapsed="false">
      <c r="B1380" s="39" t="s">
        <v>1500</v>
      </c>
      <c r="C1380" s="40" t="str">
        <f aca="false">IF(B1380="","",IFERROR(INDEX('CLM &amp; IM Mapping'!$B$2:$B$270,MATCH(TRIM(B1380),'CLM &amp; IM Mapping'!$A$2:$A$270,0)),"Not Mapped"))</f>
        <v>Not Mapped</v>
      </c>
      <c r="D1380" s="40" t="str">
        <f aca="false">IF(B1380="","",IFERROR(INDEX('CLM &amp; IM Mapping'!$C$2:$C$270,MATCH(TRIM(B1380),'CLM &amp; IM Mapping'!$A$2:$A$270,0)),"Not Mapped"))</f>
        <v>Not Mapped</v>
      </c>
      <c r="E1380" s="41" t="n">
        <v>2744</v>
      </c>
      <c r="F1380" s="41" t="n">
        <v>30</v>
      </c>
      <c r="G1380" s="41" t="n">
        <v>2705</v>
      </c>
      <c r="H1380" s="41" t="n">
        <v>9</v>
      </c>
      <c r="I1380" s="41" t="n">
        <v>0</v>
      </c>
      <c r="J1380" s="41" t="n">
        <v>0</v>
      </c>
      <c r="K1380" s="41" t="n">
        <v>0</v>
      </c>
      <c r="L1380" s="41" t="n">
        <v>9</v>
      </c>
    </row>
    <row r="1381" customFormat="false" ht="15.75" hidden="false" customHeight="false" outlineLevel="0" collapsed="false">
      <c r="B1381" s="39" t="s">
        <v>1501</v>
      </c>
      <c r="C1381" s="40" t="str">
        <f aca="false">IF(B1381="","",IFERROR(INDEX('CLM &amp; IM Mapping'!$B$2:$B$270,MATCH(TRIM(B1381),'CLM &amp; IM Mapping'!$A$2:$A$270,0)),"Not Mapped"))</f>
        <v>Not Mapped</v>
      </c>
      <c r="D1381" s="40" t="str">
        <f aca="false">IF(B1381="","",IFERROR(INDEX('CLM &amp; IM Mapping'!$C$2:$C$270,MATCH(TRIM(B1381),'CLM &amp; IM Mapping'!$A$2:$A$270,0)),"Not Mapped"))</f>
        <v>Not Mapped</v>
      </c>
      <c r="E1381" s="41" t="n">
        <v>0</v>
      </c>
      <c r="F1381" s="41" t="n">
        <v>0</v>
      </c>
      <c r="G1381" s="41" t="n">
        <v>0</v>
      </c>
      <c r="H1381" s="41" t="n">
        <v>0</v>
      </c>
      <c r="I1381" s="41" t="n">
        <v>0</v>
      </c>
      <c r="J1381" s="41" t="n">
        <v>0</v>
      </c>
      <c r="K1381" s="41" t="n">
        <v>0</v>
      </c>
      <c r="L1381" s="41" t="n">
        <v>0</v>
      </c>
    </row>
    <row r="1382" customFormat="false" ht="15.75" hidden="false" customHeight="false" outlineLevel="0" collapsed="false">
      <c r="B1382" s="39" t="s">
        <v>1502</v>
      </c>
      <c r="C1382" s="40" t="str">
        <f aca="false">IF(B1382="","",IFERROR(INDEX('CLM &amp; IM Mapping'!$B$2:$B$270,MATCH(TRIM(B1382),'CLM &amp; IM Mapping'!$A$2:$A$270,0)),"Not Mapped"))</f>
        <v>Not Mapped</v>
      </c>
      <c r="D1382" s="40" t="str">
        <f aca="false">IF(B1382="","",IFERROR(INDEX('CLM &amp; IM Mapping'!$C$2:$C$270,MATCH(TRIM(B1382),'CLM &amp; IM Mapping'!$A$2:$A$270,0)),"Not Mapped"))</f>
        <v>Not Mapped</v>
      </c>
      <c r="E1382" s="41" t="n">
        <v>3299</v>
      </c>
      <c r="F1382" s="41" t="n">
        <v>2</v>
      </c>
      <c r="G1382" s="41" t="n">
        <v>3259</v>
      </c>
      <c r="H1382" s="41" t="n">
        <v>25</v>
      </c>
      <c r="I1382" s="41" t="n">
        <v>13</v>
      </c>
      <c r="J1382" s="41" t="n">
        <v>0</v>
      </c>
      <c r="K1382" s="41" t="n">
        <v>0</v>
      </c>
      <c r="L1382" s="41" t="n">
        <v>38</v>
      </c>
    </row>
    <row r="1383" customFormat="false" ht="15.75" hidden="false" customHeight="false" outlineLevel="0" collapsed="false">
      <c r="B1383" s="39" t="s">
        <v>1503</v>
      </c>
      <c r="C1383" s="40" t="str">
        <f aca="false">IF(B1383="","",IFERROR(INDEX('CLM &amp; IM Mapping'!$B$2:$B$270,MATCH(TRIM(B1383),'CLM &amp; IM Mapping'!$A$2:$A$270,0)),"Not Mapped"))</f>
        <v>Not Mapped</v>
      </c>
      <c r="D1383" s="40" t="str">
        <f aca="false">IF(B1383="","",IFERROR(INDEX('CLM &amp; IM Mapping'!$C$2:$C$270,MATCH(TRIM(B1383),'CLM &amp; IM Mapping'!$A$2:$A$270,0)),"Not Mapped"))</f>
        <v>Not Mapped</v>
      </c>
      <c r="E1383" s="41" t="n">
        <v>0</v>
      </c>
      <c r="F1383" s="41" t="n">
        <v>0</v>
      </c>
      <c r="G1383" s="41" t="n">
        <v>0</v>
      </c>
      <c r="H1383" s="41" t="n">
        <v>0</v>
      </c>
      <c r="I1383" s="41" t="n">
        <v>0</v>
      </c>
      <c r="J1383" s="41" t="n">
        <v>0</v>
      </c>
      <c r="K1383" s="41" t="n">
        <v>0</v>
      </c>
      <c r="L1383" s="41" t="n">
        <v>0</v>
      </c>
    </row>
    <row r="1384" customFormat="false" ht="15.75" hidden="false" customHeight="false" outlineLevel="0" collapsed="false">
      <c r="B1384" s="39" t="s">
        <v>1504</v>
      </c>
      <c r="C1384" s="40" t="str">
        <f aca="false">IF(B1384="","",IFERROR(INDEX('CLM &amp; IM Mapping'!$B$2:$B$270,MATCH(TRIM(B1384),'CLM &amp; IM Mapping'!$A$2:$A$270,0)),"Not Mapped"))</f>
        <v>Not Mapped</v>
      </c>
      <c r="D1384" s="40" t="str">
        <f aca="false">IF(B1384="","",IFERROR(INDEX('CLM &amp; IM Mapping'!$C$2:$C$270,MATCH(TRIM(B1384),'CLM &amp; IM Mapping'!$A$2:$A$270,0)),"Not Mapped"))</f>
        <v>Not Mapped</v>
      </c>
      <c r="E1384" s="41" t="n">
        <v>1156</v>
      </c>
      <c r="F1384" s="41" t="n">
        <v>0</v>
      </c>
      <c r="G1384" s="41" t="n">
        <v>1134</v>
      </c>
      <c r="H1384" s="41" t="n">
        <v>0</v>
      </c>
      <c r="I1384" s="41" t="n">
        <v>22</v>
      </c>
      <c r="J1384" s="41" t="n">
        <v>0</v>
      </c>
      <c r="K1384" s="41" t="n">
        <v>0</v>
      </c>
      <c r="L1384" s="41" t="n">
        <v>22</v>
      </c>
    </row>
    <row r="1385" customFormat="false" ht="15.75" hidden="false" customHeight="false" outlineLevel="0" collapsed="false">
      <c r="B1385" s="39" t="s">
        <v>1505</v>
      </c>
      <c r="C1385" s="40" t="str">
        <f aca="false">IF(B1385="","",IFERROR(INDEX('CLM &amp; IM Mapping'!$B$2:$B$270,MATCH(TRIM(B1385),'CLM &amp; IM Mapping'!$A$2:$A$270,0)),"Not Mapped"))</f>
        <v>Not Mapped</v>
      </c>
      <c r="D1385" s="40" t="str">
        <f aca="false">IF(B1385="","",IFERROR(INDEX('CLM &amp; IM Mapping'!$C$2:$C$270,MATCH(TRIM(B1385),'CLM &amp; IM Mapping'!$A$2:$A$270,0)),"Not Mapped"))</f>
        <v>Not Mapped</v>
      </c>
      <c r="E1385" s="41" t="n">
        <v>5245</v>
      </c>
      <c r="F1385" s="41" t="n">
        <v>0</v>
      </c>
      <c r="G1385" s="41" t="n">
        <v>0</v>
      </c>
      <c r="H1385" s="41" t="n">
        <v>3205</v>
      </c>
      <c r="I1385" s="41" t="n">
        <v>0</v>
      </c>
      <c r="J1385" s="41" t="n">
        <v>1235</v>
      </c>
      <c r="K1385" s="41" t="n">
        <v>805</v>
      </c>
      <c r="L1385" s="41" t="n">
        <v>5245</v>
      </c>
    </row>
    <row r="1386" customFormat="false" ht="15.75" hidden="false" customHeight="false" outlineLevel="0" collapsed="false">
      <c r="B1386" s="39" t="s">
        <v>1506</v>
      </c>
      <c r="C1386" s="40" t="str">
        <f aca="false">IF(B1386="","",IFERROR(INDEX('CLM &amp; IM Mapping'!$B$2:$B$270,MATCH(TRIM(B1386),'CLM &amp; IM Mapping'!$A$2:$A$270,0)),"Not Mapped"))</f>
        <v>Not Mapped</v>
      </c>
      <c r="D1386" s="40" t="str">
        <f aca="false">IF(B1386="","",IFERROR(INDEX('CLM &amp; IM Mapping'!$C$2:$C$270,MATCH(TRIM(B1386),'CLM &amp; IM Mapping'!$A$2:$A$270,0)),"Not Mapped"))</f>
        <v>Not Mapped</v>
      </c>
      <c r="E1386" s="41" t="n">
        <v>1817</v>
      </c>
      <c r="F1386" s="41" t="n">
        <v>0</v>
      </c>
      <c r="G1386" s="41" t="n">
        <v>0</v>
      </c>
      <c r="H1386" s="41" t="n">
        <v>1817</v>
      </c>
      <c r="I1386" s="41" t="n">
        <v>0</v>
      </c>
      <c r="J1386" s="41" t="n">
        <v>0</v>
      </c>
      <c r="K1386" s="41" t="n">
        <v>0</v>
      </c>
      <c r="L1386" s="41" t="n">
        <v>0</v>
      </c>
    </row>
    <row r="1387" customFormat="false" ht="15.75" hidden="false" customHeight="false" outlineLevel="0" collapsed="false">
      <c r="B1387" s="39" t="s">
        <v>1507</v>
      </c>
      <c r="C1387" s="40" t="str">
        <f aca="false">IF(B1387="","",IFERROR(INDEX('CLM &amp; IM Mapping'!$B$2:$B$270,MATCH(TRIM(B1387),'CLM &amp; IM Mapping'!$A$2:$A$270,0)),"Not Mapped"))</f>
        <v>Not Mapped</v>
      </c>
      <c r="D1387" s="40" t="str">
        <f aca="false">IF(B1387="","",IFERROR(INDEX('CLM &amp; IM Mapping'!$C$2:$C$270,MATCH(TRIM(B1387),'CLM &amp; IM Mapping'!$A$2:$A$270,0)),"Not Mapped"))</f>
        <v>Not Mapped</v>
      </c>
      <c r="E1387" s="41" t="n">
        <v>0</v>
      </c>
      <c r="F1387" s="41" t="n">
        <v>0</v>
      </c>
      <c r="G1387" s="41" t="n">
        <v>0</v>
      </c>
      <c r="H1387" s="41" t="n">
        <v>0</v>
      </c>
      <c r="I1387" s="41" t="n">
        <v>0</v>
      </c>
      <c r="J1387" s="41" t="n">
        <v>0</v>
      </c>
      <c r="K1387" s="41" t="n">
        <v>0</v>
      </c>
      <c r="L1387" s="41" t="n">
        <v>0</v>
      </c>
    </row>
    <row r="1388" customFormat="false" ht="15.75" hidden="false" customHeight="false" outlineLevel="0" collapsed="false">
      <c r="B1388" s="39" t="s">
        <v>1508</v>
      </c>
      <c r="C1388" s="40" t="str">
        <f aca="false">IF(B1388="","",IFERROR(INDEX('CLM &amp; IM Mapping'!$B$2:$B$270,MATCH(TRIM(B1388),'CLM &amp; IM Mapping'!$A$2:$A$270,0)),"Not Mapped"))</f>
        <v>Not Mapped</v>
      </c>
      <c r="D1388" s="40" t="str">
        <f aca="false">IF(B1388="","",IFERROR(INDEX('CLM &amp; IM Mapping'!$C$2:$C$270,MATCH(TRIM(B1388),'CLM &amp; IM Mapping'!$A$2:$A$270,0)),"Not Mapped"))</f>
        <v>Not Mapped</v>
      </c>
      <c r="E1388" s="41" t="n">
        <v>341</v>
      </c>
      <c r="F1388" s="41" t="n">
        <v>341</v>
      </c>
      <c r="G1388" s="41" t="n">
        <v>0</v>
      </c>
      <c r="H1388" s="41" t="n">
        <v>0</v>
      </c>
      <c r="I1388" s="41" t="n">
        <v>0</v>
      </c>
      <c r="J1388" s="41" t="n">
        <v>0</v>
      </c>
      <c r="K1388" s="41" t="n">
        <v>0</v>
      </c>
      <c r="L1388" s="41" t="n">
        <v>0</v>
      </c>
    </row>
    <row r="1389" customFormat="false" ht="15.75" hidden="false" customHeight="false" outlineLevel="0" collapsed="false">
      <c r="B1389" s="39" t="s">
        <v>1509</v>
      </c>
      <c r="C1389" s="40" t="str">
        <f aca="false">IF(B1389="","",IFERROR(INDEX('CLM &amp; IM Mapping'!$B$2:$B$270,MATCH(TRIM(B1389),'CLM &amp; IM Mapping'!$A$2:$A$270,0)),"Not Mapped"))</f>
        <v>Not Mapped</v>
      </c>
      <c r="D1389" s="40" t="str">
        <f aca="false">IF(B1389="","",IFERROR(INDEX('CLM &amp; IM Mapping'!$C$2:$C$270,MATCH(TRIM(B1389),'CLM &amp; IM Mapping'!$A$2:$A$270,0)),"Not Mapped"))</f>
        <v>Not Mapped</v>
      </c>
      <c r="E1389" s="41" t="n">
        <v>2090</v>
      </c>
      <c r="F1389" s="41" t="n">
        <v>0</v>
      </c>
      <c r="G1389" s="41" t="n">
        <v>1897</v>
      </c>
      <c r="H1389" s="41" t="n">
        <v>172</v>
      </c>
      <c r="I1389" s="41" t="n">
        <v>0</v>
      </c>
      <c r="J1389" s="41" t="n">
        <v>0</v>
      </c>
      <c r="K1389" s="41" t="n">
        <v>21</v>
      </c>
      <c r="L1389" s="41" t="n">
        <v>193</v>
      </c>
    </row>
    <row r="1390" customFormat="false" ht="15.75" hidden="false" customHeight="false" outlineLevel="0" collapsed="false">
      <c r="B1390" s="39" t="s">
        <v>1510</v>
      </c>
      <c r="C1390" s="40" t="str">
        <f aca="false">IF(B1390="","",IFERROR(INDEX('CLM &amp; IM Mapping'!$B$2:$B$270,MATCH(TRIM(B1390),'CLM &amp; IM Mapping'!$A$2:$A$270,0)),"Not Mapped"))</f>
        <v>Not Mapped</v>
      </c>
      <c r="D1390" s="40" t="str">
        <f aca="false">IF(B1390="","",IFERROR(INDEX('CLM &amp; IM Mapping'!$C$2:$C$270,MATCH(TRIM(B1390),'CLM &amp; IM Mapping'!$A$2:$A$270,0)),"Not Mapped"))</f>
        <v>Not Mapped</v>
      </c>
      <c r="E1390" s="41" t="n">
        <v>0</v>
      </c>
      <c r="F1390" s="41" t="n">
        <v>0</v>
      </c>
      <c r="G1390" s="41" t="n">
        <v>0</v>
      </c>
      <c r="H1390" s="41" t="n">
        <v>0</v>
      </c>
      <c r="I1390" s="41" t="n">
        <v>0</v>
      </c>
      <c r="J1390" s="41" t="n">
        <v>0</v>
      </c>
      <c r="K1390" s="41" t="n">
        <v>0</v>
      </c>
      <c r="L1390" s="41" t="n">
        <v>0</v>
      </c>
    </row>
    <row r="1391" customFormat="false" ht="15.75" hidden="false" customHeight="false" outlineLevel="0" collapsed="false">
      <c r="B1391" s="39" t="s">
        <v>1511</v>
      </c>
      <c r="C1391" s="40" t="str">
        <f aca="false">IF(B1391="","",IFERROR(INDEX('CLM &amp; IM Mapping'!$B$2:$B$270,MATCH(TRIM(B1391),'CLM &amp; IM Mapping'!$A$2:$A$270,0)),"Not Mapped"))</f>
        <v>Not Mapped</v>
      </c>
      <c r="D1391" s="40" t="str">
        <f aca="false">IF(B1391="","",IFERROR(INDEX('CLM &amp; IM Mapping'!$C$2:$C$270,MATCH(TRIM(B1391),'CLM &amp; IM Mapping'!$A$2:$A$270,0)),"Not Mapped"))</f>
        <v>Not Mapped</v>
      </c>
      <c r="E1391" s="41" t="n">
        <v>1151</v>
      </c>
      <c r="F1391" s="41" t="n">
        <v>0</v>
      </c>
      <c r="G1391" s="41" t="n">
        <v>0</v>
      </c>
      <c r="H1391" s="41" t="n">
        <v>1126</v>
      </c>
      <c r="I1391" s="41" t="n">
        <v>0</v>
      </c>
      <c r="J1391" s="41" t="n">
        <v>13</v>
      </c>
      <c r="K1391" s="41" t="n">
        <v>12</v>
      </c>
      <c r="L1391" s="41" t="n">
        <v>25</v>
      </c>
    </row>
    <row r="1392" customFormat="false" ht="15.75" hidden="false" customHeight="false" outlineLevel="0" collapsed="false">
      <c r="B1392" s="39" t="s">
        <v>1512</v>
      </c>
      <c r="C1392" s="40" t="str">
        <f aca="false">IF(B1392="","",IFERROR(INDEX('CLM &amp; IM Mapping'!$B$2:$B$270,MATCH(TRIM(B1392),'CLM &amp; IM Mapping'!$A$2:$A$270,0)),"Not Mapped"))</f>
        <v>Not Mapped</v>
      </c>
      <c r="D1392" s="40" t="str">
        <f aca="false">IF(B1392="","",IFERROR(INDEX('CLM &amp; IM Mapping'!$C$2:$C$270,MATCH(TRIM(B1392),'CLM &amp; IM Mapping'!$A$2:$A$270,0)),"Not Mapped"))</f>
        <v>Not Mapped</v>
      </c>
      <c r="E1392" s="41" t="n">
        <v>1801</v>
      </c>
      <c r="F1392" s="41" t="n">
        <v>0</v>
      </c>
      <c r="G1392" s="41" t="n">
        <v>1801</v>
      </c>
      <c r="H1392" s="41" t="n">
        <v>0</v>
      </c>
      <c r="I1392" s="41" t="n">
        <v>0</v>
      </c>
      <c r="J1392" s="41" t="n">
        <v>0</v>
      </c>
      <c r="K1392" s="41" t="n">
        <v>0</v>
      </c>
      <c r="L1392" s="41" t="n">
        <v>0</v>
      </c>
    </row>
    <row r="1393" customFormat="false" ht="15.75" hidden="false" customHeight="false" outlineLevel="0" collapsed="false">
      <c r="B1393" s="39" t="s">
        <v>1513</v>
      </c>
      <c r="C1393" s="40" t="str">
        <f aca="false">IF(B1393="","",IFERROR(INDEX('CLM &amp; IM Mapping'!$B$2:$B$270,MATCH(TRIM(B1393),'CLM &amp; IM Mapping'!$A$2:$A$270,0)),"Not Mapped"))</f>
        <v>Not Mapped</v>
      </c>
      <c r="D1393" s="40" t="str">
        <f aca="false">IF(B1393="","",IFERROR(INDEX('CLM &amp; IM Mapping'!$C$2:$C$270,MATCH(TRIM(B1393),'CLM &amp; IM Mapping'!$A$2:$A$270,0)),"Not Mapped"))</f>
        <v>Not Mapped</v>
      </c>
      <c r="E1393" s="41" t="n">
        <v>0</v>
      </c>
      <c r="F1393" s="41" t="n">
        <v>0</v>
      </c>
      <c r="G1393" s="41" t="n">
        <v>0</v>
      </c>
      <c r="H1393" s="41" t="n">
        <v>0</v>
      </c>
      <c r="I1393" s="41" t="n">
        <v>0</v>
      </c>
      <c r="J1393" s="41" t="n">
        <v>0</v>
      </c>
      <c r="K1393" s="41" t="n">
        <v>0</v>
      </c>
      <c r="L1393" s="41" t="n">
        <v>0</v>
      </c>
    </row>
    <row r="1394" customFormat="false" ht="15.75" hidden="false" customHeight="false" outlineLevel="0" collapsed="false">
      <c r="B1394" s="39" t="s">
        <v>1514</v>
      </c>
      <c r="C1394" s="40" t="str">
        <f aca="false">IF(B1394="","",IFERROR(INDEX('CLM &amp; IM Mapping'!$B$2:$B$270,MATCH(TRIM(B1394),'CLM &amp; IM Mapping'!$A$2:$A$270,0)),"Not Mapped"))</f>
        <v>Not Mapped</v>
      </c>
      <c r="D1394" s="40" t="str">
        <f aca="false">IF(B1394="","",IFERROR(INDEX('CLM &amp; IM Mapping'!$C$2:$C$270,MATCH(TRIM(B1394),'CLM &amp; IM Mapping'!$A$2:$A$270,0)),"Not Mapped"))</f>
        <v>Not Mapped</v>
      </c>
      <c r="E1394" s="41" t="n">
        <v>6972</v>
      </c>
      <c r="F1394" s="41" t="n">
        <v>903</v>
      </c>
      <c r="G1394" s="41" t="n">
        <v>5604</v>
      </c>
      <c r="H1394" s="41" t="n">
        <v>0</v>
      </c>
      <c r="I1394" s="41" t="n">
        <v>465</v>
      </c>
      <c r="J1394" s="41" t="n">
        <v>0</v>
      </c>
      <c r="K1394" s="41" t="n">
        <v>0</v>
      </c>
      <c r="L1394" s="41" t="n">
        <v>465</v>
      </c>
    </row>
    <row r="1395" customFormat="false" ht="15.75" hidden="false" customHeight="false" outlineLevel="0" collapsed="false">
      <c r="B1395" s="39" t="s">
        <v>1515</v>
      </c>
      <c r="C1395" s="40" t="str">
        <f aca="false">IF(B1395="","",IFERROR(INDEX('CLM &amp; IM Mapping'!$B$2:$B$270,MATCH(TRIM(B1395),'CLM &amp; IM Mapping'!$A$2:$A$270,0)),"Not Mapped"))</f>
        <v>Not Mapped</v>
      </c>
      <c r="D1395" s="40" t="str">
        <f aca="false">IF(B1395="","",IFERROR(INDEX('CLM &amp; IM Mapping'!$C$2:$C$270,MATCH(TRIM(B1395),'CLM &amp; IM Mapping'!$A$2:$A$270,0)),"Not Mapped"))</f>
        <v>Not Mapped</v>
      </c>
      <c r="E1395" s="41" t="n">
        <v>0</v>
      </c>
      <c r="F1395" s="41" t="n">
        <v>0</v>
      </c>
      <c r="G1395" s="41" t="n">
        <v>0</v>
      </c>
      <c r="H1395" s="41" t="n">
        <v>0</v>
      </c>
      <c r="I1395" s="41" t="n">
        <v>0</v>
      </c>
      <c r="J1395" s="41" t="n">
        <v>0</v>
      </c>
      <c r="K1395" s="41" t="n">
        <v>0</v>
      </c>
      <c r="L1395" s="41" t="n">
        <v>0</v>
      </c>
    </row>
    <row r="1396" customFormat="false" ht="15.75" hidden="false" customHeight="false" outlineLevel="0" collapsed="false">
      <c r="B1396" s="39" t="s">
        <v>1516</v>
      </c>
      <c r="C1396" s="40" t="str">
        <f aca="false">IF(B1396="","",IFERROR(INDEX('CLM &amp; IM Mapping'!$B$2:$B$270,MATCH(TRIM(B1396),'CLM &amp; IM Mapping'!$A$2:$A$270,0)),"Not Mapped"))</f>
        <v>Not Mapped</v>
      </c>
      <c r="D1396" s="40" t="str">
        <f aca="false">IF(B1396="","",IFERROR(INDEX('CLM &amp; IM Mapping'!$C$2:$C$270,MATCH(TRIM(B1396),'CLM &amp; IM Mapping'!$A$2:$A$270,0)),"Not Mapped"))</f>
        <v>Not Mapped</v>
      </c>
      <c r="E1396" s="41" t="n">
        <v>9316</v>
      </c>
      <c r="F1396" s="41" t="n">
        <v>5821</v>
      </c>
      <c r="G1396" s="41" t="n">
        <v>3495</v>
      </c>
      <c r="H1396" s="41" t="n">
        <v>0</v>
      </c>
      <c r="I1396" s="41" t="n">
        <v>0</v>
      </c>
      <c r="J1396" s="41" t="n">
        <v>0</v>
      </c>
      <c r="K1396" s="41" t="n">
        <v>0</v>
      </c>
      <c r="L1396" s="41" t="n">
        <v>0</v>
      </c>
    </row>
    <row r="1397" customFormat="false" ht="15.75" hidden="false" customHeight="false" outlineLevel="0" collapsed="false">
      <c r="B1397" s="39" t="s">
        <v>1517</v>
      </c>
      <c r="C1397" s="40" t="str">
        <f aca="false">IF(B1397="","",IFERROR(INDEX('CLM &amp; IM Mapping'!$B$2:$B$270,MATCH(TRIM(B1397),'CLM &amp; IM Mapping'!$A$2:$A$270,0)),"Not Mapped"))</f>
        <v>Not Mapped</v>
      </c>
      <c r="D1397" s="40" t="str">
        <f aca="false">IF(B1397="","",IFERROR(INDEX('CLM &amp; IM Mapping'!$C$2:$C$270,MATCH(TRIM(B1397),'CLM &amp; IM Mapping'!$A$2:$A$270,0)),"Not Mapped"))</f>
        <v>Not Mapped</v>
      </c>
      <c r="E1397" s="41" t="n">
        <v>0</v>
      </c>
      <c r="F1397" s="41" t="n">
        <v>0</v>
      </c>
      <c r="G1397" s="41" t="n">
        <v>0</v>
      </c>
      <c r="H1397" s="41" t="n">
        <v>0</v>
      </c>
      <c r="I1397" s="41" t="n">
        <v>0</v>
      </c>
      <c r="J1397" s="41" t="n">
        <v>0</v>
      </c>
      <c r="K1397" s="41" t="n">
        <v>0</v>
      </c>
      <c r="L1397" s="41" t="n">
        <v>0</v>
      </c>
    </row>
    <row r="1398" customFormat="false" ht="15.75" hidden="false" customHeight="false" outlineLevel="0" collapsed="false">
      <c r="B1398" s="39" t="s">
        <v>1518</v>
      </c>
      <c r="C1398" s="40" t="str">
        <f aca="false">IF(B1398="","",IFERROR(INDEX('CLM &amp; IM Mapping'!$B$2:$B$270,MATCH(TRIM(B1398),'CLM &amp; IM Mapping'!$A$2:$A$270,0)),"Not Mapped"))</f>
        <v>Not Mapped</v>
      </c>
      <c r="D1398" s="40" t="str">
        <f aca="false">IF(B1398="","",IFERROR(INDEX('CLM &amp; IM Mapping'!$C$2:$C$270,MATCH(TRIM(B1398),'CLM &amp; IM Mapping'!$A$2:$A$270,0)),"Not Mapped"))</f>
        <v>Not Mapped</v>
      </c>
      <c r="E1398" s="41" t="n">
        <v>0</v>
      </c>
      <c r="F1398" s="41" t="n">
        <v>0</v>
      </c>
      <c r="G1398" s="41" t="n">
        <v>0</v>
      </c>
      <c r="H1398" s="41" t="n">
        <v>0</v>
      </c>
      <c r="I1398" s="41" t="n">
        <v>0</v>
      </c>
      <c r="J1398" s="41" t="n">
        <v>0</v>
      </c>
      <c r="K1398" s="41" t="n">
        <v>0</v>
      </c>
      <c r="L1398" s="41" t="n">
        <v>0</v>
      </c>
    </row>
    <row r="1399" customFormat="false" ht="15.75" hidden="false" customHeight="false" outlineLevel="0" collapsed="false">
      <c r="B1399" s="39" t="s">
        <v>1519</v>
      </c>
      <c r="C1399" s="40" t="str">
        <f aca="false">IF(B1399="","",IFERROR(INDEX('CLM &amp; IM Mapping'!$B$2:$B$270,MATCH(TRIM(B1399),'CLM &amp; IM Mapping'!$A$2:$A$270,0)),"Not Mapped"))</f>
        <v>Not Mapped</v>
      </c>
      <c r="D1399" s="40" t="str">
        <f aca="false">IF(B1399="","",IFERROR(INDEX('CLM &amp; IM Mapping'!$C$2:$C$270,MATCH(TRIM(B1399),'CLM &amp; IM Mapping'!$A$2:$A$270,0)),"Not Mapped"))</f>
        <v>Not Mapped</v>
      </c>
      <c r="E1399" s="41" t="n">
        <v>0</v>
      </c>
      <c r="F1399" s="41" t="n">
        <v>0</v>
      </c>
      <c r="G1399" s="41" t="n">
        <v>0</v>
      </c>
      <c r="H1399" s="41" t="n">
        <v>0</v>
      </c>
      <c r="I1399" s="41" t="n">
        <v>0</v>
      </c>
      <c r="J1399" s="41" t="n">
        <v>0</v>
      </c>
      <c r="K1399" s="41" t="n">
        <v>0</v>
      </c>
      <c r="L1399" s="41" t="n">
        <v>0</v>
      </c>
    </row>
    <row r="1400" customFormat="false" ht="15.75" hidden="false" customHeight="false" outlineLevel="0" collapsed="false">
      <c r="B1400" s="39" t="s">
        <v>1520</v>
      </c>
      <c r="C1400" s="40" t="str">
        <f aca="false">IF(B1400="","",IFERROR(INDEX('CLM &amp; IM Mapping'!$B$2:$B$270,MATCH(TRIM(B1400),'CLM &amp; IM Mapping'!$A$2:$A$270,0)),"Not Mapped"))</f>
        <v>Not Mapped</v>
      </c>
      <c r="D1400" s="40" t="str">
        <f aca="false">IF(B1400="","",IFERROR(INDEX('CLM &amp; IM Mapping'!$C$2:$C$270,MATCH(TRIM(B1400),'CLM &amp; IM Mapping'!$A$2:$A$270,0)),"Not Mapped"))</f>
        <v>Not Mapped</v>
      </c>
      <c r="E1400" s="41" t="n">
        <v>522</v>
      </c>
      <c r="F1400" s="41" t="n">
        <v>0</v>
      </c>
      <c r="G1400" s="41" t="n">
        <v>522</v>
      </c>
      <c r="H1400" s="41" t="n">
        <v>0</v>
      </c>
      <c r="I1400" s="41" t="n">
        <v>0</v>
      </c>
      <c r="J1400" s="41" t="n">
        <v>0</v>
      </c>
      <c r="K1400" s="41" t="n">
        <v>0</v>
      </c>
      <c r="L1400" s="41" t="n">
        <v>0</v>
      </c>
    </row>
    <row r="1401" customFormat="false" ht="15.75" hidden="false" customHeight="false" outlineLevel="0" collapsed="false">
      <c r="B1401" s="39" t="s">
        <v>1521</v>
      </c>
      <c r="C1401" s="40" t="str">
        <f aca="false">IF(B1401="","",IFERROR(INDEX('CLM &amp; IM Mapping'!$B$2:$B$270,MATCH(TRIM(B1401),'CLM &amp; IM Mapping'!$A$2:$A$270,0)),"Not Mapped"))</f>
        <v>Not Mapped</v>
      </c>
      <c r="D1401" s="40" t="str">
        <f aca="false">IF(B1401="","",IFERROR(INDEX('CLM &amp; IM Mapping'!$C$2:$C$270,MATCH(TRIM(B1401),'CLM &amp; IM Mapping'!$A$2:$A$270,0)),"Not Mapped"))</f>
        <v>Not Mapped</v>
      </c>
      <c r="E1401" s="41" t="n">
        <v>1362</v>
      </c>
      <c r="F1401" s="41" t="n">
        <v>466</v>
      </c>
      <c r="G1401" s="41" t="n">
        <v>0</v>
      </c>
      <c r="H1401" s="41" t="n">
        <v>896</v>
      </c>
      <c r="I1401" s="41" t="n">
        <v>0</v>
      </c>
      <c r="J1401" s="41" t="n">
        <v>0</v>
      </c>
      <c r="K1401" s="41" t="n">
        <v>0</v>
      </c>
      <c r="L1401" s="41" t="n">
        <v>896</v>
      </c>
    </row>
    <row r="1402" customFormat="false" ht="15.75" hidden="false" customHeight="false" outlineLevel="0" collapsed="false">
      <c r="B1402" s="39" t="s">
        <v>1522</v>
      </c>
      <c r="C1402" s="40" t="str">
        <f aca="false">IF(B1402="","",IFERROR(INDEX('CLM &amp; IM Mapping'!$B$2:$B$270,MATCH(TRIM(B1402),'CLM &amp; IM Mapping'!$A$2:$A$270,0)),"Not Mapped"))</f>
        <v>Not Mapped</v>
      </c>
      <c r="D1402" s="40" t="str">
        <f aca="false">IF(B1402="","",IFERROR(INDEX('CLM &amp; IM Mapping'!$C$2:$C$270,MATCH(TRIM(B1402),'CLM &amp; IM Mapping'!$A$2:$A$270,0)),"Not Mapped"))</f>
        <v>Not Mapped</v>
      </c>
      <c r="E1402" s="41" t="n">
        <v>0</v>
      </c>
      <c r="F1402" s="41" t="n">
        <v>0</v>
      </c>
      <c r="G1402" s="41" t="n">
        <v>0</v>
      </c>
      <c r="H1402" s="41" t="n">
        <v>0</v>
      </c>
      <c r="I1402" s="41" t="n">
        <v>0</v>
      </c>
      <c r="J1402" s="41" t="n">
        <v>0</v>
      </c>
      <c r="K1402" s="41" t="n">
        <v>0</v>
      </c>
      <c r="L1402" s="41" t="n">
        <v>0</v>
      </c>
    </row>
    <row r="1403" customFormat="false" ht="15.75" hidden="false" customHeight="false" outlineLevel="0" collapsed="false">
      <c r="B1403" s="39" t="s">
        <v>1523</v>
      </c>
      <c r="C1403" s="40" t="str">
        <f aca="false">IF(B1403="","",IFERROR(INDEX('CLM &amp; IM Mapping'!$B$2:$B$270,MATCH(TRIM(B1403),'CLM &amp; IM Mapping'!$A$2:$A$270,0)),"Not Mapped"))</f>
        <v>Not Mapped</v>
      </c>
      <c r="D1403" s="40" t="str">
        <f aca="false">IF(B1403="","",IFERROR(INDEX('CLM &amp; IM Mapping'!$C$2:$C$270,MATCH(TRIM(B1403),'CLM &amp; IM Mapping'!$A$2:$A$270,0)),"Not Mapped"))</f>
        <v>Not Mapped</v>
      </c>
      <c r="E1403" s="41" t="n">
        <v>2590</v>
      </c>
      <c r="F1403" s="41" t="n">
        <v>0</v>
      </c>
      <c r="G1403" s="41" t="n">
        <v>902</v>
      </c>
      <c r="H1403" s="41" t="n">
        <v>1688</v>
      </c>
      <c r="I1403" s="41" t="n">
        <v>0</v>
      </c>
      <c r="J1403" s="41" t="n">
        <v>0</v>
      </c>
      <c r="K1403" s="41" t="n">
        <v>0</v>
      </c>
      <c r="L1403" s="41" t="n">
        <v>1688</v>
      </c>
    </row>
    <row r="1404" customFormat="false" ht="15.75" hidden="false" customHeight="false" outlineLevel="0" collapsed="false">
      <c r="B1404" s="39" t="s">
        <v>1524</v>
      </c>
      <c r="C1404" s="40" t="str">
        <f aca="false">IF(B1404="","",IFERROR(INDEX('CLM &amp; IM Mapping'!$B$2:$B$270,MATCH(TRIM(B1404),'CLM &amp; IM Mapping'!$A$2:$A$270,0)),"Not Mapped"))</f>
        <v>Not Mapped</v>
      </c>
      <c r="D1404" s="40" t="str">
        <f aca="false">IF(B1404="","",IFERROR(INDEX('CLM &amp; IM Mapping'!$C$2:$C$270,MATCH(TRIM(B1404),'CLM &amp; IM Mapping'!$A$2:$A$270,0)),"Not Mapped"))</f>
        <v>Not Mapped</v>
      </c>
      <c r="E1404" s="41" t="n">
        <v>0</v>
      </c>
      <c r="F1404" s="41" t="n">
        <v>0</v>
      </c>
      <c r="G1404" s="41" t="n">
        <v>0</v>
      </c>
      <c r="H1404" s="41" t="n">
        <v>0</v>
      </c>
      <c r="I1404" s="41" t="n">
        <v>0</v>
      </c>
      <c r="J1404" s="41" t="n">
        <v>0</v>
      </c>
      <c r="K1404" s="41" t="n">
        <v>0</v>
      </c>
      <c r="L1404" s="41" t="n">
        <v>0</v>
      </c>
    </row>
    <row r="1405" customFormat="false" ht="15.75" hidden="false" customHeight="false" outlineLevel="0" collapsed="false">
      <c r="B1405" s="39" t="s">
        <v>1525</v>
      </c>
      <c r="C1405" s="40" t="str">
        <f aca="false">IF(B1405="","",IFERROR(INDEX('CLM &amp; IM Mapping'!$B$2:$B$270,MATCH(TRIM(B1405),'CLM &amp; IM Mapping'!$A$2:$A$270,0)),"Not Mapped"))</f>
        <v>Not Mapped</v>
      </c>
      <c r="D1405" s="40" t="str">
        <f aca="false">IF(B1405="","",IFERROR(INDEX('CLM &amp; IM Mapping'!$C$2:$C$270,MATCH(TRIM(B1405),'CLM &amp; IM Mapping'!$A$2:$A$270,0)),"Not Mapped"))</f>
        <v>Not Mapped</v>
      </c>
      <c r="E1405" s="41" t="n">
        <v>1276</v>
      </c>
      <c r="F1405" s="41" t="n">
        <v>0</v>
      </c>
      <c r="G1405" s="41" t="n">
        <v>0</v>
      </c>
      <c r="H1405" s="41" t="n">
        <v>977</v>
      </c>
      <c r="I1405" s="41" t="n">
        <v>0</v>
      </c>
      <c r="J1405" s="41" t="n">
        <v>169</v>
      </c>
      <c r="K1405" s="41" t="n">
        <v>130</v>
      </c>
      <c r="L1405" s="41" t="n">
        <v>1276</v>
      </c>
    </row>
    <row r="1406" customFormat="false" ht="15.75" hidden="false" customHeight="false" outlineLevel="0" collapsed="false">
      <c r="B1406" s="39" t="s">
        <v>1526</v>
      </c>
      <c r="C1406" s="40" t="str">
        <f aca="false">IF(B1406="","",IFERROR(INDEX('CLM &amp; IM Mapping'!$B$2:$B$270,MATCH(TRIM(B1406),'CLM &amp; IM Mapping'!$A$2:$A$270,0)),"Not Mapped"))</f>
        <v>Not Mapped</v>
      </c>
      <c r="D1406" s="40" t="str">
        <f aca="false">IF(B1406="","",IFERROR(INDEX('CLM &amp; IM Mapping'!$C$2:$C$270,MATCH(TRIM(B1406),'CLM &amp; IM Mapping'!$A$2:$A$270,0)),"Not Mapped"))</f>
        <v>Not Mapped</v>
      </c>
      <c r="E1406" s="41" t="n">
        <v>0</v>
      </c>
      <c r="F1406" s="41" t="n">
        <v>0</v>
      </c>
      <c r="G1406" s="41" t="n">
        <v>0</v>
      </c>
      <c r="H1406" s="41" t="n">
        <v>0</v>
      </c>
      <c r="I1406" s="41" t="n">
        <v>0</v>
      </c>
      <c r="J1406" s="41" t="n">
        <v>0</v>
      </c>
      <c r="K1406" s="41" t="n">
        <v>0</v>
      </c>
      <c r="L1406" s="41" t="n">
        <v>0</v>
      </c>
    </row>
    <row r="1407" customFormat="false" ht="15.75" hidden="false" customHeight="false" outlineLevel="0" collapsed="false">
      <c r="B1407" s="39" t="s">
        <v>1527</v>
      </c>
      <c r="C1407" s="40" t="str">
        <f aca="false">IF(B1407="","",IFERROR(INDEX('CLM &amp; IM Mapping'!$B$2:$B$270,MATCH(TRIM(B1407),'CLM &amp; IM Mapping'!$A$2:$A$270,0)),"Not Mapped"))</f>
        <v>Not Mapped</v>
      </c>
      <c r="D1407" s="40" t="str">
        <f aca="false">IF(B1407="","",IFERROR(INDEX('CLM &amp; IM Mapping'!$C$2:$C$270,MATCH(TRIM(B1407),'CLM &amp; IM Mapping'!$A$2:$A$270,0)),"Not Mapped"))</f>
        <v>Not Mapped</v>
      </c>
      <c r="E1407" s="41" t="n">
        <v>4</v>
      </c>
      <c r="F1407" s="41" t="n">
        <v>0</v>
      </c>
      <c r="G1407" s="41" t="n">
        <v>0</v>
      </c>
      <c r="H1407" s="41" t="n">
        <v>3</v>
      </c>
      <c r="I1407" s="41" t="n">
        <v>0</v>
      </c>
      <c r="J1407" s="41" t="n">
        <v>0</v>
      </c>
      <c r="K1407" s="41" t="n">
        <v>1</v>
      </c>
      <c r="L1407" s="41" t="n">
        <v>1</v>
      </c>
    </row>
    <row r="1408" customFormat="false" ht="15.75" hidden="false" customHeight="false" outlineLevel="0" collapsed="false">
      <c r="B1408" s="39" t="s">
        <v>1528</v>
      </c>
      <c r="C1408" s="40" t="str">
        <f aca="false">IF(B1408="","",IFERROR(INDEX('CLM &amp; IM Mapping'!$B$2:$B$270,MATCH(TRIM(B1408),'CLM &amp; IM Mapping'!$A$2:$A$270,0)),"Not Mapped"))</f>
        <v>Not Mapped</v>
      </c>
      <c r="D1408" s="40" t="str">
        <f aca="false">IF(B1408="","",IFERROR(INDEX('CLM &amp; IM Mapping'!$C$2:$C$270,MATCH(TRIM(B1408),'CLM &amp; IM Mapping'!$A$2:$A$270,0)),"Not Mapped"))</f>
        <v>Not Mapped</v>
      </c>
      <c r="E1408" s="41" t="n">
        <v>2378</v>
      </c>
      <c r="F1408" s="41" t="n">
        <v>1844</v>
      </c>
      <c r="G1408" s="41" t="n">
        <v>0</v>
      </c>
      <c r="H1408" s="41" t="n">
        <v>524</v>
      </c>
      <c r="I1408" s="41" t="n">
        <v>10</v>
      </c>
      <c r="J1408" s="41" t="n">
        <v>0</v>
      </c>
      <c r="K1408" s="41" t="n">
        <v>0</v>
      </c>
      <c r="L1408" s="41" t="n">
        <v>534</v>
      </c>
    </row>
    <row r="1409" customFormat="false" ht="15.75" hidden="false" customHeight="false" outlineLevel="0" collapsed="false">
      <c r="B1409" s="39" t="s">
        <v>1529</v>
      </c>
      <c r="C1409" s="40" t="str">
        <f aca="false">IF(B1409="","",IFERROR(INDEX('CLM &amp; IM Mapping'!$B$2:$B$270,MATCH(TRIM(B1409),'CLM &amp; IM Mapping'!$A$2:$A$270,0)),"Not Mapped"))</f>
        <v>Not Mapped</v>
      </c>
      <c r="D1409" s="40" t="str">
        <f aca="false">IF(B1409="","",IFERROR(INDEX('CLM &amp; IM Mapping'!$C$2:$C$270,MATCH(TRIM(B1409),'CLM &amp; IM Mapping'!$A$2:$A$270,0)),"Not Mapped"))</f>
        <v>Not Mapped</v>
      </c>
      <c r="E1409" s="41" t="n">
        <v>923</v>
      </c>
      <c r="F1409" s="41" t="n">
        <v>0</v>
      </c>
      <c r="G1409" s="41" t="n">
        <v>0</v>
      </c>
      <c r="H1409" s="41" t="n">
        <v>848</v>
      </c>
      <c r="I1409" s="41" t="n">
        <v>0</v>
      </c>
      <c r="J1409" s="41" t="n">
        <v>0</v>
      </c>
      <c r="K1409" s="41" t="n">
        <v>75</v>
      </c>
      <c r="L1409" s="41" t="n">
        <v>75</v>
      </c>
    </row>
    <row r="1410" customFormat="false" ht="15.75" hidden="false" customHeight="false" outlineLevel="0" collapsed="false">
      <c r="B1410" s="39" t="s">
        <v>1530</v>
      </c>
      <c r="C1410" s="40" t="str">
        <f aca="false">IF(B1410="","",IFERROR(INDEX('CLM &amp; IM Mapping'!$B$2:$B$270,MATCH(TRIM(B1410),'CLM &amp; IM Mapping'!$A$2:$A$270,0)),"Not Mapped"))</f>
        <v>Not Mapped</v>
      </c>
      <c r="D1410" s="40" t="str">
        <f aca="false">IF(B1410="","",IFERROR(INDEX('CLM &amp; IM Mapping'!$C$2:$C$270,MATCH(TRIM(B1410),'CLM &amp; IM Mapping'!$A$2:$A$270,0)),"Not Mapped"))</f>
        <v>Not Mapped</v>
      </c>
      <c r="E1410" s="41" t="n">
        <v>0</v>
      </c>
      <c r="F1410" s="41" t="n">
        <v>0</v>
      </c>
      <c r="G1410" s="41" t="n">
        <v>0</v>
      </c>
      <c r="H1410" s="41" t="n">
        <v>0</v>
      </c>
      <c r="I1410" s="41" t="n">
        <v>0</v>
      </c>
      <c r="J1410" s="41" t="n">
        <v>0</v>
      </c>
      <c r="K1410" s="41" t="n">
        <v>0</v>
      </c>
      <c r="L1410" s="41" t="n">
        <v>0</v>
      </c>
    </row>
    <row r="1411" customFormat="false" ht="15.75" hidden="false" customHeight="false" outlineLevel="0" collapsed="false">
      <c r="B1411" s="39" t="s">
        <v>1531</v>
      </c>
      <c r="C1411" s="40" t="str">
        <f aca="false">IF(B1411="","",IFERROR(INDEX('CLM &amp; IM Mapping'!$B$2:$B$270,MATCH(TRIM(B1411),'CLM &amp; IM Mapping'!$A$2:$A$270,0)),"Not Mapped"))</f>
        <v>Not Mapped</v>
      </c>
      <c r="D1411" s="40" t="str">
        <f aca="false">IF(B1411="","",IFERROR(INDEX('CLM &amp; IM Mapping'!$C$2:$C$270,MATCH(TRIM(B1411),'CLM &amp; IM Mapping'!$A$2:$A$270,0)),"Not Mapped"))</f>
        <v>Not Mapped</v>
      </c>
      <c r="E1411" s="41" t="n">
        <v>2627</v>
      </c>
      <c r="F1411" s="41" t="n">
        <v>1167</v>
      </c>
      <c r="G1411" s="41" t="n">
        <v>0</v>
      </c>
      <c r="H1411" s="41" t="n">
        <v>1458</v>
      </c>
      <c r="I1411" s="41" t="n">
        <v>0</v>
      </c>
      <c r="J1411" s="41" t="n">
        <v>0</v>
      </c>
      <c r="K1411" s="41" t="n">
        <v>2</v>
      </c>
      <c r="L1411" s="41" t="n">
        <v>1460</v>
      </c>
    </row>
    <row r="1412" customFormat="false" ht="15.75" hidden="false" customHeight="false" outlineLevel="0" collapsed="false">
      <c r="B1412" s="39" t="s">
        <v>1532</v>
      </c>
      <c r="C1412" s="40" t="str">
        <f aca="false">IF(B1412="","",IFERROR(INDEX('CLM &amp; IM Mapping'!$B$2:$B$270,MATCH(TRIM(B1412),'CLM &amp; IM Mapping'!$A$2:$A$270,0)),"Not Mapped"))</f>
        <v>Not Mapped</v>
      </c>
      <c r="D1412" s="40" t="str">
        <f aca="false">IF(B1412="","",IFERROR(INDEX('CLM &amp; IM Mapping'!$C$2:$C$270,MATCH(TRIM(B1412),'CLM &amp; IM Mapping'!$A$2:$A$270,0)),"Not Mapped"))</f>
        <v>Not Mapped</v>
      </c>
      <c r="E1412" s="41" t="n">
        <v>4346</v>
      </c>
      <c r="F1412" s="41" t="n">
        <v>8</v>
      </c>
      <c r="G1412" s="41" t="n">
        <v>4148</v>
      </c>
      <c r="H1412" s="41" t="n">
        <v>0</v>
      </c>
      <c r="I1412" s="41" t="n">
        <v>190</v>
      </c>
      <c r="J1412" s="41" t="n">
        <v>0</v>
      </c>
      <c r="K1412" s="41" t="n">
        <v>0</v>
      </c>
      <c r="L1412" s="41" t="n">
        <v>190</v>
      </c>
    </row>
    <row r="1413" customFormat="false" ht="15.75" hidden="false" customHeight="false" outlineLevel="0" collapsed="false">
      <c r="B1413" s="39" t="s">
        <v>1533</v>
      </c>
      <c r="C1413" s="40" t="str">
        <f aca="false">IF(B1413="","",IFERROR(INDEX('CLM &amp; IM Mapping'!$B$2:$B$270,MATCH(TRIM(B1413),'CLM &amp; IM Mapping'!$A$2:$A$270,0)),"Not Mapped"))</f>
        <v>Not Mapped</v>
      </c>
      <c r="D1413" s="40" t="str">
        <f aca="false">IF(B1413="","",IFERROR(INDEX('CLM &amp; IM Mapping'!$C$2:$C$270,MATCH(TRIM(B1413),'CLM &amp; IM Mapping'!$A$2:$A$270,0)),"Not Mapped"))</f>
        <v>Not Mapped</v>
      </c>
      <c r="E1413" s="41" t="n">
        <v>2693</v>
      </c>
      <c r="F1413" s="41" t="n">
        <v>0</v>
      </c>
      <c r="G1413" s="41" t="n">
        <v>0</v>
      </c>
      <c r="H1413" s="41" t="n">
        <v>2693</v>
      </c>
      <c r="I1413" s="41" t="n">
        <v>0</v>
      </c>
      <c r="J1413" s="41" t="n">
        <v>0</v>
      </c>
      <c r="K1413" s="41" t="n">
        <v>0</v>
      </c>
      <c r="L1413" s="41" t="n">
        <v>2693</v>
      </c>
    </row>
    <row r="1414" customFormat="false" ht="15.75" hidden="false" customHeight="false" outlineLevel="0" collapsed="false">
      <c r="B1414" s="39" t="s">
        <v>1534</v>
      </c>
      <c r="C1414" s="40" t="str">
        <f aca="false">IF(B1414="","",IFERROR(INDEX('CLM &amp; IM Mapping'!$B$2:$B$270,MATCH(TRIM(B1414),'CLM &amp; IM Mapping'!$A$2:$A$270,0)),"Not Mapped"))</f>
        <v>Not Mapped</v>
      </c>
      <c r="D1414" s="40" t="str">
        <f aca="false">IF(B1414="","",IFERROR(INDEX('CLM &amp; IM Mapping'!$C$2:$C$270,MATCH(TRIM(B1414),'CLM &amp; IM Mapping'!$A$2:$A$270,0)),"Not Mapped"))</f>
        <v>Not Mapped</v>
      </c>
      <c r="E1414" s="41" t="n">
        <v>864</v>
      </c>
      <c r="F1414" s="41" t="n">
        <v>0</v>
      </c>
      <c r="G1414" s="41" t="n">
        <v>0</v>
      </c>
      <c r="H1414" s="41" t="n">
        <v>843</v>
      </c>
      <c r="I1414" s="41" t="n">
        <v>0</v>
      </c>
      <c r="J1414" s="41" t="n">
        <v>0</v>
      </c>
      <c r="K1414" s="41" t="n">
        <v>21</v>
      </c>
      <c r="L1414" s="41" t="n">
        <v>864</v>
      </c>
    </row>
    <row r="1415" customFormat="false" ht="15.75" hidden="false" customHeight="false" outlineLevel="0" collapsed="false">
      <c r="B1415" s="39" t="s">
        <v>1535</v>
      </c>
      <c r="C1415" s="40" t="str">
        <f aca="false">IF(B1415="","",IFERROR(INDEX('CLM &amp; IM Mapping'!$B$2:$B$270,MATCH(TRIM(B1415),'CLM &amp; IM Mapping'!$A$2:$A$270,0)),"Not Mapped"))</f>
        <v>Not Mapped</v>
      </c>
      <c r="D1415" s="40" t="str">
        <f aca="false">IF(B1415="","",IFERROR(INDEX('CLM &amp; IM Mapping'!$C$2:$C$270,MATCH(TRIM(B1415),'CLM &amp; IM Mapping'!$A$2:$A$270,0)),"Not Mapped"))</f>
        <v>Not Mapped</v>
      </c>
      <c r="E1415" s="41" t="n">
        <v>2078</v>
      </c>
      <c r="F1415" s="41" t="n">
        <v>0</v>
      </c>
      <c r="G1415" s="41" t="n">
        <v>1818</v>
      </c>
      <c r="H1415" s="41" t="n">
        <v>0</v>
      </c>
      <c r="I1415" s="41" t="n">
        <v>0</v>
      </c>
      <c r="J1415" s="41" t="n">
        <v>258</v>
      </c>
      <c r="K1415" s="41" t="n">
        <v>2</v>
      </c>
      <c r="L1415" s="41" t="n">
        <v>260</v>
      </c>
    </row>
    <row r="1416" customFormat="false" ht="15.75" hidden="false" customHeight="false" outlineLevel="0" collapsed="false">
      <c r="B1416" s="39" t="s">
        <v>1536</v>
      </c>
      <c r="C1416" s="40" t="str">
        <f aca="false">IF(B1416="","",IFERROR(INDEX('CLM &amp; IM Mapping'!$B$2:$B$270,MATCH(TRIM(B1416),'CLM &amp; IM Mapping'!$A$2:$A$270,0)),"Not Mapped"))</f>
        <v>Not Mapped</v>
      </c>
      <c r="D1416" s="40" t="str">
        <f aca="false">IF(B1416="","",IFERROR(INDEX('CLM &amp; IM Mapping'!$C$2:$C$270,MATCH(TRIM(B1416),'CLM &amp; IM Mapping'!$A$2:$A$270,0)),"Not Mapped"))</f>
        <v>Not Mapped</v>
      </c>
      <c r="E1416" s="41" t="n">
        <v>0</v>
      </c>
      <c r="F1416" s="41" t="n">
        <v>0</v>
      </c>
      <c r="G1416" s="41" t="n">
        <v>0</v>
      </c>
      <c r="H1416" s="41" t="n">
        <v>0</v>
      </c>
      <c r="I1416" s="41" t="n">
        <v>0</v>
      </c>
      <c r="J1416" s="41" t="n">
        <v>0</v>
      </c>
      <c r="K1416" s="41" t="n">
        <v>0</v>
      </c>
      <c r="L1416" s="41" t="n">
        <v>0</v>
      </c>
    </row>
    <row r="1417" customFormat="false" ht="15.75" hidden="false" customHeight="false" outlineLevel="0" collapsed="false">
      <c r="B1417" s="39" t="s">
        <v>1537</v>
      </c>
      <c r="C1417" s="40" t="str">
        <f aca="false">IF(B1417="","",IFERROR(INDEX('CLM &amp; IM Mapping'!$B$2:$B$270,MATCH(TRIM(B1417),'CLM &amp; IM Mapping'!$A$2:$A$270,0)),"Not Mapped"))</f>
        <v>Not Mapped</v>
      </c>
      <c r="D1417" s="40" t="str">
        <f aca="false">IF(B1417="","",IFERROR(INDEX('CLM &amp; IM Mapping'!$C$2:$C$270,MATCH(TRIM(B1417),'CLM &amp; IM Mapping'!$A$2:$A$270,0)),"Not Mapped"))</f>
        <v>Not Mapped</v>
      </c>
      <c r="E1417" s="41" t="n">
        <v>0</v>
      </c>
      <c r="F1417" s="41" t="n">
        <v>0</v>
      </c>
      <c r="G1417" s="41" t="n">
        <v>0</v>
      </c>
      <c r="H1417" s="41" t="n">
        <v>0</v>
      </c>
      <c r="I1417" s="41" t="n">
        <v>0</v>
      </c>
      <c r="J1417" s="41" t="n">
        <v>0</v>
      </c>
      <c r="K1417" s="41" t="n">
        <v>0</v>
      </c>
      <c r="L1417" s="41" t="n">
        <v>0</v>
      </c>
    </row>
    <row r="1418" customFormat="false" ht="15.75" hidden="false" customHeight="false" outlineLevel="0" collapsed="false">
      <c r="B1418" s="39" t="s">
        <v>1538</v>
      </c>
      <c r="C1418" s="40" t="str">
        <f aca="false">IF(B1418="","",IFERROR(INDEX('CLM &amp; IM Mapping'!$B$2:$B$270,MATCH(TRIM(B1418),'CLM &amp; IM Mapping'!$A$2:$A$270,0)),"Not Mapped"))</f>
        <v>Not Mapped</v>
      </c>
      <c r="D1418" s="40" t="str">
        <f aca="false">IF(B1418="","",IFERROR(INDEX('CLM &amp; IM Mapping'!$C$2:$C$270,MATCH(TRIM(B1418),'CLM &amp; IM Mapping'!$A$2:$A$270,0)),"Not Mapped"))</f>
        <v>Not Mapped</v>
      </c>
      <c r="E1418" s="41" t="n">
        <v>1590</v>
      </c>
      <c r="F1418" s="41" t="n">
        <v>1006</v>
      </c>
      <c r="G1418" s="41" t="n">
        <v>471</v>
      </c>
      <c r="H1418" s="41" t="n">
        <v>77</v>
      </c>
      <c r="I1418" s="41" t="n">
        <v>0</v>
      </c>
      <c r="J1418" s="41" t="n">
        <v>36</v>
      </c>
      <c r="K1418" s="41" t="n">
        <v>0</v>
      </c>
      <c r="L1418" s="41" t="n">
        <v>113</v>
      </c>
    </row>
    <row r="1419" customFormat="false" ht="15.75" hidden="false" customHeight="false" outlineLevel="0" collapsed="false">
      <c r="B1419" s="39" t="s">
        <v>1539</v>
      </c>
      <c r="C1419" s="40" t="str">
        <f aca="false">IF(B1419="","",IFERROR(INDEX('CLM &amp; IM Mapping'!$B$2:$B$270,MATCH(TRIM(B1419),'CLM &amp; IM Mapping'!$A$2:$A$270,0)),"Not Mapped"))</f>
        <v>Not Mapped</v>
      </c>
      <c r="D1419" s="40" t="str">
        <f aca="false">IF(B1419="","",IFERROR(INDEX('CLM &amp; IM Mapping'!$C$2:$C$270,MATCH(TRIM(B1419),'CLM &amp; IM Mapping'!$A$2:$A$270,0)),"Not Mapped"))</f>
        <v>Not Mapped</v>
      </c>
      <c r="E1419" s="41" t="n">
        <v>0</v>
      </c>
      <c r="F1419" s="41" t="n">
        <v>0</v>
      </c>
      <c r="G1419" s="41" t="n">
        <v>0</v>
      </c>
      <c r="H1419" s="41" t="n">
        <v>0</v>
      </c>
      <c r="I1419" s="41" t="n">
        <v>0</v>
      </c>
      <c r="J1419" s="41" t="n">
        <v>0</v>
      </c>
      <c r="K1419" s="41" t="n">
        <v>0</v>
      </c>
      <c r="L1419" s="41" t="n">
        <v>0</v>
      </c>
    </row>
    <row r="1420" customFormat="false" ht="15.75" hidden="false" customHeight="false" outlineLevel="0" collapsed="false">
      <c r="B1420" s="39" t="s">
        <v>1540</v>
      </c>
      <c r="C1420" s="40" t="str">
        <f aca="false">IF(B1420="","",IFERROR(INDEX('CLM &amp; IM Mapping'!$B$2:$B$270,MATCH(TRIM(B1420),'CLM &amp; IM Mapping'!$A$2:$A$270,0)),"Not Mapped"))</f>
        <v>Not Mapped</v>
      </c>
      <c r="D1420" s="40" t="str">
        <f aca="false">IF(B1420="","",IFERROR(INDEX('CLM &amp; IM Mapping'!$C$2:$C$270,MATCH(TRIM(B1420),'CLM &amp; IM Mapping'!$A$2:$A$270,0)),"Not Mapped"))</f>
        <v>Not Mapped</v>
      </c>
      <c r="E1420" s="41" t="n">
        <v>1120</v>
      </c>
      <c r="F1420" s="41" t="n">
        <v>0</v>
      </c>
      <c r="G1420" s="41" t="n">
        <v>1120</v>
      </c>
      <c r="H1420" s="41" t="n">
        <v>0</v>
      </c>
      <c r="I1420" s="41" t="n">
        <v>0</v>
      </c>
      <c r="J1420" s="41" t="n">
        <v>0</v>
      </c>
      <c r="K1420" s="41" t="n">
        <v>0</v>
      </c>
      <c r="L1420" s="41" t="n">
        <v>0</v>
      </c>
    </row>
    <row r="1421" customFormat="false" ht="15.75" hidden="false" customHeight="false" outlineLevel="0" collapsed="false">
      <c r="B1421" s="23" t="s">
        <v>1541</v>
      </c>
      <c r="C1421" s="44" t="str">
        <f aca="false">IF(B1421="","",IFERROR(INDEX('CLM &amp; IM Mapping'!$B$2:$B$270,MATCH(TRIM(B1421),'CLM &amp; IM Mapping'!$A$2:$A$270,0)),"Not Mapped"))</f>
        <v>Not Mapped</v>
      </c>
      <c r="D1421" s="44" t="str">
        <f aca="false">IF(B1421="","",IFERROR(INDEX('CLM &amp; IM Mapping'!$C$2:$C$270,MATCH(TRIM(B1421),'CLM &amp; IM Mapping'!$A$2:$A$270,0)),"Not Mapped"))</f>
        <v>Not Mapped</v>
      </c>
      <c r="E1421" s="41" t="n">
        <v>2592</v>
      </c>
      <c r="F1421" s="41" t="n">
        <v>0</v>
      </c>
      <c r="G1421" s="41" t="n">
        <v>1440</v>
      </c>
      <c r="H1421" s="41" t="n">
        <v>1152</v>
      </c>
      <c r="I1421" s="41" t="n">
        <v>0</v>
      </c>
      <c r="J1421" s="41" t="n">
        <v>0</v>
      </c>
      <c r="K1421" s="41" t="n">
        <v>0</v>
      </c>
      <c r="L1421" s="41" t="n">
        <v>1152</v>
      </c>
    </row>
    <row r="1422" customFormat="false" ht="15.75" hidden="false" customHeight="false" outlineLevel="0" collapsed="false">
      <c r="B1422" s="39" t="s">
        <v>1542</v>
      </c>
      <c r="C1422" s="40" t="str">
        <f aca="false">IF(B1422="","",IFERROR(INDEX('CLM &amp; IM Mapping'!$B$2:$B$270,MATCH(TRIM(B1422),'CLM &amp; IM Mapping'!$A$2:$A$270,0)),"Not Mapped"))</f>
        <v>Not Mapped</v>
      </c>
      <c r="D1422" s="40" t="str">
        <f aca="false">IF(B1422="","",IFERROR(INDEX('CLM &amp; IM Mapping'!$C$2:$C$270,MATCH(TRIM(B1422),'CLM &amp; IM Mapping'!$A$2:$A$270,0)),"Not Mapped"))</f>
        <v>Not Mapped</v>
      </c>
      <c r="E1422" s="41" t="n">
        <v>0</v>
      </c>
      <c r="F1422" s="41" t="n">
        <v>0</v>
      </c>
      <c r="G1422" s="41" t="n">
        <v>0</v>
      </c>
      <c r="H1422" s="41" t="n">
        <v>0</v>
      </c>
      <c r="I1422" s="41" t="n">
        <v>0</v>
      </c>
      <c r="J1422" s="41" t="n">
        <v>0</v>
      </c>
      <c r="K1422" s="41" t="n">
        <v>0</v>
      </c>
      <c r="L1422" s="41" t="n">
        <v>0</v>
      </c>
    </row>
    <row r="1423" customFormat="false" ht="15.75" hidden="false" customHeight="false" outlineLevel="0" collapsed="false">
      <c r="B1423" s="39" t="s">
        <v>1543</v>
      </c>
      <c r="C1423" s="40" t="str">
        <f aca="false">IF(B1423="","",IFERROR(INDEX('CLM &amp; IM Mapping'!$B$2:$B$270,MATCH(TRIM(B1423),'CLM &amp; IM Mapping'!$A$2:$A$270,0)),"Not Mapped"))</f>
        <v>Not Mapped</v>
      </c>
      <c r="D1423" s="40" t="str">
        <f aca="false">IF(B1423="","",IFERROR(INDEX('CLM &amp; IM Mapping'!$C$2:$C$270,MATCH(TRIM(B1423),'CLM &amp; IM Mapping'!$A$2:$A$270,0)),"Not Mapped"))</f>
        <v>Not Mapped</v>
      </c>
      <c r="E1423" s="41" t="n">
        <v>1652</v>
      </c>
      <c r="F1423" s="41" t="n">
        <v>45</v>
      </c>
      <c r="G1423" s="41" t="n">
        <v>1607</v>
      </c>
      <c r="H1423" s="41" t="n">
        <v>0</v>
      </c>
      <c r="I1423" s="41" t="n">
        <v>0</v>
      </c>
      <c r="J1423" s="41" t="n">
        <v>0</v>
      </c>
      <c r="K1423" s="41" t="n">
        <v>0</v>
      </c>
      <c r="L1423" s="41" t="n">
        <v>0</v>
      </c>
    </row>
    <row r="1424" customFormat="false" ht="15.75" hidden="false" customHeight="false" outlineLevel="0" collapsed="false">
      <c r="B1424" s="39" t="s">
        <v>1544</v>
      </c>
      <c r="C1424" s="40" t="str">
        <f aca="false">IF(B1424="","",IFERROR(INDEX('CLM &amp; IM Mapping'!$B$2:$B$270,MATCH(TRIM(B1424),'CLM &amp; IM Mapping'!$A$2:$A$270,0)),"Not Mapped"))</f>
        <v>Not Mapped</v>
      </c>
      <c r="D1424" s="40" t="str">
        <f aca="false">IF(B1424="","",IFERROR(INDEX('CLM &amp; IM Mapping'!$C$2:$C$270,MATCH(TRIM(B1424),'CLM &amp; IM Mapping'!$A$2:$A$270,0)),"Not Mapped"))</f>
        <v>Not Mapped</v>
      </c>
      <c r="E1424" s="41" t="n">
        <v>0</v>
      </c>
      <c r="F1424" s="41" t="n">
        <v>0</v>
      </c>
      <c r="G1424" s="41" t="n">
        <v>0</v>
      </c>
      <c r="H1424" s="41" t="n">
        <v>0</v>
      </c>
      <c r="I1424" s="41" t="n">
        <v>0</v>
      </c>
      <c r="J1424" s="41" t="n">
        <v>0</v>
      </c>
      <c r="K1424" s="41" t="n">
        <v>0</v>
      </c>
      <c r="L1424" s="41" t="n">
        <v>0</v>
      </c>
    </row>
    <row r="1425" customFormat="false" ht="15.75" hidden="false" customHeight="false" outlineLevel="0" collapsed="false">
      <c r="B1425" s="39" t="s">
        <v>1545</v>
      </c>
      <c r="C1425" s="40" t="str">
        <f aca="false">IF(B1425="","",IFERROR(INDEX('CLM &amp; IM Mapping'!$B$2:$B$270,MATCH(TRIM(B1425),'CLM &amp; IM Mapping'!$A$2:$A$270,0)),"Not Mapped"))</f>
        <v>Not Mapped</v>
      </c>
      <c r="D1425" s="40" t="str">
        <f aca="false">IF(B1425="","",IFERROR(INDEX('CLM &amp; IM Mapping'!$C$2:$C$270,MATCH(TRIM(B1425),'CLM &amp; IM Mapping'!$A$2:$A$270,0)),"Not Mapped"))</f>
        <v>Not Mapped</v>
      </c>
      <c r="E1425" s="41" t="n">
        <v>3647</v>
      </c>
      <c r="F1425" s="41" t="n">
        <v>0</v>
      </c>
      <c r="G1425" s="41" t="n">
        <v>0</v>
      </c>
      <c r="H1425" s="41" t="n">
        <v>3647</v>
      </c>
      <c r="I1425" s="41" t="n">
        <v>0</v>
      </c>
      <c r="J1425" s="41" t="n">
        <v>0</v>
      </c>
      <c r="K1425" s="41" t="n">
        <v>0</v>
      </c>
      <c r="L1425" s="41" t="n">
        <v>3647</v>
      </c>
    </row>
    <row r="1426" customFormat="false" ht="15.75" hidden="false" customHeight="false" outlineLevel="0" collapsed="false">
      <c r="B1426" s="39" t="s">
        <v>1546</v>
      </c>
      <c r="C1426" s="40" t="str">
        <f aca="false">IF(B1426="","",IFERROR(INDEX('CLM &amp; IM Mapping'!$B$2:$B$270,MATCH(TRIM(B1426),'CLM &amp; IM Mapping'!$A$2:$A$270,0)),"Not Mapped"))</f>
        <v>Not Mapped</v>
      </c>
      <c r="D1426" s="40" t="str">
        <f aca="false">IF(B1426="","",IFERROR(INDEX('CLM &amp; IM Mapping'!$C$2:$C$270,MATCH(TRIM(B1426),'CLM &amp; IM Mapping'!$A$2:$A$270,0)),"Not Mapped"))</f>
        <v>Not Mapped</v>
      </c>
      <c r="E1426" s="41" t="n">
        <v>0</v>
      </c>
      <c r="F1426" s="41" t="n">
        <v>0</v>
      </c>
      <c r="G1426" s="41" t="n">
        <v>0</v>
      </c>
      <c r="H1426" s="41" t="n">
        <v>0</v>
      </c>
      <c r="I1426" s="41" t="n">
        <v>0</v>
      </c>
      <c r="J1426" s="41" t="n">
        <v>0</v>
      </c>
      <c r="K1426" s="41" t="n">
        <v>0</v>
      </c>
      <c r="L1426" s="41" t="n">
        <v>0</v>
      </c>
    </row>
    <row r="1427" customFormat="false" ht="15.75" hidden="false" customHeight="false" outlineLevel="0" collapsed="false">
      <c r="B1427" s="39" t="s">
        <v>1547</v>
      </c>
      <c r="C1427" s="40" t="str">
        <f aca="false">IF(B1427="","",IFERROR(INDEX('CLM &amp; IM Mapping'!$B$2:$B$270,MATCH(TRIM(B1427),'CLM &amp; IM Mapping'!$A$2:$A$270,0)),"Not Mapped"))</f>
        <v>Not Mapped</v>
      </c>
      <c r="D1427" s="40" t="str">
        <f aca="false">IF(B1427="","",IFERROR(INDEX('CLM &amp; IM Mapping'!$C$2:$C$270,MATCH(TRIM(B1427),'CLM &amp; IM Mapping'!$A$2:$A$270,0)),"Not Mapped"))</f>
        <v>Not Mapped</v>
      </c>
      <c r="E1427" s="41" t="n">
        <v>0</v>
      </c>
      <c r="F1427" s="41" t="n">
        <v>0</v>
      </c>
      <c r="G1427" s="41" t="n">
        <v>0</v>
      </c>
      <c r="H1427" s="41" t="n">
        <v>0</v>
      </c>
      <c r="I1427" s="41" t="n">
        <v>0</v>
      </c>
      <c r="J1427" s="41" t="n">
        <v>0</v>
      </c>
      <c r="K1427" s="41" t="n">
        <v>0</v>
      </c>
      <c r="L1427" s="41" t="n">
        <v>0</v>
      </c>
    </row>
    <row r="1428" customFormat="false" ht="15.75" hidden="false" customHeight="false" outlineLevel="0" collapsed="false">
      <c r="B1428" s="39" t="s">
        <v>1548</v>
      </c>
      <c r="C1428" s="40" t="str">
        <f aca="false">IF(B1428="","",IFERROR(INDEX('CLM &amp; IM Mapping'!$B$2:$B$270,MATCH(TRIM(B1428),'CLM &amp; IM Mapping'!$A$2:$A$270,0)),"Not Mapped"))</f>
        <v>Not Mapped</v>
      </c>
      <c r="D1428" s="40" t="str">
        <f aca="false">IF(B1428="","",IFERROR(INDEX('CLM &amp; IM Mapping'!$C$2:$C$270,MATCH(TRIM(B1428),'CLM &amp; IM Mapping'!$A$2:$A$270,0)),"Not Mapped"))</f>
        <v>Not Mapped</v>
      </c>
      <c r="E1428" s="41" t="n">
        <v>0</v>
      </c>
      <c r="F1428" s="41" t="n">
        <v>0</v>
      </c>
      <c r="G1428" s="41" t="n">
        <v>0</v>
      </c>
      <c r="H1428" s="41" t="n">
        <v>0</v>
      </c>
      <c r="I1428" s="41" t="n">
        <v>0</v>
      </c>
      <c r="J1428" s="41" t="n">
        <v>0</v>
      </c>
      <c r="K1428" s="41" t="n">
        <v>0</v>
      </c>
      <c r="L1428" s="41" t="n">
        <v>0</v>
      </c>
    </row>
    <row r="1429" customFormat="false" ht="15.75" hidden="false" customHeight="false" outlineLevel="0" collapsed="false">
      <c r="B1429" s="39" t="s">
        <v>1549</v>
      </c>
      <c r="C1429" s="40" t="str">
        <f aca="false">IF(B1429="","",IFERROR(INDEX('CLM &amp; IM Mapping'!$B$2:$B$270,MATCH(TRIM(B1429),'CLM &amp; IM Mapping'!$A$2:$A$270,0)),"Not Mapped"))</f>
        <v>Not Mapped</v>
      </c>
      <c r="D1429" s="40" t="str">
        <f aca="false">IF(B1429="","",IFERROR(INDEX('CLM &amp; IM Mapping'!$C$2:$C$270,MATCH(TRIM(B1429),'CLM &amp; IM Mapping'!$A$2:$A$270,0)),"Not Mapped"))</f>
        <v>Not Mapped</v>
      </c>
      <c r="E1429" s="41" t="n">
        <v>0</v>
      </c>
      <c r="F1429" s="41" t="n">
        <v>0</v>
      </c>
      <c r="G1429" s="41" t="n">
        <v>0</v>
      </c>
      <c r="H1429" s="41" t="n">
        <v>0</v>
      </c>
      <c r="I1429" s="41" t="n">
        <v>0</v>
      </c>
      <c r="J1429" s="41" t="n">
        <v>0</v>
      </c>
      <c r="K1429" s="41" t="n">
        <v>0</v>
      </c>
      <c r="L1429" s="41" t="n">
        <v>0</v>
      </c>
    </row>
    <row r="1430" customFormat="false" ht="15.75" hidden="false" customHeight="false" outlineLevel="0" collapsed="false">
      <c r="B1430" s="39" t="s">
        <v>1550</v>
      </c>
      <c r="C1430" s="40" t="str">
        <f aca="false">IF(B1430="","",IFERROR(INDEX('CLM &amp; IM Mapping'!$B$2:$B$270,MATCH(TRIM(B1430),'CLM &amp; IM Mapping'!$A$2:$A$270,0)),"Not Mapped"))</f>
        <v>Not Mapped</v>
      </c>
      <c r="D1430" s="40" t="str">
        <f aca="false">IF(B1430="","",IFERROR(INDEX('CLM &amp; IM Mapping'!$C$2:$C$270,MATCH(TRIM(B1430),'CLM &amp; IM Mapping'!$A$2:$A$270,0)),"Not Mapped"))</f>
        <v>Not Mapped</v>
      </c>
      <c r="E1430" s="41" t="n">
        <v>5090</v>
      </c>
      <c r="F1430" s="41" t="n">
        <v>0</v>
      </c>
      <c r="G1430" s="41" t="n">
        <v>5090</v>
      </c>
      <c r="H1430" s="41" t="n">
        <v>0</v>
      </c>
      <c r="I1430" s="41" t="n">
        <v>0</v>
      </c>
      <c r="J1430" s="41" t="n">
        <v>0</v>
      </c>
      <c r="K1430" s="41" t="n">
        <v>0</v>
      </c>
      <c r="L1430" s="41" t="n">
        <v>0</v>
      </c>
    </row>
    <row r="1431" customFormat="false" ht="15.75" hidden="false" customHeight="false" outlineLevel="0" collapsed="false">
      <c r="B1431" s="39" t="s">
        <v>1551</v>
      </c>
      <c r="C1431" s="40" t="str">
        <f aca="false">IF(B1431="","",IFERROR(INDEX('CLM &amp; IM Mapping'!$B$2:$B$270,MATCH(TRIM(B1431),'CLM &amp; IM Mapping'!$A$2:$A$270,0)),"Not Mapped"))</f>
        <v>Not Mapped</v>
      </c>
      <c r="D1431" s="40" t="str">
        <f aca="false">IF(B1431="","",IFERROR(INDEX('CLM &amp; IM Mapping'!$C$2:$C$270,MATCH(TRIM(B1431),'CLM &amp; IM Mapping'!$A$2:$A$270,0)),"Not Mapped"))</f>
        <v>Not Mapped</v>
      </c>
      <c r="E1431" s="41" t="n">
        <v>0</v>
      </c>
      <c r="F1431" s="41" t="n">
        <v>0</v>
      </c>
      <c r="G1431" s="41" t="n">
        <v>0</v>
      </c>
      <c r="H1431" s="41" t="n">
        <v>0</v>
      </c>
      <c r="I1431" s="41" t="n">
        <v>0</v>
      </c>
      <c r="J1431" s="41" t="n">
        <v>0</v>
      </c>
      <c r="K1431" s="41" t="n">
        <v>0</v>
      </c>
      <c r="L1431" s="41" t="n">
        <v>0</v>
      </c>
    </row>
    <row r="1432" customFormat="false" ht="15.75" hidden="false" customHeight="false" outlineLevel="0" collapsed="false">
      <c r="B1432" s="39" t="s">
        <v>1552</v>
      </c>
      <c r="C1432" s="40" t="str">
        <f aca="false">IF(B1432="","",IFERROR(INDEX('CLM &amp; IM Mapping'!$B$2:$B$270,MATCH(TRIM(B1432),'CLM &amp; IM Mapping'!$A$2:$A$270,0)),"Not Mapped"))</f>
        <v>Not Mapped</v>
      </c>
      <c r="D1432" s="40" t="str">
        <f aca="false">IF(B1432="","",IFERROR(INDEX('CLM &amp; IM Mapping'!$C$2:$C$270,MATCH(TRIM(B1432),'CLM &amp; IM Mapping'!$A$2:$A$270,0)),"Not Mapped"))</f>
        <v>Not Mapped</v>
      </c>
      <c r="E1432" s="41" t="n">
        <v>0</v>
      </c>
      <c r="F1432" s="41" t="n">
        <v>0</v>
      </c>
      <c r="G1432" s="41" t="n">
        <v>0</v>
      </c>
      <c r="H1432" s="41" t="n">
        <v>0</v>
      </c>
      <c r="I1432" s="41" t="n">
        <v>0</v>
      </c>
      <c r="J1432" s="41" t="n">
        <v>0</v>
      </c>
      <c r="K1432" s="41" t="n">
        <v>0</v>
      </c>
      <c r="L1432" s="41" t="n">
        <v>0</v>
      </c>
    </row>
    <row r="1433" customFormat="false" ht="15.75" hidden="false" customHeight="false" outlineLevel="0" collapsed="false">
      <c r="B1433" s="39" t="s">
        <v>1553</v>
      </c>
      <c r="C1433" s="40" t="str">
        <f aca="false">IF(B1433="","",IFERROR(INDEX('CLM &amp; IM Mapping'!$B$2:$B$270,MATCH(TRIM(B1433),'CLM &amp; IM Mapping'!$A$2:$A$270,0)),"Not Mapped"))</f>
        <v>Not Mapped</v>
      </c>
      <c r="D1433" s="40" t="str">
        <f aca="false">IF(B1433="","",IFERROR(INDEX('CLM &amp; IM Mapping'!$C$2:$C$270,MATCH(TRIM(B1433),'CLM &amp; IM Mapping'!$A$2:$A$270,0)),"Not Mapped"))</f>
        <v>Not Mapped</v>
      </c>
      <c r="E1433" s="41" t="n">
        <v>2538</v>
      </c>
      <c r="F1433" s="41" t="n">
        <v>0</v>
      </c>
      <c r="G1433" s="41" t="n">
        <v>0</v>
      </c>
      <c r="H1433" s="41" t="n">
        <v>2538</v>
      </c>
      <c r="I1433" s="41" t="n">
        <v>0</v>
      </c>
      <c r="J1433" s="41" t="n">
        <v>0</v>
      </c>
      <c r="K1433" s="41" t="n">
        <v>0</v>
      </c>
      <c r="L1433" s="41" t="n">
        <v>2538</v>
      </c>
    </row>
    <row r="1434" customFormat="false" ht="15.75" hidden="false" customHeight="false" outlineLevel="0" collapsed="false">
      <c r="B1434" s="39" t="s">
        <v>1554</v>
      </c>
      <c r="C1434" s="40" t="str">
        <f aca="false">IF(B1434="","",IFERROR(INDEX('CLM &amp; IM Mapping'!$B$2:$B$270,MATCH(TRIM(B1434),'CLM &amp; IM Mapping'!$A$2:$A$270,0)),"Not Mapped"))</f>
        <v>Not Mapped</v>
      </c>
      <c r="D1434" s="40" t="str">
        <f aca="false">IF(B1434="","",IFERROR(INDEX('CLM &amp; IM Mapping'!$C$2:$C$270,MATCH(TRIM(B1434),'CLM &amp; IM Mapping'!$A$2:$A$270,0)),"Not Mapped"))</f>
        <v>Not Mapped</v>
      </c>
      <c r="E1434" s="41" t="n">
        <v>0</v>
      </c>
      <c r="F1434" s="41" t="n">
        <v>0</v>
      </c>
      <c r="G1434" s="41" t="n">
        <v>0</v>
      </c>
      <c r="H1434" s="41" t="n">
        <v>0</v>
      </c>
      <c r="I1434" s="41" t="n">
        <v>0</v>
      </c>
      <c r="J1434" s="41" t="n">
        <v>0</v>
      </c>
      <c r="K1434" s="41" t="n">
        <v>0</v>
      </c>
      <c r="L1434" s="41" t="n">
        <v>0</v>
      </c>
    </row>
    <row r="1435" customFormat="false" ht="15.75" hidden="false" customHeight="false" outlineLevel="0" collapsed="false">
      <c r="B1435" s="39" t="s">
        <v>1555</v>
      </c>
      <c r="C1435" s="40" t="str">
        <f aca="false">IF(B1435="","",IFERROR(INDEX('CLM &amp; IM Mapping'!$B$2:$B$270,MATCH(TRIM(B1435),'CLM &amp; IM Mapping'!$A$2:$A$270,0)),"Not Mapped"))</f>
        <v>Not Mapped</v>
      </c>
      <c r="D1435" s="40" t="str">
        <f aca="false">IF(B1435="","",IFERROR(INDEX('CLM &amp; IM Mapping'!$C$2:$C$270,MATCH(TRIM(B1435),'CLM &amp; IM Mapping'!$A$2:$A$270,0)),"Not Mapped"))</f>
        <v>Not Mapped</v>
      </c>
      <c r="E1435" s="41" t="n">
        <v>2226</v>
      </c>
      <c r="F1435" s="41" t="n">
        <v>0</v>
      </c>
      <c r="G1435" s="41" t="n">
        <v>2224</v>
      </c>
      <c r="H1435" s="41" t="n">
        <v>0</v>
      </c>
      <c r="I1435" s="41" t="n">
        <v>0</v>
      </c>
      <c r="J1435" s="41" t="n">
        <v>0</v>
      </c>
      <c r="K1435" s="41" t="n">
        <v>2</v>
      </c>
      <c r="L1435" s="41" t="n">
        <v>2</v>
      </c>
    </row>
    <row r="1436" customFormat="false" ht="15.75" hidden="false" customHeight="false" outlineLevel="0" collapsed="false">
      <c r="B1436" s="39" t="s">
        <v>1556</v>
      </c>
      <c r="C1436" s="40" t="str">
        <f aca="false">IF(B1436="","",IFERROR(INDEX('CLM &amp; IM Mapping'!$B$2:$B$270,MATCH(TRIM(B1436),'CLM &amp; IM Mapping'!$A$2:$A$270,0)),"Not Mapped"))</f>
        <v>Not Mapped</v>
      </c>
      <c r="D1436" s="40" t="str">
        <f aca="false">IF(B1436="","",IFERROR(INDEX('CLM &amp; IM Mapping'!$C$2:$C$270,MATCH(TRIM(B1436),'CLM &amp; IM Mapping'!$A$2:$A$270,0)),"Not Mapped"))</f>
        <v>Not Mapped</v>
      </c>
      <c r="E1436" s="41" t="n">
        <v>0</v>
      </c>
      <c r="F1436" s="41" t="n">
        <v>0</v>
      </c>
      <c r="G1436" s="41" t="n">
        <v>0</v>
      </c>
      <c r="H1436" s="41" t="n">
        <v>0</v>
      </c>
      <c r="I1436" s="41" t="n">
        <v>0</v>
      </c>
      <c r="J1436" s="41" t="n">
        <v>0</v>
      </c>
      <c r="K1436" s="41" t="n">
        <v>0</v>
      </c>
      <c r="L1436" s="41" t="n">
        <v>0</v>
      </c>
    </row>
    <row r="1437" customFormat="false" ht="15.75" hidden="false" customHeight="false" outlineLevel="0" collapsed="false">
      <c r="B1437" s="39" t="s">
        <v>1557</v>
      </c>
      <c r="C1437" s="40" t="str">
        <f aca="false">IF(B1437="","",IFERROR(INDEX('CLM &amp; IM Mapping'!$B$2:$B$270,MATCH(TRIM(B1437),'CLM &amp; IM Mapping'!$A$2:$A$270,0)),"Not Mapped"))</f>
        <v>Not Mapped</v>
      </c>
      <c r="D1437" s="40" t="str">
        <f aca="false">IF(B1437="","",IFERROR(INDEX('CLM &amp; IM Mapping'!$C$2:$C$270,MATCH(TRIM(B1437),'CLM &amp; IM Mapping'!$A$2:$A$270,0)),"Not Mapped"))</f>
        <v>Not Mapped</v>
      </c>
      <c r="E1437" s="41" t="n">
        <v>17</v>
      </c>
      <c r="F1437" s="41" t="n">
        <v>2</v>
      </c>
      <c r="G1437" s="41" t="n">
        <v>0</v>
      </c>
      <c r="H1437" s="41" t="n">
        <v>0</v>
      </c>
      <c r="I1437" s="41" t="n">
        <v>3</v>
      </c>
      <c r="J1437" s="41" t="n">
        <v>0</v>
      </c>
      <c r="K1437" s="41" t="n">
        <v>12</v>
      </c>
      <c r="L1437" s="41" t="n">
        <v>15</v>
      </c>
    </row>
    <row r="1438" customFormat="false" ht="15.75" hidden="false" customHeight="false" outlineLevel="0" collapsed="false">
      <c r="B1438" s="39" t="s">
        <v>1558</v>
      </c>
      <c r="C1438" s="40" t="str">
        <f aca="false">IF(B1438="","",IFERROR(INDEX('CLM &amp; IM Mapping'!$B$2:$B$270,MATCH(TRIM(B1438),'CLM &amp; IM Mapping'!$A$2:$A$270,0)),"Not Mapped"))</f>
        <v>Not Mapped</v>
      </c>
      <c r="D1438" s="40" t="str">
        <f aca="false">IF(B1438="","",IFERROR(INDEX('CLM &amp; IM Mapping'!$C$2:$C$270,MATCH(TRIM(B1438),'CLM &amp; IM Mapping'!$A$2:$A$270,0)),"Not Mapped"))</f>
        <v>Not Mapped</v>
      </c>
      <c r="E1438" s="41" t="n">
        <v>6478</v>
      </c>
      <c r="F1438" s="41" t="n">
        <v>934</v>
      </c>
      <c r="G1438" s="41" t="n">
        <v>5544</v>
      </c>
      <c r="H1438" s="41" t="n">
        <v>0</v>
      </c>
      <c r="I1438" s="41" t="n">
        <v>0</v>
      </c>
      <c r="J1438" s="41" t="n">
        <v>0</v>
      </c>
      <c r="K1438" s="41" t="n">
        <v>0</v>
      </c>
      <c r="L1438" s="41" t="n">
        <v>0</v>
      </c>
    </row>
    <row r="1439" customFormat="false" ht="15.75" hidden="false" customHeight="false" outlineLevel="0" collapsed="false">
      <c r="B1439" s="39" t="s">
        <v>1559</v>
      </c>
      <c r="C1439" s="40" t="str">
        <f aca="false">IF(B1439="","",IFERROR(INDEX('CLM &amp; IM Mapping'!$B$2:$B$270,MATCH(TRIM(B1439),'CLM &amp; IM Mapping'!$A$2:$A$270,0)),"Not Mapped"))</f>
        <v>Not Mapped</v>
      </c>
      <c r="D1439" s="40" t="str">
        <f aca="false">IF(B1439="","",IFERROR(INDEX('CLM &amp; IM Mapping'!$C$2:$C$270,MATCH(TRIM(B1439),'CLM &amp; IM Mapping'!$A$2:$A$270,0)),"Not Mapped"))</f>
        <v>Not Mapped</v>
      </c>
      <c r="E1439" s="41" t="n">
        <v>892</v>
      </c>
      <c r="F1439" s="41" t="n">
        <v>0</v>
      </c>
      <c r="G1439" s="41" t="n">
        <v>0</v>
      </c>
      <c r="H1439" s="41" t="n">
        <v>892</v>
      </c>
      <c r="I1439" s="41" t="n">
        <v>0</v>
      </c>
      <c r="J1439" s="41" t="n">
        <v>0</v>
      </c>
      <c r="K1439" s="41" t="n">
        <v>0</v>
      </c>
      <c r="L1439" s="41" t="n">
        <v>0</v>
      </c>
    </row>
    <row r="1440" customFormat="false" ht="15.75" hidden="false" customHeight="false" outlineLevel="0" collapsed="false">
      <c r="B1440" s="39" t="s">
        <v>1560</v>
      </c>
      <c r="C1440" s="40" t="str">
        <f aca="false">IF(B1440="","",IFERROR(INDEX('CLM &amp; IM Mapping'!$B$2:$B$270,MATCH(TRIM(B1440),'CLM &amp; IM Mapping'!$A$2:$A$270,0)),"Not Mapped"))</f>
        <v>Not Mapped</v>
      </c>
      <c r="D1440" s="40" t="str">
        <f aca="false">IF(B1440="","",IFERROR(INDEX('CLM &amp; IM Mapping'!$C$2:$C$270,MATCH(TRIM(B1440),'CLM &amp; IM Mapping'!$A$2:$A$270,0)),"Not Mapped"))</f>
        <v>Not Mapped</v>
      </c>
      <c r="E1440" s="41" t="n">
        <v>802</v>
      </c>
      <c r="F1440" s="41" t="n">
        <v>0</v>
      </c>
      <c r="G1440" s="41" t="n">
        <v>0</v>
      </c>
      <c r="H1440" s="41" t="n">
        <v>802</v>
      </c>
      <c r="I1440" s="41" t="n">
        <v>0</v>
      </c>
      <c r="J1440" s="41" t="n">
        <v>0</v>
      </c>
      <c r="K1440" s="41" t="n">
        <v>0</v>
      </c>
      <c r="L1440" s="41" t="n">
        <v>802</v>
      </c>
    </row>
    <row r="1441" customFormat="false" ht="15.75" hidden="false" customHeight="false" outlineLevel="0" collapsed="false">
      <c r="B1441" s="39" t="s">
        <v>1561</v>
      </c>
      <c r="C1441" s="40" t="str">
        <f aca="false">IF(B1441="","",IFERROR(INDEX('CLM &amp; IM Mapping'!$B$2:$B$270,MATCH(TRIM(B1441),'CLM &amp; IM Mapping'!$A$2:$A$270,0)),"Not Mapped"))</f>
        <v>Not Mapped</v>
      </c>
      <c r="D1441" s="40" t="str">
        <f aca="false">IF(B1441="","",IFERROR(INDEX('CLM &amp; IM Mapping'!$C$2:$C$270,MATCH(TRIM(B1441),'CLM &amp; IM Mapping'!$A$2:$A$270,0)),"Not Mapped"))</f>
        <v>Not Mapped</v>
      </c>
      <c r="E1441" s="41" t="n">
        <v>0</v>
      </c>
      <c r="F1441" s="41" t="n">
        <v>0</v>
      </c>
      <c r="G1441" s="41" t="n">
        <v>0</v>
      </c>
      <c r="H1441" s="41" t="n">
        <v>0</v>
      </c>
      <c r="I1441" s="41" t="n">
        <v>0</v>
      </c>
      <c r="J1441" s="41" t="n">
        <v>0</v>
      </c>
      <c r="K1441" s="41" t="n">
        <v>0</v>
      </c>
      <c r="L1441" s="41" t="n">
        <v>0</v>
      </c>
    </row>
    <row r="1442" customFormat="false" ht="15.75" hidden="false" customHeight="false" outlineLevel="0" collapsed="false">
      <c r="B1442" s="39" t="s">
        <v>1562</v>
      </c>
      <c r="C1442" s="40" t="str">
        <f aca="false">IF(B1442="","",IFERROR(INDEX('CLM &amp; IM Mapping'!$B$2:$B$270,MATCH(TRIM(B1442),'CLM &amp; IM Mapping'!$A$2:$A$270,0)),"Not Mapped"))</f>
        <v>Not Mapped</v>
      </c>
      <c r="D1442" s="40" t="str">
        <f aca="false">IF(B1442="","",IFERROR(INDEX('CLM &amp; IM Mapping'!$C$2:$C$270,MATCH(TRIM(B1442),'CLM &amp; IM Mapping'!$A$2:$A$270,0)),"Not Mapped"))</f>
        <v>Not Mapped</v>
      </c>
      <c r="E1442" s="41" t="n">
        <v>0</v>
      </c>
      <c r="F1442" s="41" t="n">
        <v>0</v>
      </c>
      <c r="G1442" s="41" t="n">
        <v>0</v>
      </c>
      <c r="H1442" s="41" t="n">
        <v>0</v>
      </c>
      <c r="I1442" s="41" t="n">
        <v>0</v>
      </c>
      <c r="J1442" s="41" t="n">
        <v>0</v>
      </c>
      <c r="K1442" s="41" t="n">
        <v>0</v>
      </c>
      <c r="L1442" s="41" t="n">
        <v>0</v>
      </c>
    </row>
    <row r="1443" customFormat="false" ht="15.75" hidden="false" customHeight="false" outlineLevel="0" collapsed="false">
      <c r="B1443" s="39" t="s">
        <v>1563</v>
      </c>
      <c r="C1443" s="40" t="str">
        <f aca="false">IF(B1443="","",IFERROR(INDEX('CLM &amp; IM Mapping'!$B$2:$B$270,MATCH(TRIM(B1443),'CLM &amp; IM Mapping'!$A$2:$A$270,0)),"Not Mapped"))</f>
        <v>Not Mapped</v>
      </c>
      <c r="D1443" s="40" t="str">
        <f aca="false">IF(B1443="","",IFERROR(INDEX('CLM &amp; IM Mapping'!$C$2:$C$270,MATCH(TRIM(B1443),'CLM &amp; IM Mapping'!$A$2:$A$270,0)),"Not Mapped"))</f>
        <v>Not Mapped</v>
      </c>
      <c r="E1443" s="41" t="n">
        <v>2184</v>
      </c>
      <c r="F1443" s="41" t="n">
        <v>0</v>
      </c>
      <c r="G1443" s="41" t="n">
        <v>1528</v>
      </c>
      <c r="H1443" s="41" t="n">
        <v>8</v>
      </c>
      <c r="I1443" s="41" t="n">
        <v>648</v>
      </c>
      <c r="J1443" s="41" t="n">
        <v>0</v>
      </c>
      <c r="K1443" s="41" t="n">
        <v>0</v>
      </c>
      <c r="L1443" s="41" t="n">
        <v>656</v>
      </c>
    </row>
    <row r="1444" customFormat="false" ht="15.75" hidden="false" customHeight="false" outlineLevel="0" collapsed="false">
      <c r="B1444" s="39" t="s">
        <v>1564</v>
      </c>
      <c r="C1444" s="40" t="str">
        <f aca="false">IF(B1444="","",IFERROR(INDEX('CLM &amp; IM Mapping'!$B$2:$B$270,MATCH(TRIM(B1444),'CLM &amp; IM Mapping'!$A$2:$A$270,0)),"Not Mapped"))</f>
        <v>Not Mapped</v>
      </c>
      <c r="D1444" s="40" t="str">
        <f aca="false">IF(B1444="","",IFERROR(INDEX('CLM &amp; IM Mapping'!$C$2:$C$270,MATCH(TRIM(B1444),'CLM &amp; IM Mapping'!$A$2:$A$270,0)),"Not Mapped"))</f>
        <v>Not Mapped</v>
      </c>
      <c r="E1444" s="41" t="n">
        <v>2116</v>
      </c>
      <c r="F1444" s="41" t="n">
        <v>0</v>
      </c>
      <c r="G1444" s="41" t="n">
        <v>0</v>
      </c>
      <c r="H1444" s="41" t="n">
        <v>0</v>
      </c>
      <c r="I1444" s="41" t="n">
        <v>0</v>
      </c>
      <c r="J1444" s="41" t="n">
        <v>2104</v>
      </c>
      <c r="K1444" s="41" t="n">
        <v>12</v>
      </c>
      <c r="L1444" s="41" t="n">
        <v>2116</v>
      </c>
    </row>
    <row r="1445" customFormat="false" ht="15.75" hidden="false" customHeight="false" outlineLevel="0" collapsed="false">
      <c r="B1445" s="39" t="s">
        <v>1565</v>
      </c>
      <c r="C1445" s="40" t="str">
        <f aca="false">IF(B1445="","",IFERROR(INDEX('CLM &amp; IM Mapping'!$B$2:$B$270,MATCH(TRIM(B1445),'CLM &amp; IM Mapping'!$A$2:$A$270,0)),"Not Mapped"))</f>
        <v>Not Mapped</v>
      </c>
      <c r="D1445" s="40" t="str">
        <f aca="false">IF(B1445="","",IFERROR(INDEX('CLM &amp; IM Mapping'!$C$2:$C$270,MATCH(TRIM(B1445),'CLM &amp; IM Mapping'!$A$2:$A$270,0)),"Not Mapped"))</f>
        <v>Not Mapped</v>
      </c>
      <c r="E1445" s="41" t="n">
        <v>0</v>
      </c>
      <c r="F1445" s="41" t="n">
        <v>0</v>
      </c>
      <c r="G1445" s="41" t="n">
        <v>0</v>
      </c>
      <c r="H1445" s="41" t="n">
        <v>0</v>
      </c>
      <c r="I1445" s="41" t="n">
        <v>0</v>
      </c>
      <c r="J1445" s="41" t="n">
        <v>0</v>
      </c>
      <c r="K1445" s="41" t="n">
        <v>0</v>
      </c>
      <c r="L1445" s="41" t="n">
        <v>0</v>
      </c>
    </row>
    <row r="1446" customFormat="false" ht="15.75" hidden="false" customHeight="false" outlineLevel="0" collapsed="false">
      <c r="B1446" s="39" t="s">
        <v>1566</v>
      </c>
      <c r="C1446" s="40" t="str">
        <f aca="false">IF(B1446="","",IFERROR(INDEX('CLM &amp; IM Mapping'!$B$2:$B$270,MATCH(TRIM(B1446),'CLM &amp; IM Mapping'!$A$2:$A$270,0)),"Not Mapped"))</f>
        <v>Not Mapped</v>
      </c>
      <c r="D1446" s="40" t="str">
        <f aca="false">IF(B1446="","",IFERROR(INDEX('CLM &amp; IM Mapping'!$C$2:$C$270,MATCH(TRIM(B1446),'CLM &amp; IM Mapping'!$A$2:$A$270,0)),"Not Mapped"))</f>
        <v>Not Mapped</v>
      </c>
      <c r="E1446" s="41" t="n">
        <v>1595</v>
      </c>
      <c r="F1446" s="41" t="n">
        <v>0</v>
      </c>
      <c r="G1446" s="41" t="n">
        <v>1595</v>
      </c>
      <c r="H1446" s="41" t="n">
        <v>0</v>
      </c>
      <c r="I1446" s="41" t="n">
        <v>0</v>
      </c>
      <c r="J1446" s="41" t="n">
        <v>0</v>
      </c>
      <c r="K1446" s="41" t="n">
        <v>0</v>
      </c>
      <c r="L1446" s="41" t="n">
        <v>0</v>
      </c>
    </row>
    <row r="1447" customFormat="false" ht="15.75" hidden="false" customHeight="false" outlineLevel="0" collapsed="false">
      <c r="B1447" s="39" t="s">
        <v>1567</v>
      </c>
      <c r="C1447" s="40" t="str">
        <f aca="false">IF(B1447="","",IFERROR(INDEX('CLM &amp; IM Mapping'!$B$2:$B$270,MATCH(TRIM(B1447),'CLM &amp; IM Mapping'!$A$2:$A$270,0)),"Not Mapped"))</f>
        <v>Not Mapped</v>
      </c>
      <c r="D1447" s="40" t="str">
        <f aca="false">IF(B1447="","",IFERROR(INDEX('CLM &amp; IM Mapping'!$C$2:$C$270,MATCH(TRIM(B1447),'CLM &amp; IM Mapping'!$A$2:$A$270,0)),"Not Mapped"))</f>
        <v>Not Mapped</v>
      </c>
      <c r="E1447" s="41" t="n">
        <v>785</v>
      </c>
      <c r="F1447" s="41" t="n">
        <v>43</v>
      </c>
      <c r="G1447" s="41" t="n">
        <v>742</v>
      </c>
      <c r="H1447" s="41" t="n">
        <v>0</v>
      </c>
      <c r="I1447" s="41" t="n">
        <v>0</v>
      </c>
      <c r="J1447" s="41" t="n">
        <v>0</v>
      </c>
      <c r="K1447" s="41" t="n">
        <v>0</v>
      </c>
      <c r="L1447" s="41" t="n">
        <v>0</v>
      </c>
    </row>
    <row r="1448" customFormat="false" ht="15.75" hidden="false" customHeight="false" outlineLevel="0" collapsed="false">
      <c r="B1448" s="39" t="s">
        <v>1568</v>
      </c>
      <c r="C1448" s="40" t="str">
        <f aca="false">IF(B1448="","",IFERROR(INDEX('CLM &amp; IM Mapping'!$B$2:$B$270,MATCH(TRIM(B1448),'CLM &amp; IM Mapping'!$A$2:$A$270,0)),"Not Mapped"))</f>
        <v>Not Mapped</v>
      </c>
      <c r="D1448" s="40" t="str">
        <f aca="false">IF(B1448="","",IFERROR(INDEX('CLM &amp; IM Mapping'!$C$2:$C$270,MATCH(TRIM(B1448),'CLM &amp; IM Mapping'!$A$2:$A$270,0)),"Not Mapped"))</f>
        <v>Not Mapped</v>
      </c>
      <c r="E1448" s="41" t="n">
        <v>0</v>
      </c>
      <c r="F1448" s="41" t="n">
        <v>0</v>
      </c>
      <c r="G1448" s="41" t="n">
        <v>0</v>
      </c>
      <c r="H1448" s="41" t="n">
        <v>0</v>
      </c>
      <c r="I1448" s="41" t="n">
        <v>0</v>
      </c>
      <c r="J1448" s="41" t="n">
        <v>0</v>
      </c>
      <c r="K1448" s="41" t="n">
        <v>0</v>
      </c>
      <c r="L1448" s="41" t="n">
        <v>0</v>
      </c>
    </row>
    <row r="1449" customFormat="false" ht="15.75" hidden="false" customHeight="false" outlineLevel="0" collapsed="false">
      <c r="B1449" s="39" t="s">
        <v>1569</v>
      </c>
      <c r="C1449" s="40" t="str">
        <f aca="false">IF(B1449="","",IFERROR(INDEX('CLM &amp; IM Mapping'!$B$2:$B$270,MATCH(TRIM(B1449),'CLM &amp; IM Mapping'!$A$2:$A$270,0)),"Not Mapped"))</f>
        <v>Not Mapped</v>
      </c>
      <c r="D1449" s="40" t="str">
        <f aca="false">IF(B1449="","",IFERROR(INDEX('CLM &amp; IM Mapping'!$C$2:$C$270,MATCH(TRIM(B1449),'CLM &amp; IM Mapping'!$A$2:$A$270,0)),"Not Mapped"))</f>
        <v>Not Mapped</v>
      </c>
      <c r="E1449" s="41" t="n">
        <v>2752</v>
      </c>
      <c r="F1449" s="41" t="n">
        <v>2732</v>
      </c>
      <c r="G1449" s="41" t="n">
        <v>0</v>
      </c>
      <c r="H1449" s="41" t="n">
        <v>0</v>
      </c>
      <c r="I1449" s="41" t="n">
        <v>20</v>
      </c>
      <c r="J1449" s="41" t="n">
        <v>0</v>
      </c>
      <c r="K1449" s="41" t="n">
        <v>0</v>
      </c>
      <c r="L1449" s="41" t="n">
        <v>20</v>
      </c>
    </row>
    <row r="1450" customFormat="false" ht="15.75" hidden="false" customHeight="false" outlineLevel="0" collapsed="false">
      <c r="B1450" s="39" t="s">
        <v>1570</v>
      </c>
      <c r="C1450" s="40" t="str">
        <f aca="false">IF(B1450="","",IFERROR(INDEX('CLM &amp; IM Mapping'!$B$2:$B$270,MATCH(TRIM(B1450),'CLM &amp; IM Mapping'!$A$2:$A$270,0)),"Not Mapped"))</f>
        <v>Not Mapped</v>
      </c>
      <c r="D1450" s="40" t="str">
        <f aca="false">IF(B1450="","",IFERROR(INDEX('CLM &amp; IM Mapping'!$C$2:$C$270,MATCH(TRIM(B1450),'CLM &amp; IM Mapping'!$A$2:$A$270,0)),"Not Mapped"))</f>
        <v>Not Mapped</v>
      </c>
      <c r="E1450" s="41" t="n">
        <v>65</v>
      </c>
      <c r="F1450" s="41" t="n">
        <v>65</v>
      </c>
      <c r="G1450" s="41" t="n">
        <v>0</v>
      </c>
      <c r="H1450" s="41" t="n">
        <v>0</v>
      </c>
      <c r="I1450" s="41" t="n">
        <v>0</v>
      </c>
      <c r="J1450" s="41" t="n">
        <v>0</v>
      </c>
      <c r="K1450" s="41" t="n">
        <v>0</v>
      </c>
      <c r="L1450" s="41" t="n">
        <v>0</v>
      </c>
    </row>
    <row r="1451" customFormat="false" ht="15.75" hidden="false" customHeight="false" outlineLevel="0" collapsed="false">
      <c r="B1451" s="39" t="s">
        <v>1571</v>
      </c>
      <c r="C1451" s="40" t="str">
        <f aca="false">IF(B1451="","",IFERROR(INDEX('CLM &amp; IM Mapping'!$B$2:$B$270,MATCH(TRIM(B1451),'CLM &amp; IM Mapping'!$A$2:$A$270,0)),"Not Mapped"))</f>
        <v>Not Mapped</v>
      </c>
      <c r="D1451" s="40" t="str">
        <f aca="false">IF(B1451="","",IFERROR(INDEX('CLM &amp; IM Mapping'!$C$2:$C$270,MATCH(TRIM(B1451),'CLM &amp; IM Mapping'!$A$2:$A$270,0)),"Not Mapped"))</f>
        <v>Not Mapped</v>
      </c>
      <c r="E1451" s="41" t="n">
        <v>1926</v>
      </c>
      <c r="F1451" s="41" t="n">
        <v>1926</v>
      </c>
      <c r="G1451" s="41" t="n">
        <v>0</v>
      </c>
      <c r="H1451" s="41" t="n">
        <v>0</v>
      </c>
      <c r="I1451" s="41" t="n">
        <v>0</v>
      </c>
      <c r="J1451" s="41" t="n">
        <v>0</v>
      </c>
      <c r="K1451" s="41" t="n">
        <v>0</v>
      </c>
      <c r="L1451" s="41" t="n">
        <v>0</v>
      </c>
    </row>
    <row r="1452" customFormat="false" ht="15.75" hidden="false" customHeight="false" outlineLevel="0" collapsed="false">
      <c r="B1452" s="39" t="s">
        <v>1572</v>
      </c>
      <c r="C1452" s="40" t="str">
        <f aca="false">IF(B1452="","",IFERROR(INDEX('CLM &amp; IM Mapping'!$B$2:$B$270,MATCH(TRIM(B1452),'CLM &amp; IM Mapping'!$A$2:$A$270,0)),"Not Mapped"))</f>
        <v>Not Mapped</v>
      </c>
      <c r="D1452" s="40" t="str">
        <f aca="false">IF(B1452="","",IFERROR(INDEX('CLM &amp; IM Mapping'!$C$2:$C$270,MATCH(TRIM(B1452),'CLM &amp; IM Mapping'!$A$2:$A$270,0)),"Not Mapped"))</f>
        <v>Not Mapped</v>
      </c>
      <c r="E1452" s="41" t="n">
        <v>0</v>
      </c>
      <c r="F1452" s="41" t="n">
        <v>0</v>
      </c>
      <c r="G1452" s="41" t="n">
        <v>0</v>
      </c>
      <c r="H1452" s="41" t="n">
        <v>0</v>
      </c>
      <c r="I1452" s="41" t="n">
        <v>0</v>
      </c>
      <c r="J1452" s="41" t="n">
        <v>0</v>
      </c>
      <c r="K1452" s="41" t="n">
        <v>0</v>
      </c>
      <c r="L1452" s="41" t="n">
        <v>0</v>
      </c>
    </row>
    <row r="1453" customFormat="false" ht="15.75" hidden="false" customHeight="false" outlineLevel="0" collapsed="false">
      <c r="B1453" s="39" t="s">
        <v>1573</v>
      </c>
      <c r="C1453" s="40" t="str">
        <f aca="false">IF(B1453="","",IFERROR(INDEX('CLM &amp; IM Mapping'!$B$2:$B$270,MATCH(TRIM(B1453),'CLM &amp; IM Mapping'!$A$2:$A$270,0)),"Not Mapped"))</f>
        <v>Not Mapped</v>
      </c>
      <c r="D1453" s="40" t="str">
        <f aca="false">IF(B1453="","",IFERROR(INDEX('CLM &amp; IM Mapping'!$C$2:$C$270,MATCH(TRIM(B1453),'CLM &amp; IM Mapping'!$A$2:$A$270,0)),"Not Mapped"))</f>
        <v>Not Mapped</v>
      </c>
      <c r="E1453" s="41" t="n">
        <v>396</v>
      </c>
      <c r="F1453" s="41" t="n">
        <v>0</v>
      </c>
      <c r="G1453" s="41" t="n">
        <v>1</v>
      </c>
      <c r="H1453" s="41" t="n">
        <v>395</v>
      </c>
      <c r="I1453" s="41" t="n">
        <v>0</v>
      </c>
      <c r="J1453" s="41" t="n">
        <v>0</v>
      </c>
      <c r="K1453" s="41" t="n">
        <v>0</v>
      </c>
      <c r="L1453" s="41" t="n">
        <v>395</v>
      </c>
    </row>
    <row r="1454" customFormat="false" ht="15.75" hidden="false" customHeight="false" outlineLevel="0" collapsed="false">
      <c r="B1454" s="39" t="s">
        <v>1574</v>
      </c>
      <c r="C1454" s="40" t="str">
        <f aca="false">IF(B1454="","",IFERROR(INDEX('CLM &amp; IM Mapping'!$B$2:$B$270,MATCH(TRIM(B1454),'CLM &amp; IM Mapping'!$A$2:$A$270,0)),"Not Mapped"))</f>
        <v>Not Mapped</v>
      </c>
      <c r="D1454" s="40" t="str">
        <f aca="false">IF(B1454="","",IFERROR(INDEX('CLM &amp; IM Mapping'!$C$2:$C$270,MATCH(TRIM(B1454),'CLM &amp; IM Mapping'!$A$2:$A$270,0)),"Not Mapped"))</f>
        <v>Not Mapped</v>
      </c>
      <c r="E1454" s="41" t="n">
        <v>0</v>
      </c>
      <c r="F1454" s="41" t="n">
        <v>0</v>
      </c>
      <c r="G1454" s="41" t="n">
        <v>0</v>
      </c>
      <c r="H1454" s="41" t="n">
        <v>0</v>
      </c>
      <c r="I1454" s="41" t="n">
        <v>0</v>
      </c>
      <c r="J1454" s="41" t="n">
        <v>0</v>
      </c>
      <c r="K1454" s="41" t="n">
        <v>0</v>
      </c>
      <c r="L1454" s="41" t="n">
        <v>0</v>
      </c>
    </row>
    <row r="1455" customFormat="false" ht="15.75" hidden="false" customHeight="false" outlineLevel="0" collapsed="false">
      <c r="B1455" s="39" t="s">
        <v>1575</v>
      </c>
      <c r="C1455" s="40" t="str">
        <f aca="false">IF(B1455="","",IFERROR(INDEX('CLM &amp; IM Mapping'!$B$2:$B$270,MATCH(TRIM(B1455),'CLM &amp; IM Mapping'!$A$2:$A$270,0)),"Not Mapped"))</f>
        <v>Not Mapped</v>
      </c>
      <c r="D1455" s="40" t="str">
        <f aca="false">IF(B1455="","",IFERROR(INDEX('CLM &amp; IM Mapping'!$C$2:$C$270,MATCH(TRIM(B1455),'CLM &amp; IM Mapping'!$A$2:$A$270,0)),"Not Mapped"))</f>
        <v>Not Mapped</v>
      </c>
      <c r="E1455" s="41" t="n">
        <v>0</v>
      </c>
      <c r="F1455" s="41" t="n">
        <v>0</v>
      </c>
      <c r="G1455" s="41" t="n">
        <v>0</v>
      </c>
      <c r="H1455" s="41" t="n">
        <v>0</v>
      </c>
      <c r="I1455" s="41" t="n">
        <v>0</v>
      </c>
      <c r="J1455" s="41" t="n">
        <v>0</v>
      </c>
      <c r="K1455" s="41" t="n">
        <v>0</v>
      </c>
      <c r="L1455" s="41" t="n">
        <v>0</v>
      </c>
    </row>
    <row r="1456" customFormat="false" ht="15.75" hidden="false" customHeight="false" outlineLevel="0" collapsed="false">
      <c r="B1456" s="39" t="s">
        <v>1576</v>
      </c>
      <c r="C1456" s="40" t="str">
        <f aca="false">IF(B1456="","",IFERROR(INDEX('CLM &amp; IM Mapping'!$B$2:$B$270,MATCH(TRIM(B1456),'CLM &amp; IM Mapping'!$A$2:$A$270,0)),"Not Mapped"))</f>
        <v>Not Mapped</v>
      </c>
      <c r="D1456" s="40" t="str">
        <f aca="false">IF(B1456="","",IFERROR(INDEX('CLM &amp; IM Mapping'!$C$2:$C$270,MATCH(TRIM(B1456),'CLM &amp; IM Mapping'!$A$2:$A$270,0)),"Not Mapped"))</f>
        <v>Not Mapped</v>
      </c>
      <c r="E1456" s="41" t="n">
        <v>1590</v>
      </c>
      <c r="F1456" s="41" t="n">
        <v>0</v>
      </c>
      <c r="G1456" s="41" t="n">
        <v>0</v>
      </c>
      <c r="H1456" s="41" t="n">
        <v>752</v>
      </c>
      <c r="I1456" s="41" t="n">
        <v>0</v>
      </c>
      <c r="J1456" s="41" t="n">
        <v>163</v>
      </c>
      <c r="K1456" s="41" t="n">
        <v>675</v>
      </c>
      <c r="L1456" s="41" t="n">
        <v>1590</v>
      </c>
    </row>
    <row r="1457" customFormat="false" ht="15.75" hidden="false" customHeight="false" outlineLevel="0" collapsed="false">
      <c r="B1457" s="39" t="s">
        <v>1577</v>
      </c>
      <c r="C1457" s="40" t="str">
        <f aca="false">IF(B1457="","",IFERROR(INDEX('CLM &amp; IM Mapping'!$B$2:$B$270,MATCH(TRIM(B1457),'CLM &amp; IM Mapping'!$A$2:$A$270,0)),"Not Mapped"))</f>
        <v>Not Mapped</v>
      </c>
      <c r="D1457" s="40" t="str">
        <f aca="false">IF(B1457="","",IFERROR(INDEX('CLM &amp; IM Mapping'!$C$2:$C$270,MATCH(TRIM(B1457),'CLM &amp; IM Mapping'!$A$2:$A$270,0)),"Not Mapped"))</f>
        <v>Not Mapped</v>
      </c>
      <c r="E1457" s="41" t="n">
        <v>1264</v>
      </c>
      <c r="F1457" s="41" t="n">
        <v>0</v>
      </c>
      <c r="G1457" s="41" t="n">
        <v>1264</v>
      </c>
      <c r="H1457" s="41" t="n">
        <v>0</v>
      </c>
      <c r="I1457" s="41" t="n">
        <v>0</v>
      </c>
      <c r="J1457" s="41" t="n">
        <v>0</v>
      </c>
      <c r="K1457" s="41" t="n">
        <v>0</v>
      </c>
      <c r="L1457" s="41" t="n">
        <v>0</v>
      </c>
    </row>
    <row r="1458" customFormat="false" ht="15.75" hidden="false" customHeight="false" outlineLevel="0" collapsed="false">
      <c r="B1458" s="39" t="s">
        <v>1578</v>
      </c>
      <c r="C1458" s="40" t="str">
        <f aca="false">IF(B1458="","",IFERROR(INDEX('CLM &amp; IM Mapping'!$B$2:$B$270,MATCH(TRIM(B1458),'CLM &amp; IM Mapping'!$A$2:$A$270,0)),"Not Mapped"))</f>
        <v>Not Mapped</v>
      </c>
      <c r="D1458" s="40" t="str">
        <f aca="false">IF(B1458="","",IFERROR(INDEX('CLM &amp; IM Mapping'!$C$2:$C$270,MATCH(TRIM(B1458),'CLM &amp; IM Mapping'!$A$2:$A$270,0)),"Not Mapped"))</f>
        <v>Not Mapped</v>
      </c>
      <c r="E1458" s="41" t="n">
        <v>220</v>
      </c>
      <c r="F1458" s="41" t="n">
        <v>0</v>
      </c>
      <c r="G1458" s="41" t="n">
        <v>0</v>
      </c>
      <c r="H1458" s="41" t="n">
        <v>220</v>
      </c>
      <c r="I1458" s="41" t="n">
        <v>0</v>
      </c>
      <c r="J1458" s="41" t="n">
        <v>0</v>
      </c>
      <c r="K1458" s="41" t="n">
        <v>0</v>
      </c>
      <c r="L1458" s="41" t="n">
        <v>220</v>
      </c>
    </row>
    <row r="1459" customFormat="false" ht="15.75" hidden="false" customHeight="false" outlineLevel="0" collapsed="false">
      <c r="B1459" s="39" t="s">
        <v>1579</v>
      </c>
      <c r="C1459" s="40" t="str">
        <f aca="false">IF(B1459="","",IFERROR(INDEX('CLM &amp; IM Mapping'!$B$2:$B$270,MATCH(TRIM(B1459),'CLM &amp; IM Mapping'!$A$2:$A$270,0)),"Not Mapped"))</f>
        <v>Not Mapped</v>
      </c>
      <c r="D1459" s="40" t="str">
        <f aca="false">IF(B1459="","",IFERROR(INDEX('CLM &amp; IM Mapping'!$C$2:$C$270,MATCH(TRIM(B1459),'CLM &amp; IM Mapping'!$A$2:$A$270,0)),"Not Mapped"))</f>
        <v>Not Mapped</v>
      </c>
      <c r="E1459" s="41" t="n">
        <v>851</v>
      </c>
      <c r="F1459" s="41" t="n">
        <v>0</v>
      </c>
      <c r="G1459" s="41" t="n">
        <v>851</v>
      </c>
      <c r="H1459" s="41" t="n">
        <v>0</v>
      </c>
      <c r="I1459" s="41" t="n">
        <v>0</v>
      </c>
      <c r="J1459" s="41" t="n">
        <v>0</v>
      </c>
      <c r="K1459" s="41" t="n">
        <v>0</v>
      </c>
      <c r="L1459" s="41" t="n">
        <v>0</v>
      </c>
    </row>
    <row r="1460" customFormat="false" ht="15.75" hidden="false" customHeight="false" outlineLevel="0" collapsed="false">
      <c r="B1460" s="39" t="s">
        <v>1580</v>
      </c>
      <c r="C1460" s="40" t="str">
        <f aca="false">IF(B1460="","",IFERROR(INDEX('CLM &amp; IM Mapping'!$B$2:$B$270,MATCH(TRIM(B1460),'CLM &amp; IM Mapping'!$A$2:$A$270,0)),"Not Mapped"))</f>
        <v>Not Mapped</v>
      </c>
      <c r="D1460" s="40" t="str">
        <f aca="false">IF(B1460="","",IFERROR(INDEX('CLM &amp; IM Mapping'!$C$2:$C$270,MATCH(TRIM(B1460),'CLM &amp; IM Mapping'!$A$2:$A$270,0)),"Not Mapped"))</f>
        <v>Not Mapped</v>
      </c>
      <c r="E1460" s="41" t="n">
        <v>0</v>
      </c>
      <c r="F1460" s="41" t="n">
        <v>0</v>
      </c>
      <c r="G1460" s="41" t="n">
        <v>0</v>
      </c>
      <c r="H1460" s="41" t="n">
        <v>0</v>
      </c>
      <c r="I1460" s="41" t="n">
        <v>0</v>
      </c>
      <c r="J1460" s="41" t="n">
        <v>0</v>
      </c>
      <c r="K1460" s="41" t="n">
        <v>0</v>
      </c>
      <c r="L1460" s="41" t="n">
        <v>0</v>
      </c>
    </row>
    <row r="1461" customFormat="false" ht="15.75" hidden="false" customHeight="false" outlineLevel="0" collapsed="false">
      <c r="B1461" s="39" t="s">
        <v>1581</v>
      </c>
      <c r="C1461" s="40" t="str">
        <f aca="false">IF(B1461="","",IFERROR(INDEX('CLM &amp; IM Mapping'!$B$2:$B$270,MATCH(TRIM(B1461),'CLM &amp; IM Mapping'!$A$2:$A$270,0)),"Not Mapped"))</f>
        <v>Not Mapped</v>
      </c>
      <c r="D1461" s="40" t="str">
        <f aca="false">IF(B1461="","",IFERROR(INDEX('CLM &amp; IM Mapping'!$C$2:$C$270,MATCH(TRIM(B1461),'CLM &amp; IM Mapping'!$A$2:$A$270,0)),"Not Mapped"))</f>
        <v>Not Mapped</v>
      </c>
      <c r="E1461" s="41" t="n">
        <v>2515</v>
      </c>
      <c r="F1461" s="41" t="n">
        <v>0</v>
      </c>
      <c r="G1461" s="41" t="n">
        <v>2515</v>
      </c>
      <c r="H1461" s="41" t="n">
        <v>0</v>
      </c>
      <c r="I1461" s="41" t="n">
        <v>0</v>
      </c>
      <c r="J1461" s="41" t="n">
        <v>0</v>
      </c>
      <c r="K1461" s="41" t="n">
        <v>0</v>
      </c>
      <c r="L1461" s="41" t="n">
        <v>0</v>
      </c>
    </row>
    <row r="1462" customFormat="false" ht="15.75" hidden="false" customHeight="false" outlineLevel="0" collapsed="false">
      <c r="B1462" s="39" t="s">
        <v>1582</v>
      </c>
      <c r="C1462" s="40" t="str">
        <f aca="false">IF(B1462="","",IFERROR(INDEX('CLM &amp; IM Mapping'!$B$2:$B$270,MATCH(TRIM(B1462),'CLM &amp; IM Mapping'!$A$2:$A$270,0)),"Not Mapped"))</f>
        <v>Not Mapped</v>
      </c>
      <c r="D1462" s="40" t="str">
        <f aca="false">IF(B1462="","",IFERROR(INDEX('CLM &amp; IM Mapping'!$C$2:$C$270,MATCH(TRIM(B1462),'CLM &amp; IM Mapping'!$A$2:$A$270,0)),"Not Mapped"))</f>
        <v>Not Mapped</v>
      </c>
      <c r="E1462" s="41" t="n">
        <v>0</v>
      </c>
      <c r="F1462" s="41" t="n">
        <v>0</v>
      </c>
      <c r="G1462" s="41" t="n">
        <v>0</v>
      </c>
      <c r="H1462" s="41" t="n">
        <v>0</v>
      </c>
      <c r="I1462" s="41" t="n">
        <v>0</v>
      </c>
      <c r="J1462" s="41" t="n">
        <v>0</v>
      </c>
      <c r="K1462" s="41" t="n">
        <v>0</v>
      </c>
      <c r="L1462" s="41" t="n">
        <v>0</v>
      </c>
    </row>
    <row r="1463" customFormat="false" ht="15.75" hidden="false" customHeight="false" outlineLevel="0" collapsed="false">
      <c r="B1463" s="39" t="s">
        <v>1583</v>
      </c>
      <c r="C1463" s="40" t="str">
        <f aca="false">IF(B1463="","",IFERROR(INDEX('CLM &amp; IM Mapping'!$B$2:$B$270,MATCH(TRIM(B1463),'CLM &amp; IM Mapping'!$A$2:$A$270,0)),"Not Mapped"))</f>
        <v>Not Mapped</v>
      </c>
      <c r="D1463" s="40" t="str">
        <f aca="false">IF(B1463="","",IFERROR(INDEX('CLM &amp; IM Mapping'!$C$2:$C$270,MATCH(TRIM(B1463),'CLM &amp; IM Mapping'!$A$2:$A$270,0)),"Not Mapped"))</f>
        <v>Not Mapped</v>
      </c>
      <c r="E1463" s="41" t="n">
        <v>3120</v>
      </c>
      <c r="F1463" s="41" t="n">
        <v>0</v>
      </c>
      <c r="G1463" s="41" t="n">
        <v>3120</v>
      </c>
      <c r="H1463" s="41" t="n">
        <v>0</v>
      </c>
      <c r="I1463" s="41" t="n">
        <v>0</v>
      </c>
      <c r="J1463" s="41" t="n">
        <v>0</v>
      </c>
      <c r="K1463" s="41" t="n">
        <v>0</v>
      </c>
      <c r="L1463" s="41" t="n">
        <v>0</v>
      </c>
    </row>
    <row r="1464" customFormat="false" ht="15.75" hidden="false" customHeight="false" outlineLevel="0" collapsed="false">
      <c r="B1464" s="39" t="s">
        <v>1584</v>
      </c>
      <c r="C1464" s="40" t="str">
        <f aca="false">IF(B1464="","",IFERROR(INDEX('CLM &amp; IM Mapping'!$B$2:$B$270,MATCH(TRIM(B1464),'CLM &amp; IM Mapping'!$A$2:$A$270,0)),"Not Mapped"))</f>
        <v>Not Mapped</v>
      </c>
      <c r="D1464" s="40" t="str">
        <f aca="false">IF(B1464="","",IFERROR(INDEX('CLM &amp; IM Mapping'!$C$2:$C$270,MATCH(TRIM(B1464),'CLM &amp; IM Mapping'!$A$2:$A$270,0)),"Not Mapped"))</f>
        <v>Not Mapped</v>
      </c>
      <c r="E1464" s="41" t="n">
        <v>66</v>
      </c>
      <c r="F1464" s="41" t="n">
        <v>0</v>
      </c>
      <c r="G1464" s="41" t="n">
        <v>0</v>
      </c>
      <c r="H1464" s="41" t="n">
        <v>66</v>
      </c>
      <c r="I1464" s="41" t="n">
        <v>0</v>
      </c>
      <c r="J1464" s="41" t="n">
        <v>0</v>
      </c>
      <c r="K1464" s="41" t="n">
        <v>0</v>
      </c>
      <c r="L1464" s="41" t="n">
        <v>66</v>
      </c>
    </row>
    <row r="1465" customFormat="false" ht="15.75" hidden="false" customHeight="false" outlineLevel="0" collapsed="false">
      <c r="B1465" s="39" t="s">
        <v>1585</v>
      </c>
      <c r="C1465" s="40" t="str">
        <f aca="false">IF(B1465="","",IFERROR(INDEX('CLM &amp; IM Mapping'!$B$2:$B$270,MATCH(TRIM(B1465),'CLM &amp; IM Mapping'!$A$2:$A$270,0)),"Not Mapped"))</f>
        <v>Not Mapped</v>
      </c>
      <c r="D1465" s="40" t="str">
        <f aca="false">IF(B1465="","",IFERROR(INDEX('CLM &amp; IM Mapping'!$C$2:$C$270,MATCH(TRIM(B1465),'CLM &amp; IM Mapping'!$A$2:$A$270,0)),"Not Mapped"))</f>
        <v>Not Mapped</v>
      </c>
      <c r="E1465" s="41" t="n">
        <v>4337</v>
      </c>
      <c r="F1465" s="41" t="n">
        <v>0</v>
      </c>
      <c r="G1465" s="41" t="n">
        <v>4257</v>
      </c>
      <c r="H1465" s="41" t="n">
        <v>0</v>
      </c>
      <c r="I1465" s="41" t="n">
        <v>80</v>
      </c>
      <c r="J1465" s="41" t="n">
        <v>0</v>
      </c>
      <c r="K1465" s="41" t="n">
        <v>0</v>
      </c>
      <c r="L1465" s="41" t="n">
        <v>80</v>
      </c>
    </row>
    <row r="1466" customFormat="false" ht="15.75" hidden="false" customHeight="false" outlineLevel="0" collapsed="false">
      <c r="B1466" s="39" t="s">
        <v>1586</v>
      </c>
      <c r="C1466" s="40" t="str">
        <f aca="false">IF(B1466="","",IFERROR(INDEX('CLM &amp; IM Mapping'!$B$2:$B$270,MATCH(TRIM(B1466),'CLM &amp; IM Mapping'!$A$2:$A$270,0)),"Not Mapped"))</f>
        <v>Not Mapped</v>
      </c>
      <c r="D1466" s="40" t="str">
        <f aca="false">IF(B1466="","",IFERROR(INDEX('CLM &amp; IM Mapping'!$C$2:$C$270,MATCH(TRIM(B1466),'CLM &amp; IM Mapping'!$A$2:$A$270,0)),"Not Mapped"))</f>
        <v>Not Mapped</v>
      </c>
      <c r="E1466" s="41" t="n">
        <v>5</v>
      </c>
      <c r="F1466" s="41" t="n">
        <v>0</v>
      </c>
      <c r="G1466" s="41" t="n">
        <v>0</v>
      </c>
      <c r="H1466" s="41" t="n">
        <v>2</v>
      </c>
      <c r="I1466" s="41" t="n">
        <v>0</v>
      </c>
      <c r="J1466" s="41" t="n">
        <v>0</v>
      </c>
      <c r="K1466" s="41" t="n">
        <v>3</v>
      </c>
      <c r="L1466" s="41" t="n">
        <v>3</v>
      </c>
    </row>
    <row r="1467" customFormat="false" ht="15.75" hidden="false" customHeight="false" outlineLevel="0" collapsed="false">
      <c r="B1467" s="39" t="s">
        <v>1587</v>
      </c>
      <c r="C1467" s="40" t="str">
        <f aca="false">IF(B1467="","",IFERROR(INDEX('CLM &amp; IM Mapping'!$B$2:$B$270,MATCH(TRIM(B1467),'CLM &amp; IM Mapping'!$A$2:$A$270,0)),"Not Mapped"))</f>
        <v>Not Mapped</v>
      </c>
      <c r="D1467" s="40" t="str">
        <f aca="false">IF(B1467="","",IFERROR(INDEX('CLM &amp; IM Mapping'!$C$2:$C$270,MATCH(TRIM(B1467),'CLM &amp; IM Mapping'!$A$2:$A$270,0)),"Not Mapped"))</f>
        <v>Not Mapped</v>
      </c>
      <c r="E1467" s="41" t="n">
        <v>0</v>
      </c>
      <c r="F1467" s="41" t="n">
        <v>0</v>
      </c>
      <c r="G1467" s="41" t="n">
        <v>0</v>
      </c>
      <c r="H1467" s="41" t="n">
        <v>0</v>
      </c>
      <c r="I1467" s="41" t="n">
        <v>0</v>
      </c>
      <c r="J1467" s="41" t="n">
        <v>0</v>
      </c>
      <c r="K1467" s="41" t="n">
        <v>0</v>
      </c>
      <c r="L1467" s="41" t="n">
        <v>0</v>
      </c>
    </row>
    <row r="1468" customFormat="false" ht="15.75" hidden="false" customHeight="false" outlineLevel="0" collapsed="false">
      <c r="B1468" s="39" t="s">
        <v>1588</v>
      </c>
      <c r="C1468" s="40" t="str">
        <f aca="false">IF(B1468="","",IFERROR(INDEX('CLM &amp; IM Mapping'!$B$2:$B$270,MATCH(TRIM(B1468),'CLM &amp; IM Mapping'!$A$2:$A$270,0)),"Not Mapped"))</f>
        <v>Not Mapped</v>
      </c>
      <c r="D1468" s="40" t="str">
        <f aca="false">IF(B1468="","",IFERROR(INDEX('CLM &amp; IM Mapping'!$C$2:$C$270,MATCH(TRIM(B1468),'CLM &amp; IM Mapping'!$A$2:$A$270,0)),"Not Mapped"))</f>
        <v>Not Mapped</v>
      </c>
      <c r="E1468" s="41" t="n">
        <v>4560</v>
      </c>
      <c r="F1468" s="41" t="n">
        <v>0</v>
      </c>
      <c r="G1468" s="41" t="n">
        <v>4560</v>
      </c>
      <c r="H1468" s="41" t="n">
        <v>0</v>
      </c>
      <c r="I1468" s="41" t="n">
        <v>0</v>
      </c>
      <c r="J1468" s="41" t="n">
        <v>0</v>
      </c>
      <c r="K1468" s="41" t="n">
        <v>0</v>
      </c>
      <c r="L1468" s="41" t="n">
        <v>0</v>
      </c>
    </row>
    <row r="1469" customFormat="false" ht="15.75" hidden="false" customHeight="false" outlineLevel="0" collapsed="false">
      <c r="B1469" s="39" t="s">
        <v>1589</v>
      </c>
      <c r="C1469" s="40" t="str">
        <f aca="false">IF(B1469="","",IFERROR(INDEX('CLM &amp; IM Mapping'!$B$2:$B$270,MATCH(TRIM(B1469),'CLM &amp; IM Mapping'!$A$2:$A$270,0)),"Not Mapped"))</f>
        <v>Not Mapped</v>
      </c>
      <c r="D1469" s="40" t="str">
        <f aca="false">IF(B1469="","",IFERROR(INDEX('CLM &amp; IM Mapping'!$C$2:$C$270,MATCH(TRIM(B1469),'CLM &amp; IM Mapping'!$A$2:$A$270,0)),"Not Mapped"))</f>
        <v>Not Mapped</v>
      </c>
      <c r="E1469" s="41" t="n">
        <v>0</v>
      </c>
      <c r="F1469" s="41" t="n">
        <v>0</v>
      </c>
      <c r="G1469" s="41" t="n">
        <v>0</v>
      </c>
      <c r="H1469" s="41" t="n">
        <v>0</v>
      </c>
      <c r="I1469" s="41" t="n">
        <v>0</v>
      </c>
      <c r="J1469" s="41" t="n">
        <v>0</v>
      </c>
      <c r="K1469" s="41" t="n">
        <v>0</v>
      </c>
      <c r="L1469" s="41" t="n">
        <v>0</v>
      </c>
    </row>
    <row r="1470" customFormat="false" ht="15.75" hidden="false" customHeight="false" outlineLevel="0" collapsed="false">
      <c r="B1470" s="39" t="s">
        <v>1590</v>
      </c>
      <c r="C1470" s="40" t="str">
        <f aca="false">IF(B1470="","",IFERROR(INDEX('CLM &amp; IM Mapping'!$B$2:$B$270,MATCH(TRIM(B1470),'CLM &amp; IM Mapping'!$A$2:$A$270,0)),"Not Mapped"))</f>
        <v>Not Mapped</v>
      </c>
      <c r="D1470" s="40" t="str">
        <f aca="false">IF(B1470="","",IFERROR(INDEX('CLM &amp; IM Mapping'!$C$2:$C$270,MATCH(TRIM(B1470),'CLM &amp; IM Mapping'!$A$2:$A$270,0)),"Not Mapped"))</f>
        <v>Not Mapped</v>
      </c>
      <c r="E1470" s="41" t="n">
        <v>2326</v>
      </c>
      <c r="F1470" s="41" t="n">
        <v>163</v>
      </c>
      <c r="G1470" s="41" t="n">
        <v>0</v>
      </c>
      <c r="H1470" s="41" t="n">
        <v>2163</v>
      </c>
      <c r="I1470" s="41" t="n">
        <v>0</v>
      </c>
      <c r="J1470" s="41" t="n">
        <v>0</v>
      </c>
      <c r="K1470" s="41" t="n">
        <v>0</v>
      </c>
      <c r="L1470" s="41" t="n">
        <v>2163</v>
      </c>
    </row>
    <row r="1471" customFormat="false" ht="15.75" hidden="false" customHeight="false" outlineLevel="0" collapsed="false">
      <c r="B1471" s="39" t="s">
        <v>1591</v>
      </c>
      <c r="C1471" s="40" t="str">
        <f aca="false">IF(B1471="","",IFERROR(INDEX('CLM &amp; IM Mapping'!$B$2:$B$270,MATCH(TRIM(B1471),'CLM &amp; IM Mapping'!$A$2:$A$270,0)),"Not Mapped"))</f>
        <v>Not Mapped</v>
      </c>
      <c r="D1471" s="40" t="str">
        <f aca="false">IF(B1471="","",IFERROR(INDEX('CLM &amp; IM Mapping'!$C$2:$C$270,MATCH(TRIM(B1471),'CLM &amp; IM Mapping'!$A$2:$A$270,0)),"Not Mapped"))</f>
        <v>Not Mapped</v>
      </c>
      <c r="E1471" s="41" t="n">
        <v>0</v>
      </c>
      <c r="F1471" s="41" t="n">
        <v>0</v>
      </c>
      <c r="G1471" s="41" t="n">
        <v>0</v>
      </c>
      <c r="H1471" s="41" t="n">
        <v>0</v>
      </c>
      <c r="I1471" s="41" t="n">
        <v>0</v>
      </c>
      <c r="J1471" s="41" t="n">
        <v>0</v>
      </c>
      <c r="K1471" s="41" t="n">
        <v>0</v>
      </c>
      <c r="L1471" s="41" t="n">
        <v>0</v>
      </c>
    </row>
    <row r="1472" customFormat="false" ht="15.75" hidden="false" customHeight="false" outlineLevel="0" collapsed="false">
      <c r="B1472" s="39" t="s">
        <v>1592</v>
      </c>
      <c r="C1472" s="40" t="str">
        <f aca="false">IF(B1472="","",IFERROR(INDEX('CLM &amp; IM Mapping'!$B$2:$B$270,MATCH(TRIM(B1472),'CLM &amp; IM Mapping'!$A$2:$A$270,0)),"Not Mapped"))</f>
        <v>Not Mapped</v>
      </c>
      <c r="D1472" s="40" t="str">
        <f aca="false">IF(B1472="","",IFERROR(INDEX('CLM &amp; IM Mapping'!$C$2:$C$270,MATCH(TRIM(B1472),'CLM &amp; IM Mapping'!$A$2:$A$270,0)),"Not Mapped"))</f>
        <v>Not Mapped</v>
      </c>
      <c r="E1472" s="41" t="n">
        <v>483</v>
      </c>
      <c r="F1472" s="41" t="n">
        <v>0</v>
      </c>
      <c r="G1472" s="41" t="n">
        <v>0</v>
      </c>
      <c r="H1472" s="41" t="n">
        <v>483</v>
      </c>
      <c r="I1472" s="41" t="n">
        <v>0</v>
      </c>
      <c r="J1472" s="41" t="n">
        <v>0</v>
      </c>
      <c r="K1472" s="41" t="n">
        <v>0</v>
      </c>
      <c r="L1472" s="41" t="n">
        <v>483</v>
      </c>
    </row>
    <row r="1473" customFormat="false" ht="15.75" hidden="false" customHeight="false" outlineLevel="0" collapsed="false">
      <c r="B1473" s="39" t="s">
        <v>1593</v>
      </c>
      <c r="C1473" s="40" t="str">
        <f aca="false">IF(B1473="","",IFERROR(INDEX('CLM &amp; IM Mapping'!$B$2:$B$270,MATCH(TRIM(B1473),'CLM &amp; IM Mapping'!$A$2:$A$270,0)),"Not Mapped"))</f>
        <v>Not Mapped</v>
      </c>
      <c r="D1473" s="40" t="str">
        <f aca="false">IF(B1473="","",IFERROR(INDEX('CLM &amp; IM Mapping'!$C$2:$C$270,MATCH(TRIM(B1473),'CLM &amp; IM Mapping'!$A$2:$A$270,0)),"Not Mapped"))</f>
        <v>Not Mapped</v>
      </c>
      <c r="E1473" s="41" t="n">
        <v>0</v>
      </c>
      <c r="F1473" s="41" t="n">
        <v>0</v>
      </c>
      <c r="G1473" s="41" t="n">
        <v>0</v>
      </c>
      <c r="H1473" s="41" t="n">
        <v>0</v>
      </c>
      <c r="I1473" s="41" t="n">
        <v>0</v>
      </c>
      <c r="J1473" s="41" t="n">
        <v>0</v>
      </c>
      <c r="K1473" s="41" t="n">
        <v>0</v>
      </c>
      <c r="L1473" s="41" t="n">
        <v>0</v>
      </c>
    </row>
    <row r="1474" customFormat="false" ht="15.75" hidden="false" customHeight="false" outlineLevel="0" collapsed="false">
      <c r="B1474" s="39" t="s">
        <v>1594</v>
      </c>
      <c r="C1474" s="40" t="str">
        <f aca="false">IF(B1474="","",IFERROR(INDEX('CLM &amp; IM Mapping'!$B$2:$B$270,MATCH(TRIM(B1474),'CLM &amp; IM Mapping'!$A$2:$A$270,0)),"Not Mapped"))</f>
        <v>Not Mapped</v>
      </c>
      <c r="D1474" s="40" t="str">
        <f aca="false">IF(B1474="","",IFERROR(INDEX('CLM &amp; IM Mapping'!$C$2:$C$270,MATCH(TRIM(B1474),'CLM &amp; IM Mapping'!$A$2:$A$270,0)),"Not Mapped"))</f>
        <v>Not Mapped</v>
      </c>
      <c r="E1474" s="41" t="n">
        <v>11512</v>
      </c>
      <c r="F1474" s="41" t="n">
        <v>9371</v>
      </c>
      <c r="G1474" s="41" t="n">
        <v>139</v>
      </c>
      <c r="H1474" s="41" t="n">
        <v>0</v>
      </c>
      <c r="I1474" s="41" t="n">
        <v>1939</v>
      </c>
      <c r="J1474" s="41" t="n">
        <v>0</v>
      </c>
      <c r="K1474" s="41" t="n">
        <v>63</v>
      </c>
      <c r="L1474" s="41" t="n">
        <v>2002</v>
      </c>
    </row>
    <row r="1475" customFormat="false" ht="15.75" hidden="false" customHeight="false" outlineLevel="0" collapsed="false">
      <c r="B1475" s="39" t="s">
        <v>1595</v>
      </c>
      <c r="C1475" s="40" t="str">
        <f aca="false">IF(B1475="","",IFERROR(INDEX('CLM &amp; IM Mapping'!$B$2:$B$270,MATCH(TRIM(B1475),'CLM &amp; IM Mapping'!$A$2:$A$270,0)),"Not Mapped"))</f>
        <v>Not Mapped</v>
      </c>
      <c r="D1475" s="40" t="str">
        <f aca="false">IF(B1475="","",IFERROR(INDEX('CLM &amp; IM Mapping'!$C$2:$C$270,MATCH(TRIM(B1475),'CLM &amp; IM Mapping'!$A$2:$A$270,0)),"Not Mapped"))</f>
        <v>Not Mapped</v>
      </c>
      <c r="E1475" s="41" t="n">
        <v>5090</v>
      </c>
      <c r="F1475" s="41" t="n">
        <v>2961</v>
      </c>
      <c r="G1475" s="41" t="n">
        <v>0</v>
      </c>
      <c r="H1475" s="41" t="n">
        <v>1605</v>
      </c>
      <c r="I1475" s="41" t="n">
        <v>0</v>
      </c>
      <c r="J1475" s="41" t="n">
        <v>377</v>
      </c>
      <c r="K1475" s="41" t="n">
        <v>147</v>
      </c>
      <c r="L1475" s="41" t="n">
        <v>2129</v>
      </c>
    </row>
    <row r="1476" customFormat="false" ht="15.75" hidden="false" customHeight="false" outlineLevel="0" collapsed="false">
      <c r="B1476" s="39" t="s">
        <v>1596</v>
      </c>
      <c r="C1476" s="40" t="str">
        <f aca="false">IF(B1476="","",IFERROR(INDEX('CLM &amp; IM Mapping'!$B$2:$B$270,MATCH(TRIM(B1476),'CLM &amp; IM Mapping'!$A$2:$A$270,0)),"Not Mapped"))</f>
        <v>Not Mapped</v>
      </c>
      <c r="D1476" s="40" t="str">
        <f aca="false">IF(B1476="","",IFERROR(INDEX('CLM &amp; IM Mapping'!$C$2:$C$270,MATCH(TRIM(B1476),'CLM &amp; IM Mapping'!$A$2:$A$270,0)),"Not Mapped"))</f>
        <v>Not Mapped</v>
      </c>
      <c r="E1476" s="41" t="n">
        <v>3281</v>
      </c>
      <c r="F1476" s="41" t="n">
        <v>2087</v>
      </c>
      <c r="G1476" s="41" t="n">
        <v>0</v>
      </c>
      <c r="H1476" s="41" t="n">
        <v>0</v>
      </c>
      <c r="I1476" s="41" t="n">
        <v>1194</v>
      </c>
      <c r="J1476" s="41" t="n">
        <v>0</v>
      </c>
      <c r="K1476" s="41" t="n">
        <v>0</v>
      </c>
      <c r="L1476" s="41" t="n">
        <v>1194</v>
      </c>
    </row>
    <row r="1477" customFormat="false" ht="15.75" hidden="false" customHeight="false" outlineLevel="0" collapsed="false">
      <c r="B1477" s="39" t="s">
        <v>1597</v>
      </c>
      <c r="C1477" s="40" t="str">
        <f aca="false">IF(B1477="","",IFERROR(INDEX('CLM &amp; IM Mapping'!$B$2:$B$270,MATCH(TRIM(B1477),'CLM &amp; IM Mapping'!$A$2:$A$270,0)),"Not Mapped"))</f>
        <v>Not Mapped</v>
      </c>
      <c r="D1477" s="40" t="str">
        <f aca="false">IF(B1477="","",IFERROR(INDEX('CLM &amp; IM Mapping'!$C$2:$C$270,MATCH(TRIM(B1477),'CLM &amp; IM Mapping'!$A$2:$A$270,0)),"Not Mapped"))</f>
        <v>Not Mapped</v>
      </c>
      <c r="E1477" s="41" t="n">
        <v>0</v>
      </c>
      <c r="F1477" s="41" t="n">
        <v>0</v>
      </c>
      <c r="G1477" s="41" t="n">
        <v>0</v>
      </c>
      <c r="H1477" s="41" t="n">
        <v>0</v>
      </c>
      <c r="I1477" s="41" t="n">
        <v>0</v>
      </c>
      <c r="J1477" s="41" t="n">
        <v>0</v>
      </c>
      <c r="K1477" s="41" t="n">
        <v>0</v>
      </c>
      <c r="L1477" s="41" t="n">
        <v>0</v>
      </c>
    </row>
    <row r="1478" customFormat="false" ht="15.75" hidden="false" customHeight="false" outlineLevel="0" collapsed="false">
      <c r="B1478" s="39" t="s">
        <v>1598</v>
      </c>
      <c r="C1478" s="40" t="str">
        <f aca="false">IF(B1478="","",IFERROR(INDEX('CLM &amp; IM Mapping'!$B$2:$B$270,MATCH(TRIM(B1478),'CLM &amp; IM Mapping'!$A$2:$A$270,0)),"Not Mapped"))</f>
        <v>Not Mapped</v>
      </c>
      <c r="D1478" s="40" t="str">
        <f aca="false">IF(B1478="","",IFERROR(INDEX('CLM &amp; IM Mapping'!$C$2:$C$270,MATCH(TRIM(B1478),'CLM &amp; IM Mapping'!$A$2:$A$270,0)),"Not Mapped"))</f>
        <v>Not Mapped</v>
      </c>
      <c r="E1478" s="41" t="n">
        <v>0</v>
      </c>
      <c r="F1478" s="41" t="n">
        <v>0</v>
      </c>
      <c r="G1478" s="41" t="n">
        <v>0</v>
      </c>
      <c r="H1478" s="41" t="n">
        <v>0</v>
      </c>
      <c r="I1478" s="41" t="n">
        <v>0</v>
      </c>
      <c r="J1478" s="41" t="n">
        <v>0</v>
      </c>
      <c r="K1478" s="41" t="n">
        <v>0</v>
      </c>
      <c r="L1478" s="41" t="n">
        <v>0</v>
      </c>
    </row>
    <row r="1479" customFormat="false" ht="15.75" hidden="false" customHeight="false" outlineLevel="0" collapsed="false">
      <c r="B1479" s="39" t="s">
        <v>1599</v>
      </c>
      <c r="C1479" s="40" t="str">
        <f aca="false">IF(B1479="","",IFERROR(INDEX('CLM &amp; IM Mapping'!$B$2:$B$270,MATCH(TRIM(B1479),'CLM &amp; IM Mapping'!$A$2:$A$270,0)),"Not Mapped"))</f>
        <v>Not Mapped</v>
      </c>
      <c r="D1479" s="40" t="str">
        <f aca="false">IF(B1479="","",IFERROR(INDEX('CLM &amp; IM Mapping'!$C$2:$C$270,MATCH(TRIM(B1479),'CLM &amp; IM Mapping'!$A$2:$A$270,0)),"Not Mapped"))</f>
        <v>Not Mapped</v>
      </c>
      <c r="E1479" s="41" t="n">
        <v>0</v>
      </c>
      <c r="F1479" s="41" t="n">
        <v>0</v>
      </c>
      <c r="G1479" s="41" t="n">
        <v>0</v>
      </c>
      <c r="H1479" s="41" t="n">
        <v>0</v>
      </c>
      <c r="I1479" s="41" t="n">
        <v>0</v>
      </c>
      <c r="J1479" s="41" t="n">
        <v>0</v>
      </c>
      <c r="K1479" s="41" t="n">
        <v>0</v>
      </c>
      <c r="L1479" s="41" t="n">
        <v>0</v>
      </c>
    </row>
    <row r="1480" customFormat="false" ht="15.75" hidden="false" customHeight="false" outlineLevel="0" collapsed="false">
      <c r="B1480" s="39" t="s">
        <v>1600</v>
      </c>
      <c r="C1480" s="40" t="str">
        <f aca="false">IF(B1480="","",IFERROR(INDEX('CLM &amp; IM Mapping'!$B$2:$B$270,MATCH(TRIM(B1480),'CLM &amp; IM Mapping'!$A$2:$A$270,0)),"Not Mapped"))</f>
        <v>Not Mapped</v>
      </c>
      <c r="D1480" s="40" t="str">
        <f aca="false">IF(B1480="","",IFERROR(INDEX('CLM &amp; IM Mapping'!$C$2:$C$270,MATCH(TRIM(B1480),'CLM &amp; IM Mapping'!$A$2:$A$270,0)),"Not Mapped"))</f>
        <v>Not Mapped</v>
      </c>
      <c r="E1480" s="41" t="n">
        <v>3056</v>
      </c>
      <c r="F1480" s="41" t="n">
        <v>3056</v>
      </c>
      <c r="G1480" s="41" t="n">
        <v>0</v>
      </c>
      <c r="H1480" s="41" t="n">
        <v>0</v>
      </c>
      <c r="I1480" s="41" t="n">
        <v>0</v>
      </c>
      <c r="J1480" s="41" t="n">
        <v>0</v>
      </c>
      <c r="K1480" s="41" t="n">
        <v>0</v>
      </c>
      <c r="L1480" s="41" t="n">
        <v>0</v>
      </c>
    </row>
    <row r="1481" customFormat="false" ht="15.75" hidden="false" customHeight="false" outlineLevel="0" collapsed="false">
      <c r="B1481" s="39" t="s">
        <v>1601</v>
      </c>
      <c r="C1481" s="40" t="str">
        <f aca="false">IF(B1481="","",IFERROR(INDEX('CLM &amp; IM Mapping'!$B$2:$B$270,MATCH(TRIM(B1481),'CLM &amp; IM Mapping'!$A$2:$A$270,0)),"Not Mapped"))</f>
        <v>Not Mapped</v>
      </c>
      <c r="D1481" s="40" t="str">
        <f aca="false">IF(B1481="","",IFERROR(INDEX('CLM &amp; IM Mapping'!$C$2:$C$270,MATCH(TRIM(B1481),'CLM &amp; IM Mapping'!$A$2:$A$270,0)),"Not Mapped"))</f>
        <v>Not Mapped</v>
      </c>
      <c r="E1481" s="41" t="n">
        <v>396</v>
      </c>
      <c r="F1481" s="41" t="n">
        <v>297</v>
      </c>
      <c r="G1481" s="41" t="n">
        <v>0</v>
      </c>
      <c r="H1481" s="41" t="n">
        <v>0</v>
      </c>
      <c r="I1481" s="41" t="n">
        <v>58</v>
      </c>
      <c r="J1481" s="41" t="n">
        <v>0</v>
      </c>
      <c r="K1481" s="41" t="n">
        <v>41</v>
      </c>
      <c r="L1481" s="41" t="n">
        <v>99</v>
      </c>
    </row>
    <row r="1482" customFormat="false" ht="15.75" hidden="false" customHeight="false" outlineLevel="0" collapsed="false">
      <c r="B1482" s="39" t="s">
        <v>1602</v>
      </c>
      <c r="C1482" s="40" t="str">
        <f aca="false">IF(B1482="","",IFERROR(INDEX('CLM &amp; IM Mapping'!$B$2:$B$270,MATCH(TRIM(B1482),'CLM &amp; IM Mapping'!$A$2:$A$270,0)),"Not Mapped"))</f>
        <v>Not Mapped</v>
      </c>
      <c r="D1482" s="40" t="str">
        <f aca="false">IF(B1482="","",IFERROR(INDEX('CLM &amp; IM Mapping'!$C$2:$C$270,MATCH(TRIM(B1482),'CLM &amp; IM Mapping'!$A$2:$A$270,0)),"Not Mapped"))</f>
        <v>Not Mapped</v>
      </c>
      <c r="E1482" s="41" t="n">
        <v>3016</v>
      </c>
      <c r="F1482" s="41" t="n">
        <v>1836</v>
      </c>
      <c r="G1482" s="41" t="n">
        <v>0</v>
      </c>
      <c r="H1482" s="41" t="n">
        <v>0</v>
      </c>
      <c r="I1482" s="41" t="n">
        <v>1180</v>
      </c>
      <c r="J1482" s="41" t="n">
        <v>0</v>
      </c>
      <c r="K1482" s="41" t="n">
        <v>0</v>
      </c>
      <c r="L1482" s="41" t="n">
        <v>1180</v>
      </c>
    </row>
    <row r="1483" customFormat="false" ht="15.75" hidden="false" customHeight="false" outlineLevel="0" collapsed="false">
      <c r="B1483" s="39" t="s">
        <v>1603</v>
      </c>
      <c r="C1483" s="40" t="str">
        <f aca="false">IF(B1483="","",IFERROR(INDEX('CLM &amp; IM Mapping'!$B$2:$B$270,MATCH(TRIM(B1483),'CLM &amp; IM Mapping'!$A$2:$A$270,0)),"Not Mapped"))</f>
        <v>Not Mapped</v>
      </c>
      <c r="D1483" s="40" t="str">
        <f aca="false">IF(B1483="","",IFERROR(INDEX('CLM &amp; IM Mapping'!$C$2:$C$270,MATCH(TRIM(B1483),'CLM &amp; IM Mapping'!$A$2:$A$270,0)),"Not Mapped"))</f>
        <v>Not Mapped</v>
      </c>
      <c r="E1483" s="41" t="n">
        <v>0</v>
      </c>
      <c r="F1483" s="41" t="n">
        <v>0</v>
      </c>
      <c r="G1483" s="41" t="n">
        <v>0</v>
      </c>
      <c r="H1483" s="41" t="n">
        <v>0</v>
      </c>
      <c r="I1483" s="41" t="n">
        <v>0</v>
      </c>
      <c r="J1483" s="41" t="n">
        <v>0</v>
      </c>
      <c r="K1483" s="41" t="n">
        <v>0</v>
      </c>
      <c r="L1483" s="41" t="n">
        <v>0</v>
      </c>
    </row>
    <row r="1484" customFormat="false" ht="15.75" hidden="false" customHeight="false" outlineLevel="0" collapsed="false">
      <c r="B1484" s="39" t="s">
        <v>1604</v>
      </c>
      <c r="C1484" s="40" t="str">
        <f aca="false">IF(B1484="","",IFERROR(INDEX('CLM &amp; IM Mapping'!$B$2:$B$270,MATCH(TRIM(B1484),'CLM &amp; IM Mapping'!$A$2:$A$270,0)),"Not Mapped"))</f>
        <v>Not Mapped</v>
      </c>
      <c r="D1484" s="40" t="str">
        <f aca="false">IF(B1484="","",IFERROR(INDEX('CLM &amp; IM Mapping'!$C$2:$C$270,MATCH(TRIM(B1484),'CLM &amp; IM Mapping'!$A$2:$A$270,0)),"Not Mapped"))</f>
        <v>Not Mapped</v>
      </c>
      <c r="E1484" s="41" t="n">
        <v>0</v>
      </c>
      <c r="F1484" s="41" t="n">
        <v>0</v>
      </c>
      <c r="G1484" s="41" t="n">
        <v>0</v>
      </c>
      <c r="H1484" s="41" t="n">
        <v>0</v>
      </c>
      <c r="I1484" s="41" t="n">
        <v>0</v>
      </c>
      <c r="J1484" s="41" t="n">
        <v>0</v>
      </c>
      <c r="K1484" s="41" t="n">
        <v>0</v>
      </c>
      <c r="L1484" s="41" t="n">
        <v>0</v>
      </c>
    </row>
    <row r="1485" customFormat="false" ht="15.75" hidden="false" customHeight="false" outlineLevel="0" collapsed="false">
      <c r="B1485" s="39" t="s">
        <v>1605</v>
      </c>
      <c r="C1485" s="40" t="str">
        <f aca="false">IF(B1485="","",IFERROR(INDEX('CLM &amp; IM Mapping'!$B$2:$B$270,MATCH(TRIM(B1485),'CLM &amp; IM Mapping'!$A$2:$A$270,0)),"Not Mapped"))</f>
        <v>Not Mapped</v>
      </c>
      <c r="D1485" s="40" t="str">
        <f aca="false">IF(B1485="","",IFERROR(INDEX('CLM &amp; IM Mapping'!$C$2:$C$270,MATCH(TRIM(B1485),'CLM &amp; IM Mapping'!$A$2:$A$270,0)),"Not Mapped"))</f>
        <v>Not Mapped</v>
      </c>
      <c r="E1485" s="41" t="n">
        <v>0</v>
      </c>
      <c r="F1485" s="41" t="n">
        <v>0</v>
      </c>
      <c r="G1485" s="41" t="n">
        <v>0</v>
      </c>
      <c r="H1485" s="41" t="n">
        <v>0</v>
      </c>
      <c r="I1485" s="41" t="n">
        <v>0</v>
      </c>
      <c r="J1485" s="41" t="n">
        <v>0</v>
      </c>
      <c r="K1485" s="41" t="n">
        <v>0</v>
      </c>
      <c r="L1485" s="41" t="n">
        <v>0</v>
      </c>
    </row>
    <row r="1486" customFormat="false" ht="15.75" hidden="false" customHeight="false" outlineLevel="0" collapsed="false">
      <c r="B1486" s="39" t="s">
        <v>1606</v>
      </c>
      <c r="C1486" s="40" t="str">
        <f aca="false">IF(B1486="","",IFERROR(INDEX('CLM &amp; IM Mapping'!$B$2:$B$270,MATCH(TRIM(B1486),'CLM &amp; IM Mapping'!$A$2:$A$270,0)),"Not Mapped"))</f>
        <v>Not Mapped</v>
      </c>
      <c r="D1486" s="40" t="str">
        <f aca="false">IF(B1486="","",IFERROR(INDEX('CLM &amp; IM Mapping'!$C$2:$C$270,MATCH(TRIM(B1486),'CLM &amp; IM Mapping'!$A$2:$A$270,0)),"Not Mapped"))</f>
        <v>Not Mapped</v>
      </c>
      <c r="E1486" s="41" t="n">
        <v>0</v>
      </c>
      <c r="F1486" s="41" t="n">
        <v>0</v>
      </c>
      <c r="G1486" s="41" t="n">
        <v>0</v>
      </c>
      <c r="H1486" s="41" t="n">
        <v>0</v>
      </c>
      <c r="I1486" s="41" t="n">
        <v>0</v>
      </c>
      <c r="J1486" s="41" t="n">
        <v>0</v>
      </c>
      <c r="K1486" s="41" t="n">
        <v>0</v>
      </c>
      <c r="L1486" s="41" t="n">
        <v>0</v>
      </c>
    </row>
    <row r="1487" customFormat="false" ht="15.75" hidden="false" customHeight="false" outlineLevel="0" collapsed="false">
      <c r="B1487" s="39" t="s">
        <v>1607</v>
      </c>
      <c r="C1487" s="40" t="str">
        <f aca="false">IF(B1487="","",IFERROR(INDEX('CLM &amp; IM Mapping'!$B$2:$B$270,MATCH(TRIM(B1487),'CLM &amp; IM Mapping'!$A$2:$A$270,0)),"Not Mapped"))</f>
        <v>Not Mapped</v>
      </c>
      <c r="D1487" s="40" t="str">
        <f aca="false">IF(B1487="","",IFERROR(INDEX('CLM &amp; IM Mapping'!$C$2:$C$270,MATCH(TRIM(B1487),'CLM &amp; IM Mapping'!$A$2:$A$270,0)),"Not Mapped"))</f>
        <v>Not Mapped</v>
      </c>
      <c r="E1487" s="41" t="n">
        <v>152</v>
      </c>
      <c r="F1487" s="41" t="n">
        <v>0</v>
      </c>
      <c r="G1487" s="41" t="n">
        <v>0</v>
      </c>
      <c r="H1487" s="41" t="n">
        <v>152</v>
      </c>
      <c r="I1487" s="41" t="n">
        <v>0</v>
      </c>
      <c r="J1487" s="41" t="n">
        <v>0</v>
      </c>
      <c r="K1487" s="41" t="n">
        <v>0</v>
      </c>
      <c r="L1487" s="41" t="n">
        <v>152</v>
      </c>
    </row>
    <row r="1488" customFormat="false" ht="15.75" hidden="false" customHeight="false" outlineLevel="0" collapsed="false">
      <c r="B1488" s="39" t="s">
        <v>1608</v>
      </c>
      <c r="C1488" s="40" t="str">
        <f aca="false">IF(B1488="","",IFERROR(INDEX('CLM &amp; IM Mapping'!$B$2:$B$270,MATCH(TRIM(B1488),'CLM &amp; IM Mapping'!$A$2:$A$270,0)),"Not Mapped"))</f>
        <v>Not Mapped</v>
      </c>
      <c r="D1488" s="40" t="str">
        <f aca="false">IF(B1488="","",IFERROR(INDEX('CLM &amp; IM Mapping'!$C$2:$C$270,MATCH(TRIM(B1488),'CLM &amp; IM Mapping'!$A$2:$A$270,0)),"Not Mapped"))</f>
        <v>Not Mapped</v>
      </c>
      <c r="E1488" s="41" t="n">
        <v>6101</v>
      </c>
      <c r="F1488" s="41" t="n">
        <v>0</v>
      </c>
      <c r="G1488" s="41" t="n">
        <v>75</v>
      </c>
      <c r="H1488" s="41" t="n">
        <v>0</v>
      </c>
      <c r="I1488" s="41" t="n">
        <v>3424</v>
      </c>
      <c r="J1488" s="41" t="n">
        <v>2602</v>
      </c>
      <c r="K1488" s="41" t="n">
        <v>0</v>
      </c>
      <c r="L1488" s="41" t="n">
        <v>6026</v>
      </c>
    </row>
    <row r="1489" customFormat="false" ht="15.75" hidden="false" customHeight="false" outlineLevel="0" collapsed="false">
      <c r="B1489" s="39" t="s">
        <v>1609</v>
      </c>
      <c r="C1489" s="40" t="str">
        <f aca="false">IF(B1489="","",IFERROR(INDEX('CLM &amp; IM Mapping'!$B$2:$B$270,MATCH(TRIM(B1489),'CLM &amp; IM Mapping'!$A$2:$A$270,0)),"Not Mapped"))</f>
        <v>Not Mapped</v>
      </c>
      <c r="D1489" s="40" t="str">
        <f aca="false">IF(B1489="","",IFERROR(INDEX('CLM &amp; IM Mapping'!$C$2:$C$270,MATCH(TRIM(B1489),'CLM &amp; IM Mapping'!$A$2:$A$270,0)),"Not Mapped"))</f>
        <v>Not Mapped</v>
      </c>
      <c r="E1489" s="41" t="n">
        <v>0</v>
      </c>
      <c r="F1489" s="41" t="n">
        <v>0</v>
      </c>
      <c r="G1489" s="41" t="n">
        <v>0</v>
      </c>
      <c r="H1489" s="41" t="n">
        <v>0</v>
      </c>
      <c r="I1489" s="41" t="n">
        <v>0</v>
      </c>
      <c r="J1489" s="41" t="n">
        <v>0</v>
      </c>
      <c r="K1489" s="41" t="n">
        <v>0</v>
      </c>
      <c r="L1489" s="41" t="n">
        <v>0</v>
      </c>
    </row>
    <row r="1490" customFormat="false" ht="15.75" hidden="false" customHeight="false" outlineLevel="0" collapsed="false">
      <c r="B1490" s="39" t="s">
        <v>1610</v>
      </c>
      <c r="C1490" s="40" t="str">
        <f aca="false">IF(B1490="","",IFERROR(INDEX('CLM &amp; IM Mapping'!$B$2:$B$270,MATCH(TRIM(B1490),'CLM &amp; IM Mapping'!$A$2:$A$270,0)),"Not Mapped"))</f>
        <v>Not Mapped</v>
      </c>
      <c r="D1490" s="40" t="str">
        <f aca="false">IF(B1490="","",IFERROR(INDEX('CLM &amp; IM Mapping'!$C$2:$C$270,MATCH(TRIM(B1490),'CLM &amp; IM Mapping'!$A$2:$A$270,0)),"Not Mapped"))</f>
        <v>Not Mapped</v>
      </c>
      <c r="E1490" s="41" t="n">
        <v>0</v>
      </c>
      <c r="F1490" s="41" t="n">
        <v>0</v>
      </c>
      <c r="G1490" s="41" t="n">
        <v>0</v>
      </c>
      <c r="H1490" s="41" t="n">
        <v>0</v>
      </c>
      <c r="I1490" s="41" t="n">
        <v>0</v>
      </c>
      <c r="J1490" s="41" t="n">
        <v>0</v>
      </c>
      <c r="K1490" s="41" t="n">
        <v>0</v>
      </c>
      <c r="L1490" s="41" t="n">
        <v>0</v>
      </c>
    </row>
    <row r="1491" customFormat="false" ht="15.75" hidden="false" customHeight="false" outlineLevel="0" collapsed="false">
      <c r="B1491" s="39" t="s">
        <v>1611</v>
      </c>
      <c r="C1491" s="40" t="str">
        <f aca="false">IF(B1491="","",IFERROR(INDEX('CLM &amp; IM Mapping'!$B$2:$B$270,MATCH(TRIM(B1491),'CLM &amp; IM Mapping'!$A$2:$A$270,0)),"Not Mapped"))</f>
        <v>Not Mapped</v>
      </c>
      <c r="D1491" s="40" t="str">
        <f aca="false">IF(B1491="","",IFERROR(INDEX('CLM &amp; IM Mapping'!$C$2:$C$270,MATCH(TRIM(B1491),'CLM &amp; IM Mapping'!$A$2:$A$270,0)),"Not Mapped"))</f>
        <v>Not Mapped</v>
      </c>
      <c r="E1491" s="41" t="n">
        <v>0</v>
      </c>
      <c r="F1491" s="41" t="n">
        <v>0</v>
      </c>
      <c r="G1491" s="41" t="n">
        <v>0</v>
      </c>
      <c r="H1491" s="41" t="n">
        <v>0</v>
      </c>
      <c r="I1491" s="41" t="n">
        <v>0</v>
      </c>
      <c r="J1491" s="41" t="n">
        <v>0</v>
      </c>
      <c r="K1491" s="41" t="n">
        <v>0</v>
      </c>
      <c r="L1491" s="41" t="n">
        <v>0</v>
      </c>
    </row>
    <row r="1492" customFormat="false" ht="15.75" hidden="false" customHeight="false" outlineLevel="0" collapsed="false">
      <c r="B1492" s="39" t="s">
        <v>1612</v>
      </c>
      <c r="C1492" s="40" t="str">
        <f aca="false">IF(B1492="","",IFERROR(INDEX('CLM &amp; IM Mapping'!$B$2:$B$270,MATCH(TRIM(B1492),'CLM &amp; IM Mapping'!$A$2:$A$270,0)),"Not Mapped"))</f>
        <v>Not Mapped</v>
      </c>
      <c r="D1492" s="40" t="str">
        <f aca="false">IF(B1492="","",IFERROR(INDEX('CLM &amp; IM Mapping'!$C$2:$C$270,MATCH(TRIM(B1492),'CLM &amp; IM Mapping'!$A$2:$A$270,0)),"Not Mapped"))</f>
        <v>Not Mapped</v>
      </c>
      <c r="E1492" s="41" t="n">
        <v>0</v>
      </c>
      <c r="F1492" s="41" t="n">
        <v>0</v>
      </c>
      <c r="G1492" s="41" t="n">
        <v>0</v>
      </c>
      <c r="H1492" s="41" t="n">
        <v>0</v>
      </c>
      <c r="I1492" s="41" t="n">
        <v>0</v>
      </c>
      <c r="J1492" s="41" t="n">
        <v>0</v>
      </c>
      <c r="K1492" s="41" t="n">
        <v>0</v>
      </c>
      <c r="L1492" s="41" t="n">
        <v>0</v>
      </c>
    </row>
    <row r="1493" customFormat="false" ht="15.75" hidden="false" customHeight="false" outlineLevel="0" collapsed="false">
      <c r="B1493" s="39" t="s">
        <v>1613</v>
      </c>
      <c r="C1493" s="40" t="str">
        <f aca="false">IF(B1493="","",IFERROR(INDEX('CLM &amp; IM Mapping'!$B$2:$B$270,MATCH(TRIM(B1493),'CLM &amp; IM Mapping'!$A$2:$A$270,0)),"Not Mapped"))</f>
        <v>Not Mapped</v>
      </c>
      <c r="D1493" s="40" t="str">
        <f aca="false">IF(B1493="","",IFERROR(INDEX('CLM &amp; IM Mapping'!$C$2:$C$270,MATCH(TRIM(B1493),'CLM &amp; IM Mapping'!$A$2:$A$270,0)),"Not Mapped"))</f>
        <v>Not Mapped</v>
      </c>
      <c r="E1493" s="41" t="n">
        <v>0</v>
      </c>
      <c r="F1493" s="41" t="n">
        <v>0</v>
      </c>
      <c r="G1493" s="41" t="n">
        <v>0</v>
      </c>
      <c r="H1493" s="41" t="n">
        <v>0</v>
      </c>
      <c r="I1493" s="41" t="n">
        <v>0</v>
      </c>
      <c r="J1493" s="41" t="n">
        <v>0</v>
      </c>
      <c r="K1493" s="41" t="n">
        <v>0</v>
      </c>
      <c r="L1493" s="41" t="n">
        <v>0</v>
      </c>
    </row>
    <row r="1494" customFormat="false" ht="15.75" hidden="false" customHeight="false" outlineLevel="0" collapsed="false">
      <c r="B1494" s="39" t="s">
        <v>1614</v>
      </c>
      <c r="C1494" s="40" t="str">
        <f aca="false">IF(B1494="","",IFERROR(INDEX('CLM &amp; IM Mapping'!$B$2:$B$270,MATCH(TRIM(B1494),'CLM &amp; IM Mapping'!$A$2:$A$270,0)),"Not Mapped"))</f>
        <v>Not Mapped</v>
      </c>
      <c r="D1494" s="40" t="str">
        <f aca="false">IF(B1494="","",IFERROR(INDEX('CLM &amp; IM Mapping'!$C$2:$C$270,MATCH(TRIM(B1494),'CLM &amp; IM Mapping'!$A$2:$A$270,0)),"Not Mapped"))</f>
        <v>Not Mapped</v>
      </c>
      <c r="E1494" s="41" t="n">
        <v>0</v>
      </c>
      <c r="F1494" s="41" t="n">
        <v>0</v>
      </c>
      <c r="G1494" s="41" t="n">
        <v>0</v>
      </c>
      <c r="H1494" s="41" t="n">
        <v>0</v>
      </c>
      <c r="I1494" s="41" t="n">
        <v>0</v>
      </c>
      <c r="J1494" s="41" t="n">
        <v>0</v>
      </c>
      <c r="K1494" s="41" t="n">
        <v>0</v>
      </c>
      <c r="L1494" s="41" t="n">
        <v>0</v>
      </c>
    </row>
    <row r="1495" customFormat="false" ht="15.75" hidden="false" customHeight="false" outlineLevel="0" collapsed="false">
      <c r="B1495" s="39" t="s">
        <v>1615</v>
      </c>
      <c r="C1495" s="40" t="str">
        <f aca="false">IF(B1495="","",IFERROR(INDEX('CLM &amp; IM Mapping'!$B$2:$B$270,MATCH(TRIM(B1495),'CLM &amp; IM Mapping'!$A$2:$A$270,0)),"Not Mapped"))</f>
        <v>Not Mapped</v>
      </c>
      <c r="D1495" s="40" t="str">
        <f aca="false">IF(B1495="","",IFERROR(INDEX('CLM &amp; IM Mapping'!$C$2:$C$270,MATCH(TRIM(B1495),'CLM &amp; IM Mapping'!$A$2:$A$270,0)),"Not Mapped"))</f>
        <v>Not Mapped</v>
      </c>
      <c r="E1495" s="41" t="n">
        <v>0</v>
      </c>
      <c r="F1495" s="41" t="n">
        <v>0</v>
      </c>
      <c r="G1495" s="41" t="n">
        <v>0</v>
      </c>
      <c r="H1495" s="41" t="n">
        <v>0</v>
      </c>
      <c r="I1495" s="41" t="n">
        <v>0</v>
      </c>
      <c r="J1495" s="41" t="n">
        <v>0</v>
      </c>
      <c r="K1495" s="41" t="n">
        <v>0</v>
      </c>
      <c r="L1495" s="41" t="n">
        <v>0</v>
      </c>
    </row>
    <row r="1496" customFormat="false" ht="15.75" hidden="false" customHeight="false" outlineLevel="0" collapsed="false">
      <c r="B1496" s="39" t="s">
        <v>1616</v>
      </c>
      <c r="C1496" s="40" t="str">
        <f aca="false">IF(B1496="","",IFERROR(INDEX('CLM &amp; IM Mapping'!$B$2:$B$270,MATCH(TRIM(B1496),'CLM &amp; IM Mapping'!$A$2:$A$270,0)),"Not Mapped"))</f>
        <v>Not Mapped</v>
      </c>
      <c r="D1496" s="40" t="str">
        <f aca="false">IF(B1496="","",IFERROR(INDEX('CLM &amp; IM Mapping'!$C$2:$C$270,MATCH(TRIM(B1496),'CLM &amp; IM Mapping'!$A$2:$A$270,0)),"Not Mapped"))</f>
        <v>Not Mapped</v>
      </c>
      <c r="E1496" s="41" t="n">
        <v>0</v>
      </c>
      <c r="F1496" s="41" t="n">
        <v>0</v>
      </c>
      <c r="G1496" s="41" t="n">
        <v>0</v>
      </c>
      <c r="H1496" s="41" t="n">
        <v>0</v>
      </c>
      <c r="I1496" s="41" t="n">
        <v>0</v>
      </c>
      <c r="J1496" s="41" t="n">
        <v>0</v>
      </c>
      <c r="K1496" s="41" t="n">
        <v>0</v>
      </c>
      <c r="L1496" s="41" t="n">
        <v>0</v>
      </c>
    </row>
    <row r="1497" customFormat="false" ht="15.75" hidden="false" customHeight="false" outlineLevel="0" collapsed="false">
      <c r="B1497" s="39" t="s">
        <v>1617</v>
      </c>
      <c r="C1497" s="40" t="str">
        <f aca="false">IF(B1497="","",IFERROR(INDEX('CLM &amp; IM Mapping'!$B$2:$B$270,MATCH(TRIM(B1497),'CLM &amp; IM Mapping'!$A$2:$A$270,0)),"Not Mapped"))</f>
        <v>Not Mapped</v>
      </c>
      <c r="D1497" s="40" t="str">
        <f aca="false">IF(B1497="","",IFERROR(INDEX('CLM &amp; IM Mapping'!$C$2:$C$270,MATCH(TRIM(B1497),'CLM &amp; IM Mapping'!$A$2:$A$270,0)),"Not Mapped"))</f>
        <v>Not Mapped</v>
      </c>
      <c r="E1497" s="41" t="n">
        <v>0</v>
      </c>
      <c r="F1497" s="41" t="n">
        <v>0</v>
      </c>
      <c r="G1497" s="41" t="n">
        <v>0</v>
      </c>
      <c r="H1497" s="41" t="n">
        <v>0</v>
      </c>
      <c r="I1497" s="41" t="n">
        <v>0</v>
      </c>
      <c r="J1497" s="41" t="n">
        <v>0</v>
      </c>
      <c r="K1497" s="41" t="n">
        <v>0</v>
      </c>
      <c r="L1497" s="41" t="n">
        <v>0</v>
      </c>
    </row>
    <row r="1498" customFormat="false" ht="15.75" hidden="false" customHeight="false" outlineLevel="0" collapsed="false">
      <c r="B1498" s="39" t="s">
        <v>1618</v>
      </c>
      <c r="C1498" s="40" t="str">
        <f aca="false">IF(B1498="","",IFERROR(INDEX('CLM &amp; IM Mapping'!$B$2:$B$270,MATCH(TRIM(B1498),'CLM &amp; IM Mapping'!$A$2:$A$270,0)),"Not Mapped"))</f>
        <v>Not Mapped</v>
      </c>
      <c r="D1498" s="40" t="str">
        <f aca="false">IF(B1498="","",IFERROR(INDEX('CLM &amp; IM Mapping'!$C$2:$C$270,MATCH(TRIM(B1498),'CLM &amp; IM Mapping'!$A$2:$A$270,0)),"Not Mapped"))</f>
        <v>Not Mapped</v>
      </c>
      <c r="E1498" s="41" t="n">
        <v>0</v>
      </c>
      <c r="F1498" s="41" t="n">
        <v>0</v>
      </c>
      <c r="G1498" s="41" t="n">
        <v>0</v>
      </c>
      <c r="H1498" s="41" t="n">
        <v>0</v>
      </c>
      <c r="I1498" s="41" t="n">
        <v>0</v>
      </c>
      <c r="J1498" s="41" t="n">
        <v>0</v>
      </c>
      <c r="K1498" s="41" t="n">
        <v>0</v>
      </c>
      <c r="L1498" s="41" t="n">
        <v>0</v>
      </c>
    </row>
    <row r="1499" customFormat="false" ht="15.75" hidden="false" customHeight="false" outlineLevel="0" collapsed="false">
      <c r="B1499" s="39" t="s">
        <v>1619</v>
      </c>
      <c r="C1499" s="40" t="str">
        <f aca="false">IF(B1499="","",IFERROR(INDEX('CLM &amp; IM Mapping'!$B$2:$B$270,MATCH(TRIM(B1499),'CLM &amp; IM Mapping'!$A$2:$A$270,0)),"Not Mapped"))</f>
        <v>Not Mapped</v>
      </c>
      <c r="D1499" s="40" t="str">
        <f aca="false">IF(B1499="","",IFERROR(INDEX('CLM &amp; IM Mapping'!$C$2:$C$270,MATCH(TRIM(B1499),'CLM &amp; IM Mapping'!$A$2:$A$270,0)),"Not Mapped"))</f>
        <v>Not Mapped</v>
      </c>
      <c r="E1499" s="41" t="n">
        <v>0</v>
      </c>
      <c r="F1499" s="41" t="n">
        <v>0</v>
      </c>
      <c r="G1499" s="41" t="n">
        <v>0</v>
      </c>
      <c r="H1499" s="41" t="n">
        <v>0</v>
      </c>
      <c r="I1499" s="41" t="n">
        <v>0</v>
      </c>
      <c r="J1499" s="41" t="n">
        <v>0</v>
      </c>
      <c r="K1499" s="41" t="n">
        <v>0</v>
      </c>
      <c r="L1499" s="41" t="n">
        <v>0</v>
      </c>
    </row>
    <row r="1500" customFormat="false" ht="15.75" hidden="false" customHeight="false" outlineLevel="0" collapsed="false">
      <c r="B1500" s="39" t="s">
        <v>1620</v>
      </c>
      <c r="C1500" s="40" t="str">
        <f aca="false">IF(B1500="","",IFERROR(INDEX('CLM &amp; IM Mapping'!$B$2:$B$270,MATCH(TRIM(B1500),'CLM &amp; IM Mapping'!$A$2:$A$270,0)),"Not Mapped"))</f>
        <v>Not Mapped</v>
      </c>
      <c r="D1500" s="40" t="str">
        <f aca="false">IF(B1500="","",IFERROR(INDEX('CLM &amp; IM Mapping'!$C$2:$C$270,MATCH(TRIM(B1500),'CLM &amp; IM Mapping'!$A$2:$A$270,0)),"Not Mapped"))</f>
        <v>Not Mapped</v>
      </c>
      <c r="E1500" s="41" t="n">
        <v>0</v>
      </c>
      <c r="F1500" s="41" t="n">
        <v>0</v>
      </c>
      <c r="G1500" s="41" t="n">
        <v>0</v>
      </c>
      <c r="H1500" s="41" t="n">
        <v>0</v>
      </c>
      <c r="I1500" s="41" t="n">
        <v>0</v>
      </c>
      <c r="J1500" s="41" t="n">
        <v>0</v>
      </c>
      <c r="K1500" s="41" t="n">
        <v>0</v>
      </c>
      <c r="L1500" s="41" t="n">
        <v>0</v>
      </c>
    </row>
    <row r="1501" customFormat="false" ht="15.75" hidden="false" customHeight="false" outlineLevel="0" collapsed="false">
      <c r="B1501" s="39" t="s">
        <v>1621</v>
      </c>
      <c r="C1501" s="40" t="str">
        <f aca="false">IF(B1501="","",IFERROR(INDEX('CLM &amp; IM Mapping'!$B$2:$B$270,MATCH(TRIM(B1501),'CLM &amp; IM Mapping'!$A$2:$A$270,0)),"Not Mapped"))</f>
        <v>Not Mapped</v>
      </c>
      <c r="D1501" s="40" t="str">
        <f aca="false">IF(B1501="","",IFERROR(INDEX('CLM &amp; IM Mapping'!$C$2:$C$270,MATCH(TRIM(B1501),'CLM &amp; IM Mapping'!$A$2:$A$270,0)),"Not Mapped"))</f>
        <v>Not Mapped</v>
      </c>
      <c r="E1501" s="41" t="n">
        <v>0</v>
      </c>
      <c r="F1501" s="41" t="n">
        <v>0</v>
      </c>
      <c r="G1501" s="41" t="n">
        <v>0</v>
      </c>
      <c r="H1501" s="41" t="n">
        <v>0</v>
      </c>
      <c r="I1501" s="41" t="n">
        <v>0</v>
      </c>
      <c r="J1501" s="41" t="n">
        <v>0</v>
      </c>
      <c r="K1501" s="41" t="n">
        <v>0</v>
      </c>
      <c r="L1501" s="41" t="n">
        <v>0</v>
      </c>
    </row>
    <row r="1502" customFormat="false" ht="15.75" hidden="false" customHeight="false" outlineLevel="0" collapsed="false">
      <c r="B1502" s="39" t="s">
        <v>346</v>
      </c>
      <c r="C1502" s="40" t="str">
        <f aca="false">IF(B1502="","",IFERROR(INDEX('CLM &amp; IM Mapping'!$B$2:$B$270,MATCH(TRIM(B1502),'CLM &amp; IM Mapping'!$A$2:$A$270,0)),"Not Mapped"))</f>
        <v>John Britto</v>
      </c>
      <c r="D1502" s="40" t="str">
        <f aca="false">IF(B1502="","",IFERROR(INDEX('CLM &amp; IM Mapping'!$C$2:$C$270,MATCH(TRIM(B1502),'CLM &amp; IM Mapping'!$A$2:$A$270,0)),"Not Mapped"))</f>
        <v>Aravind S</v>
      </c>
      <c r="E1502" s="41" t="n">
        <v>0</v>
      </c>
      <c r="F1502" s="41" t="n">
        <v>0</v>
      </c>
      <c r="G1502" s="41" t="n">
        <v>0</v>
      </c>
      <c r="H1502" s="41" t="n">
        <v>0</v>
      </c>
      <c r="I1502" s="41" t="n">
        <v>0</v>
      </c>
      <c r="J1502" s="41" t="n">
        <v>0</v>
      </c>
      <c r="K1502" s="41" t="n">
        <v>0</v>
      </c>
      <c r="L1502" s="41" t="n">
        <v>0</v>
      </c>
    </row>
    <row r="1503" customFormat="false" ht="15.75" hidden="false" customHeight="false" outlineLevel="0" collapsed="false">
      <c r="B1503" s="39" t="s">
        <v>347</v>
      </c>
      <c r="C1503" s="40" t="str">
        <f aca="false">IF(B1503="","",IFERROR(INDEX('CLM &amp; IM Mapping'!$B$2:$B$270,MATCH(TRIM(B1503),'CLM &amp; IM Mapping'!$A$2:$A$270,0)),"Not Mapped"))</f>
        <v>John Britto</v>
      </c>
      <c r="D1503" s="40" t="str">
        <f aca="false">IF(B1503="","",IFERROR(INDEX('CLM &amp; IM Mapping'!$C$2:$C$270,MATCH(TRIM(B1503),'CLM &amp; IM Mapping'!$A$2:$A$270,0)),"Not Mapped"))</f>
        <v>Aravind S</v>
      </c>
      <c r="E1503" s="41" t="n">
        <v>0</v>
      </c>
      <c r="F1503" s="41" t="n">
        <v>0</v>
      </c>
      <c r="G1503" s="41" t="n">
        <v>0</v>
      </c>
      <c r="H1503" s="41" t="n">
        <v>0</v>
      </c>
      <c r="I1503" s="41" t="n">
        <v>0</v>
      </c>
      <c r="J1503" s="41" t="n">
        <v>0</v>
      </c>
      <c r="K1503" s="41" t="n">
        <v>0</v>
      </c>
      <c r="L1503" s="41" t="n">
        <v>0</v>
      </c>
    </row>
    <row r="1504" customFormat="false" ht="15.75" hidden="false" customHeight="false" outlineLevel="0" collapsed="false">
      <c r="B1504" s="39" t="s">
        <v>109</v>
      </c>
      <c r="C1504" s="40" t="str">
        <f aca="false">IF(B1504="","",IFERROR(INDEX('CLM &amp; IM Mapping'!$B$2:$B$270,MATCH(TRIM(B1504),'CLM &amp; IM Mapping'!$A$2:$A$270,0)),"Not Mapped"))</f>
        <v>Akshay P</v>
      </c>
      <c r="D1504" s="40" t="str">
        <f aca="false">IF(B1504="","",IFERROR(INDEX('CLM &amp; IM Mapping'!$C$2:$C$270,MATCH(TRIM(B1504),'CLM &amp; IM Mapping'!$A$2:$A$270,0)),"Not Mapped"))</f>
        <v>Srittam Dhal</v>
      </c>
      <c r="E1504" s="41" t="n">
        <v>0</v>
      </c>
      <c r="F1504" s="41" t="n">
        <v>0</v>
      </c>
      <c r="G1504" s="41" t="n">
        <v>0</v>
      </c>
      <c r="H1504" s="41" t="n">
        <v>0</v>
      </c>
      <c r="I1504" s="41" t="n">
        <v>0</v>
      </c>
      <c r="J1504" s="41" t="n">
        <v>0</v>
      </c>
      <c r="K1504" s="41" t="n">
        <v>0</v>
      </c>
      <c r="L1504" s="41" t="n">
        <v>0</v>
      </c>
    </row>
    <row r="1505" customFormat="false" ht="15.75" hidden="false" customHeight="false" outlineLevel="0" collapsed="false">
      <c r="B1505" s="39" t="s">
        <v>1622</v>
      </c>
      <c r="C1505" s="40" t="str">
        <f aca="false">IF(B1505="","",IFERROR(INDEX('CLM &amp; IM Mapping'!$B$2:$B$270,MATCH(TRIM(B1505),'CLM &amp; IM Mapping'!$A$2:$A$270,0)),"Not Mapped"))</f>
        <v>Not Mapped</v>
      </c>
      <c r="D1505" s="40" t="str">
        <f aca="false">IF(B1505="","",IFERROR(INDEX('CLM &amp; IM Mapping'!$C$2:$C$270,MATCH(TRIM(B1505),'CLM &amp; IM Mapping'!$A$2:$A$270,0)),"Not Mapped"))</f>
        <v>Not Mapped</v>
      </c>
      <c r="E1505" s="41" t="n">
        <v>2660</v>
      </c>
      <c r="F1505" s="41" t="n">
        <v>810</v>
      </c>
      <c r="G1505" s="41" t="n">
        <v>1850</v>
      </c>
      <c r="H1505" s="41" t="n">
        <v>0</v>
      </c>
      <c r="I1505" s="41" t="n">
        <v>0</v>
      </c>
      <c r="J1505" s="41" t="n">
        <v>0</v>
      </c>
      <c r="K1505" s="41" t="n">
        <v>0</v>
      </c>
      <c r="L1505" s="41" t="n">
        <v>0</v>
      </c>
    </row>
    <row r="1506" customFormat="false" ht="15.75" hidden="false" customHeight="false" outlineLevel="0" collapsed="false">
      <c r="B1506" s="39" t="s">
        <v>1623</v>
      </c>
      <c r="C1506" s="40" t="str">
        <f aca="false">IF(B1506="","",IFERROR(INDEX('CLM &amp; IM Mapping'!$B$2:$B$270,MATCH(TRIM(B1506),'CLM &amp; IM Mapping'!$A$2:$A$270,0)),"Not Mapped"))</f>
        <v>Not Mapped</v>
      </c>
      <c r="D1506" s="40" t="str">
        <f aca="false">IF(B1506="","",IFERROR(INDEX('CLM &amp; IM Mapping'!$C$2:$C$270,MATCH(TRIM(B1506),'CLM &amp; IM Mapping'!$A$2:$A$270,0)),"Not Mapped"))</f>
        <v>Not Mapped</v>
      </c>
      <c r="E1506" s="41" t="n">
        <v>0</v>
      </c>
      <c r="F1506" s="41" t="n">
        <v>0</v>
      </c>
      <c r="G1506" s="41" t="n">
        <v>0</v>
      </c>
      <c r="H1506" s="41" t="n">
        <v>0</v>
      </c>
      <c r="I1506" s="41" t="n">
        <v>0</v>
      </c>
      <c r="J1506" s="41" t="n">
        <v>0</v>
      </c>
      <c r="K1506" s="41" t="n">
        <v>0</v>
      </c>
      <c r="L1506" s="41" t="n">
        <v>0</v>
      </c>
    </row>
    <row r="1507" customFormat="false" ht="15.75" hidden="false" customHeight="false" outlineLevel="0" collapsed="false">
      <c r="B1507" s="39" t="s">
        <v>1624</v>
      </c>
      <c r="C1507" s="40" t="str">
        <f aca="false">IF(B1507="","",IFERROR(INDEX('CLM &amp; IM Mapping'!$B$2:$B$270,MATCH(TRIM(B1507),'CLM &amp; IM Mapping'!$A$2:$A$270,0)),"Not Mapped"))</f>
        <v>Not Mapped</v>
      </c>
      <c r="D1507" s="40" t="str">
        <f aca="false">IF(B1507="","",IFERROR(INDEX('CLM &amp; IM Mapping'!$C$2:$C$270,MATCH(TRIM(B1507),'CLM &amp; IM Mapping'!$A$2:$A$270,0)),"Not Mapped"))</f>
        <v>Not Mapped</v>
      </c>
      <c r="E1507" s="41" t="n">
        <v>3466</v>
      </c>
      <c r="F1507" s="41" t="n">
        <v>3466</v>
      </c>
      <c r="G1507" s="41" t="n">
        <v>0</v>
      </c>
      <c r="H1507" s="41" t="n">
        <v>0</v>
      </c>
      <c r="I1507" s="41" t="n">
        <v>0</v>
      </c>
      <c r="J1507" s="41" t="n">
        <v>0</v>
      </c>
      <c r="K1507" s="41" t="n">
        <v>0</v>
      </c>
      <c r="L1507" s="41" t="n">
        <v>0</v>
      </c>
    </row>
    <row r="1508" customFormat="false" ht="15.75" hidden="false" customHeight="false" outlineLevel="0" collapsed="false">
      <c r="B1508" s="39" t="s">
        <v>1625</v>
      </c>
      <c r="C1508" s="40" t="str">
        <f aca="false">IF(B1508="","",IFERROR(INDEX('CLM &amp; IM Mapping'!$B$2:$B$270,MATCH(TRIM(B1508),'CLM &amp; IM Mapping'!$A$2:$A$270,0)),"Not Mapped"))</f>
        <v>Not Mapped</v>
      </c>
      <c r="D1508" s="40" t="str">
        <f aca="false">IF(B1508="","",IFERROR(INDEX('CLM &amp; IM Mapping'!$C$2:$C$270,MATCH(TRIM(B1508),'CLM &amp; IM Mapping'!$A$2:$A$270,0)),"Not Mapped"))</f>
        <v>Not Mapped</v>
      </c>
      <c r="E1508" s="41" t="n">
        <v>0</v>
      </c>
      <c r="F1508" s="41" t="n">
        <v>0</v>
      </c>
      <c r="G1508" s="41" t="n">
        <v>0</v>
      </c>
      <c r="H1508" s="41" t="n">
        <v>0</v>
      </c>
      <c r="I1508" s="41" t="n">
        <v>0</v>
      </c>
      <c r="J1508" s="41" t="n">
        <v>0</v>
      </c>
      <c r="K1508" s="41" t="n">
        <v>0</v>
      </c>
      <c r="L1508" s="41" t="n">
        <v>0</v>
      </c>
    </row>
    <row r="1509" customFormat="false" ht="15.75" hidden="false" customHeight="false" outlineLevel="0" collapsed="false">
      <c r="B1509" s="39" t="s">
        <v>1626</v>
      </c>
      <c r="C1509" s="40" t="str">
        <f aca="false">IF(B1509="","",IFERROR(INDEX('CLM &amp; IM Mapping'!$B$2:$B$270,MATCH(TRIM(B1509),'CLM &amp; IM Mapping'!$A$2:$A$270,0)),"Not Mapped"))</f>
        <v>Not Mapped</v>
      </c>
      <c r="D1509" s="40" t="str">
        <f aca="false">IF(B1509="","",IFERROR(INDEX('CLM &amp; IM Mapping'!$C$2:$C$270,MATCH(TRIM(B1509),'CLM &amp; IM Mapping'!$A$2:$A$270,0)),"Not Mapped"))</f>
        <v>Not Mapped</v>
      </c>
      <c r="E1509" s="41" t="n">
        <v>0</v>
      </c>
      <c r="F1509" s="41" t="n">
        <v>0</v>
      </c>
      <c r="G1509" s="41" t="n">
        <v>0</v>
      </c>
      <c r="H1509" s="41" t="n">
        <v>0</v>
      </c>
      <c r="I1509" s="41" t="n">
        <v>0</v>
      </c>
      <c r="J1509" s="41" t="n">
        <v>0</v>
      </c>
      <c r="K1509" s="41" t="n">
        <v>0</v>
      </c>
      <c r="L1509" s="41" t="n">
        <v>0</v>
      </c>
    </row>
    <row r="1510" customFormat="false" ht="15.75" hidden="false" customHeight="false" outlineLevel="0" collapsed="false">
      <c r="B1510" s="39" t="s">
        <v>1627</v>
      </c>
      <c r="C1510" s="40" t="str">
        <f aca="false">IF(B1510="","",IFERROR(INDEX('CLM &amp; IM Mapping'!$B$2:$B$270,MATCH(TRIM(B1510),'CLM &amp; IM Mapping'!$A$2:$A$270,0)),"Not Mapped"))</f>
        <v>Not Mapped</v>
      </c>
      <c r="D1510" s="40" t="str">
        <f aca="false">IF(B1510="","",IFERROR(INDEX('CLM &amp; IM Mapping'!$C$2:$C$270,MATCH(TRIM(B1510),'CLM &amp; IM Mapping'!$A$2:$A$270,0)),"Not Mapped"))</f>
        <v>Not Mapped</v>
      </c>
      <c r="E1510" s="41" t="n">
        <v>0</v>
      </c>
      <c r="F1510" s="41" t="n">
        <v>0</v>
      </c>
      <c r="G1510" s="41" t="n">
        <v>0</v>
      </c>
      <c r="H1510" s="41" t="n">
        <v>0</v>
      </c>
      <c r="I1510" s="41" t="n">
        <v>0</v>
      </c>
      <c r="J1510" s="41" t="n">
        <v>0</v>
      </c>
      <c r="K1510" s="41" t="n">
        <v>0</v>
      </c>
      <c r="L1510" s="41" t="n">
        <v>0</v>
      </c>
    </row>
    <row r="1511" customFormat="false" ht="15.75" hidden="false" customHeight="false" outlineLevel="0" collapsed="false">
      <c r="B1511" s="39" t="s">
        <v>1628</v>
      </c>
      <c r="C1511" s="40" t="str">
        <f aca="false">IF(B1511="","",IFERROR(INDEX('CLM &amp; IM Mapping'!$B$2:$B$270,MATCH(TRIM(B1511),'CLM &amp; IM Mapping'!$A$2:$A$270,0)),"Not Mapped"))</f>
        <v>Not Mapped</v>
      </c>
      <c r="D1511" s="40" t="str">
        <f aca="false">IF(B1511="","",IFERROR(INDEX('CLM &amp; IM Mapping'!$C$2:$C$270,MATCH(TRIM(B1511),'CLM &amp; IM Mapping'!$A$2:$A$270,0)),"Not Mapped"))</f>
        <v>Not Mapped</v>
      </c>
      <c r="E1511" s="41" t="n">
        <v>0</v>
      </c>
      <c r="F1511" s="41" t="n">
        <v>0</v>
      </c>
      <c r="G1511" s="41" t="n">
        <v>0</v>
      </c>
      <c r="H1511" s="41" t="n">
        <v>0</v>
      </c>
      <c r="I1511" s="41" t="n">
        <v>0</v>
      </c>
      <c r="J1511" s="41" t="n">
        <v>0</v>
      </c>
      <c r="K1511" s="41" t="n">
        <v>0</v>
      </c>
      <c r="L1511" s="41" t="n">
        <v>0</v>
      </c>
    </row>
    <row r="1512" customFormat="false" ht="15.75" hidden="false" customHeight="false" outlineLevel="0" collapsed="false">
      <c r="B1512" s="39" t="s">
        <v>1629</v>
      </c>
      <c r="C1512" s="40" t="str">
        <f aca="false">IF(B1512="","",IFERROR(INDEX('CLM &amp; IM Mapping'!$B$2:$B$270,MATCH(TRIM(B1512),'CLM &amp; IM Mapping'!$A$2:$A$270,0)),"Not Mapped"))</f>
        <v>Not Mapped</v>
      </c>
      <c r="D1512" s="40" t="str">
        <f aca="false">IF(B1512="","",IFERROR(INDEX('CLM &amp; IM Mapping'!$C$2:$C$270,MATCH(TRIM(B1512),'CLM &amp; IM Mapping'!$A$2:$A$270,0)),"Not Mapped"))</f>
        <v>Not Mapped</v>
      </c>
      <c r="E1512" s="41" t="n">
        <v>0</v>
      </c>
      <c r="F1512" s="41" t="n">
        <v>0</v>
      </c>
      <c r="G1512" s="41" t="n">
        <v>0</v>
      </c>
      <c r="H1512" s="41" t="n">
        <v>0</v>
      </c>
      <c r="I1512" s="41" t="n">
        <v>0</v>
      </c>
      <c r="J1512" s="41" t="n">
        <v>0</v>
      </c>
      <c r="K1512" s="41" t="n">
        <v>0</v>
      </c>
      <c r="L1512" s="41" t="n">
        <v>0</v>
      </c>
    </row>
    <row r="1513" customFormat="false" ht="15.75" hidden="false" customHeight="false" outlineLevel="0" collapsed="false">
      <c r="B1513" s="39" t="s">
        <v>1630</v>
      </c>
      <c r="C1513" s="40" t="str">
        <f aca="false">IF(B1513="","",IFERROR(INDEX('CLM &amp; IM Mapping'!$B$2:$B$270,MATCH(TRIM(B1513),'CLM &amp; IM Mapping'!$A$2:$A$270,0)),"Not Mapped"))</f>
        <v>Not Mapped</v>
      </c>
      <c r="D1513" s="40" t="str">
        <f aca="false">IF(B1513="","",IFERROR(INDEX('CLM &amp; IM Mapping'!$C$2:$C$270,MATCH(TRIM(B1513),'CLM &amp; IM Mapping'!$A$2:$A$270,0)),"Not Mapped"))</f>
        <v>Not Mapped</v>
      </c>
      <c r="E1513" s="41" t="n">
        <v>0</v>
      </c>
      <c r="F1513" s="41" t="n">
        <v>0</v>
      </c>
      <c r="G1513" s="41" t="n">
        <v>0</v>
      </c>
      <c r="H1513" s="41" t="n">
        <v>0</v>
      </c>
      <c r="I1513" s="41" t="n">
        <v>0</v>
      </c>
      <c r="J1513" s="41" t="n">
        <v>0</v>
      </c>
      <c r="K1513" s="41" t="n">
        <v>0</v>
      </c>
      <c r="L1513" s="41" t="n">
        <v>0</v>
      </c>
    </row>
    <row r="1514" customFormat="false" ht="15.75" hidden="false" customHeight="false" outlineLevel="0" collapsed="false">
      <c r="B1514" s="39" t="s">
        <v>1631</v>
      </c>
      <c r="C1514" s="40" t="str">
        <f aca="false">IF(B1514="","",IFERROR(INDEX('CLM &amp; IM Mapping'!$B$2:$B$270,MATCH(TRIM(B1514),'CLM &amp; IM Mapping'!$A$2:$A$270,0)),"Not Mapped"))</f>
        <v>Not Mapped</v>
      </c>
      <c r="D1514" s="40" t="str">
        <f aca="false">IF(B1514="","",IFERROR(INDEX('CLM &amp; IM Mapping'!$C$2:$C$270,MATCH(TRIM(B1514),'CLM &amp; IM Mapping'!$A$2:$A$270,0)),"Not Mapped"))</f>
        <v>Not Mapped</v>
      </c>
      <c r="E1514" s="41" t="n">
        <v>0</v>
      </c>
      <c r="F1514" s="41" t="n">
        <v>0</v>
      </c>
      <c r="G1514" s="41" t="n">
        <v>0</v>
      </c>
      <c r="H1514" s="41" t="n">
        <v>0</v>
      </c>
      <c r="I1514" s="41" t="n">
        <v>0</v>
      </c>
      <c r="J1514" s="41" t="n">
        <v>0</v>
      </c>
      <c r="K1514" s="41" t="n">
        <v>0</v>
      </c>
      <c r="L1514" s="41" t="n">
        <v>0</v>
      </c>
    </row>
    <row r="1515" customFormat="false" ht="15.75" hidden="false" customHeight="false" outlineLevel="0" collapsed="false">
      <c r="B1515" s="39" t="s">
        <v>1632</v>
      </c>
      <c r="C1515" s="40" t="str">
        <f aca="false">IF(B1515="","",IFERROR(INDEX('CLM &amp; IM Mapping'!$B$2:$B$270,MATCH(TRIM(B1515),'CLM &amp; IM Mapping'!$A$2:$A$270,0)),"Not Mapped"))</f>
        <v>Not Mapped</v>
      </c>
      <c r="D1515" s="40" t="str">
        <f aca="false">IF(B1515="","",IFERROR(INDEX('CLM &amp; IM Mapping'!$C$2:$C$270,MATCH(TRIM(B1515),'CLM &amp; IM Mapping'!$A$2:$A$270,0)),"Not Mapped"))</f>
        <v>Not Mapped</v>
      </c>
      <c r="E1515" s="41" t="n">
        <v>0</v>
      </c>
      <c r="F1515" s="41" t="n">
        <v>0</v>
      </c>
      <c r="G1515" s="41" t="n">
        <v>0</v>
      </c>
      <c r="H1515" s="41" t="n">
        <v>0</v>
      </c>
      <c r="I1515" s="41" t="n">
        <v>0</v>
      </c>
      <c r="J1515" s="41" t="n">
        <v>0</v>
      </c>
      <c r="K1515" s="41" t="n">
        <v>0</v>
      </c>
      <c r="L1515" s="41" t="n">
        <v>0</v>
      </c>
    </row>
    <row r="1516" customFormat="false" ht="15.75" hidden="false" customHeight="false" outlineLevel="0" collapsed="false">
      <c r="B1516" s="48" t="s">
        <v>1633</v>
      </c>
      <c r="C1516" s="40" t="str">
        <f aca="false">IF(B1516="","",IFERROR(INDEX('CLM &amp; IM Mapping'!$B$2:$B$270,MATCH(TRIM(B1516),'CLM &amp; IM Mapping'!$A$2:$A$270,0)),"Not Mapped"))</f>
        <v>Not Mapped</v>
      </c>
      <c r="D1516" s="40" t="str">
        <f aca="false">IF(B1516="","",IFERROR(INDEX('CLM &amp; IM Mapping'!$C$2:$C$270,MATCH(TRIM(B1516),'CLM &amp; IM Mapping'!$A$2:$A$270,0)),"Not Mapped"))</f>
        <v>Not Mapped</v>
      </c>
      <c r="E1516" s="41" t="n">
        <v>0</v>
      </c>
      <c r="F1516" s="41" t="n">
        <v>0</v>
      </c>
      <c r="G1516" s="41" t="n">
        <v>0</v>
      </c>
      <c r="H1516" s="41" t="n">
        <v>0</v>
      </c>
      <c r="I1516" s="41" t="n">
        <v>0</v>
      </c>
      <c r="J1516" s="41" t="n">
        <v>0</v>
      </c>
      <c r="K1516" s="41" t="n">
        <v>0</v>
      </c>
      <c r="L1516" s="41" t="n">
        <v>0</v>
      </c>
    </row>
    <row r="1517" customFormat="false" ht="15.75" hidden="false" customHeight="false" outlineLevel="0" collapsed="false">
      <c r="B1517" s="39" t="s">
        <v>1634</v>
      </c>
      <c r="C1517" s="40" t="str">
        <f aca="false">IF(B1517="","",IFERROR(INDEX('CLM &amp; IM Mapping'!$B$2:$B$270,MATCH(TRIM(B1517),'CLM &amp; IM Mapping'!$A$2:$A$270,0)),"Not Mapped"))</f>
        <v>Not Mapped</v>
      </c>
      <c r="D1517" s="40" t="str">
        <f aca="false">IF(B1517="","",IFERROR(INDEX('CLM &amp; IM Mapping'!$C$2:$C$270,MATCH(TRIM(B1517),'CLM &amp; IM Mapping'!$A$2:$A$270,0)),"Not Mapped"))</f>
        <v>Not Mapped</v>
      </c>
      <c r="E1517" s="41" t="n">
        <v>0</v>
      </c>
      <c r="F1517" s="41" t="n">
        <v>0</v>
      </c>
      <c r="G1517" s="41" t="n">
        <v>0</v>
      </c>
      <c r="H1517" s="41" t="n">
        <v>0</v>
      </c>
      <c r="I1517" s="41" t="n">
        <v>0</v>
      </c>
      <c r="J1517" s="41" t="n">
        <v>0</v>
      </c>
      <c r="K1517" s="41" t="n">
        <v>0</v>
      </c>
      <c r="L1517" s="41" t="n">
        <v>0</v>
      </c>
    </row>
    <row r="1518" customFormat="false" ht="15.75" hidden="false" customHeight="false" outlineLevel="0" collapsed="false">
      <c r="B1518" s="39" t="s">
        <v>1635</v>
      </c>
      <c r="C1518" s="40" t="str">
        <f aca="false">IF(B1518="","",IFERROR(INDEX('CLM &amp; IM Mapping'!$B$2:$B$270,MATCH(TRIM(B1518),'CLM &amp; IM Mapping'!$A$2:$A$270,0)),"Not Mapped"))</f>
        <v>Not Mapped</v>
      </c>
      <c r="D1518" s="40" t="str">
        <f aca="false">IF(B1518="","",IFERROR(INDEX('CLM &amp; IM Mapping'!$C$2:$C$270,MATCH(TRIM(B1518),'CLM &amp; IM Mapping'!$A$2:$A$270,0)),"Not Mapped"))</f>
        <v>Not Mapped</v>
      </c>
      <c r="E1518" s="41" t="n">
        <v>0</v>
      </c>
      <c r="F1518" s="41" t="n">
        <v>0</v>
      </c>
      <c r="G1518" s="41" t="n">
        <v>0</v>
      </c>
      <c r="H1518" s="41" t="n">
        <v>0</v>
      </c>
      <c r="I1518" s="41" t="n">
        <v>0</v>
      </c>
      <c r="J1518" s="41" t="n">
        <v>0</v>
      </c>
      <c r="K1518" s="41" t="n">
        <v>0</v>
      </c>
      <c r="L1518" s="41" t="n">
        <v>0</v>
      </c>
    </row>
    <row r="1519" customFormat="false" ht="15.75" hidden="false" customHeight="false" outlineLevel="0" collapsed="false">
      <c r="B1519" s="39" t="s">
        <v>1636</v>
      </c>
      <c r="C1519" s="40" t="str">
        <f aca="false">IF(B1519="","",IFERROR(INDEX('CLM &amp; IM Mapping'!$B$2:$B$270,MATCH(TRIM(B1519),'CLM &amp; IM Mapping'!$A$2:$A$270,0)),"Not Mapped"))</f>
        <v>Not Mapped</v>
      </c>
      <c r="D1519" s="40" t="str">
        <f aca="false">IF(B1519="","",IFERROR(INDEX('CLM &amp; IM Mapping'!$C$2:$C$270,MATCH(TRIM(B1519),'CLM &amp; IM Mapping'!$A$2:$A$270,0)),"Not Mapped"))</f>
        <v>Not Mapped</v>
      </c>
      <c r="E1519" s="41" t="n">
        <v>300</v>
      </c>
      <c r="F1519" s="41" t="n">
        <v>0</v>
      </c>
      <c r="G1519" s="41" t="n">
        <v>300</v>
      </c>
      <c r="H1519" s="41" t="n">
        <v>0</v>
      </c>
      <c r="I1519" s="41" t="n">
        <v>0</v>
      </c>
      <c r="J1519" s="41" t="n">
        <v>0</v>
      </c>
      <c r="K1519" s="41" t="n">
        <v>0</v>
      </c>
      <c r="L1519" s="41" t="n">
        <v>0</v>
      </c>
    </row>
    <row r="1520" customFormat="false" ht="15.75" hidden="false" customHeight="false" outlineLevel="0" collapsed="false">
      <c r="B1520" s="39" t="s">
        <v>1637</v>
      </c>
      <c r="C1520" s="40" t="str">
        <f aca="false">IF(B1520="","",IFERROR(INDEX('CLM &amp; IM Mapping'!$B$2:$B$270,MATCH(TRIM(B1520),'CLM &amp; IM Mapping'!$A$2:$A$270,0)),"Not Mapped"))</f>
        <v>Not Mapped</v>
      </c>
      <c r="D1520" s="40" t="str">
        <f aca="false">IF(B1520="","",IFERROR(INDEX('CLM &amp; IM Mapping'!$C$2:$C$270,MATCH(TRIM(B1520),'CLM &amp; IM Mapping'!$A$2:$A$270,0)),"Not Mapped"))</f>
        <v>Not Mapped</v>
      </c>
      <c r="E1520" s="41" t="n">
        <v>0</v>
      </c>
      <c r="F1520" s="41" t="n">
        <v>0</v>
      </c>
      <c r="G1520" s="41" t="n">
        <v>0</v>
      </c>
      <c r="H1520" s="41" t="n">
        <v>0</v>
      </c>
      <c r="I1520" s="41" t="n">
        <v>0</v>
      </c>
      <c r="J1520" s="41" t="n">
        <v>0</v>
      </c>
      <c r="K1520" s="41" t="n">
        <v>0</v>
      </c>
      <c r="L1520" s="41" t="n">
        <v>0</v>
      </c>
    </row>
    <row r="1521" customFormat="false" ht="15.75" hidden="false" customHeight="false" outlineLevel="0" collapsed="false">
      <c r="B1521" s="39" t="s">
        <v>1638</v>
      </c>
      <c r="C1521" s="40" t="str">
        <f aca="false">IF(B1521="","",IFERROR(INDEX('CLM &amp; IM Mapping'!$B$2:$B$270,MATCH(TRIM(B1521),'CLM &amp; IM Mapping'!$A$2:$A$270,0)),"Not Mapped"))</f>
        <v>Not Mapped</v>
      </c>
      <c r="D1521" s="40" t="str">
        <f aca="false">IF(B1521="","",IFERROR(INDEX('CLM &amp; IM Mapping'!$C$2:$C$270,MATCH(TRIM(B1521),'CLM &amp; IM Mapping'!$A$2:$A$270,0)),"Not Mapped"))</f>
        <v>Not Mapped</v>
      </c>
      <c r="E1521" s="41" t="n">
        <v>391</v>
      </c>
      <c r="F1521" s="41" t="n">
        <v>391</v>
      </c>
      <c r="G1521" s="41" t="n">
        <v>0</v>
      </c>
      <c r="H1521" s="41" t="n">
        <v>0</v>
      </c>
      <c r="I1521" s="41" t="n">
        <v>0</v>
      </c>
      <c r="J1521" s="41" t="n">
        <v>0</v>
      </c>
      <c r="K1521" s="41" t="n">
        <v>0</v>
      </c>
      <c r="L1521" s="41" t="n">
        <v>0</v>
      </c>
    </row>
    <row r="1522" customFormat="false" ht="15.75" hidden="false" customHeight="false" outlineLevel="0" collapsed="false">
      <c r="B1522" s="39" t="s">
        <v>1639</v>
      </c>
      <c r="C1522" s="40" t="str">
        <f aca="false">IF(B1522="","",IFERROR(INDEX('CLM &amp; IM Mapping'!$B$2:$B$270,MATCH(TRIM(B1522),'CLM &amp; IM Mapping'!$A$2:$A$270,0)),"Not Mapped"))</f>
        <v>Not Mapped</v>
      </c>
      <c r="D1522" s="40" t="str">
        <f aca="false">IF(B1522="","",IFERROR(INDEX('CLM &amp; IM Mapping'!$C$2:$C$270,MATCH(TRIM(B1522),'CLM &amp; IM Mapping'!$A$2:$A$270,0)),"Not Mapped"))</f>
        <v>Not Mapped</v>
      </c>
      <c r="E1522" s="41" t="n">
        <v>3866</v>
      </c>
      <c r="F1522" s="41" t="n">
        <v>3866</v>
      </c>
      <c r="G1522" s="41" t="n">
        <v>0</v>
      </c>
      <c r="H1522" s="41" t="n">
        <v>0</v>
      </c>
      <c r="I1522" s="41" t="n">
        <v>0</v>
      </c>
      <c r="J1522" s="41" t="n">
        <v>0</v>
      </c>
      <c r="K1522" s="41" t="n">
        <v>0</v>
      </c>
      <c r="L1522" s="41" t="n">
        <v>0</v>
      </c>
    </row>
    <row r="1523" customFormat="false" ht="15.75" hidden="false" customHeight="false" outlineLevel="0" collapsed="false">
      <c r="B1523" s="39" t="s">
        <v>1640</v>
      </c>
      <c r="C1523" s="40" t="str">
        <f aca="false">IF(B1523="","",IFERROR(INDEX('CLM &amp; IM Mapping'!$B$2:$B$270,MATCH(TRIM(B1523),'CLM &amp; IM Mapping'!$A$2:$A$270,0)),"Not Mapped"))</f>
        <v>Not Mapped</v>
      </c>
      <c r="D1523" s="40" t="str">
        <f aca="false">IF(B1523="","",IFERROR(INDEX('CLM &amp; IM Mapping'!$C$2:$C$270,MATCH(TRIM(B1523),'CLM &amp; IM Mapping'!$A$2:$A$270,0)),"Not Mapped"))</f>
        <v>Not Mapped</v>
      </c>
      <c r="E1523" s="41" t="n">
        <v>1409</v>
      </c>
      <c r="F1523" s="41" t="n">
        <v>1409</v>
      </c>
      <c r="G1523" s="41" t="n">
        <v>0</v>
      </c>
      <c r="H1523" s="41" t="n">
        <v>0</v>
      </c>
      <c r="I1523" s="41" t="n">
        <v>0</v>
      </c>
      <c r="J1523" s="41" t="n">
        <v>0</v>
      </c>
      <c r="K1523" s="41" t="n">
        <v>0</v>
      </c>
      <c r="L1523" s="41" t="n">
        <v>0</v>
      </c>
    </row>
    <row r="1524" customFormat="false" ht="15.75" hidden="false" customHeight="false" outlineLevel="0" collapsed="false">
      <c r="B1524" s="39" t="s">
        <v>1641</v>
      </c>
      <c r="C1524" s="40" t="str">
        <f aca="false">IF(B1524="","",IFERROR(INDEX('CLM &amp; IM Mapping'!$B$2:$B$270,MATCH(TRIM(B1524),'CLM &amp; IM Mapping'!$A$2:$A$270,0)),"Not Mapped"))</f>
        <v>Not Mapped</v>
      </c>
      <c r="D1524" s="40" t="str">
        <f aca="false">IF(B1524="","",IFERROR(INDEX('CLM &amp; IM Mapping'!$C$2:$C$270,MATCH(TRIM(B1524),'CLM &amp; IM Mapping'!$A$2:$A$270,0)),"Not Mapped"))</f>
        <v>Not Mapped</v>
      </c>
      <c r="E1524" s="41" t="n">
        <v>2035</v>
      </c>
      <c r="F1524" s="41" t="n">
        <v>2035</v>
      </c>
      <c r="G1524" s="41" t="n">
        <v>0</v>
      </c>
      <c r="H1524" s="41" t="n">
        <v>0</v>
      </c>
      <c r="I1524" s="41" t="n">
        <v>0</v>
      </c>
      <c r="J1524" s="41" t="n">
        <v>0</v>
      </c>
      <c r="K1524" s="41" t="n">
        <v>0</v>
      </c>
      <c r="L1524" s="41" t="n">
        <v>0</v>
      </c>
    </row>
    <row r="1525" customFormat="false" ht="15.75" hidden="false" customHeight="false" outlineLevel="0" collapsed="false">
      <c r="B1525" s="39" t="s">
        <v>1642</v>
      </c>
      <c r="C1525" s="40" t="str">
        <f aca="false">IF(B1525="","",IFERROR(INDEX('CLM &amp; IM Mapping'!$B$2:$B$270,MATCH(TRIM(B1525),'CLM &amp; IM Mapping'!$A$2:$A$270,0)),"Not Mapped"))</f>
        <v>Not Mapped</v>
      </c>
      <c r="D1525" s="40" t="str">
        <f aca="false">IF(B1525="","",IFERROR(INDEX('CLM &amp; IM Mapping'!$C$2:$C$270,MATCH(TRIM(B1525),'CLM &amp; IM Mapping'!$A$2:$A$270,0)),"Not Mapped"))</f>
        <v>Not Mapped</v>
      </c>
      <c r="E1525" s="41" t="n">
        <v>0</v>
      </c>
      <c r="F1525" s="41" t="n">
        <v>0</v>
      </c>
      <c r="G1525" s="41" t="n">
        <v>0</v>
      </c>
      <c r="H1525" s="41" t="n">
        <v>0</v>
      </c>
      <c r="I1525" s="41" t="n">
        <v>0</v>
      </c>
      <c r="J1525" s="41" t="n">
        <v>0</v>
      </c>
      <c r="K1525" s="41" t="n">
        <v>0</v>
      </c>
      <c r="L1525" s="41" t="n">
        <v>0</v>
      </c>
    </row>
    <row r="1526" customFormat="false" ht="15.75" hidden="false" customHeight="false" outlineLevel="0" collapsed="false">
      <c r="B1526" s="39" t="s">
        <v>1643</v>
      </c>
      <c r="C1526" s="40" t="str">
        <f aca="false">IF(B1526="","",IFERROR(INDEX('CLM &amp; IM Mapping'!$B$2:$B$270,MATCH(TRIM(B1526),'CLM &amp; IM Mapping'!$A$2:$A$270,0)),"Not Mapped"))</f>
        <v>Not Mapped</v>
      </c>
      <c r="D1526" s="40" t="str">
        <f aca="false">IF(B1526="","",IFERROR(INDEX('CLM &amp; IM Mapping'!$C$2:$C$270,MATCH(TRIM(B1526),'CLM &amp; IM Mapping'!$A$2:$A$270,0)),"Not Mapped"))</f>
        <v>Not Mapped</v>
      </c>
      <c r="E1526" s="41" t="n">
        <v>1089</v>
      </c>
      <c r="F1526" s="41" t="n">
        <v>0</v>
      </c>
      <c r="G1526" s="41" t="n">
        <v>1089</v>
      </c>
      <c r="H1526" s="41" t="n">
        <v>0</v>
      </c>
      <c r="I1526" s="41" t="n">
        <v>0</v>
      </c>
      <c r="J1526" s="41" t="n">
        <v>0</v>
      </c>
      <c r="K1526" s="41" t="n">
        <v>0</v>
      </c>
      <c r="L1526" s="41" t="n">
        <v>0</v>
      </c>
    </row>
    <row r="1527" customFormat="false" ht="15.75" hidden="false" customHeight="false" outlineLevel="0" collapsed="false">
      <c r="B1527" s="39" t="s">
        <v>1644</v>
      </c>
      <c r="C1527" s="40" t="str">
        <f aca="false">IF(B1527="","",IFERROR(INDEX('CLM &amp; IM Mapping'!$B$2:$B$270,MATCH(TRIM(B1527),'CLM &amp; IM Mapping'!$A$2:$A$270,0)),"Not Mapped"))</f>
        <v>Not Mapped</v>
      </c>
      <c r="D1527" s="40" t="str">
        <f aca="false">IF(B1527="","",IFERROR(INDEX('CLM &amp; IM Mapping'!$C$2:$C$270,MATCH(TRIM(B1527),'CLM &amp; IM Mapping'!$A$2:$A$270,0)),"Not Mapped"))</f>
        <v>Not Mapped</v>
      </c>
      <c r="E1527" s="41" t="n">
        <v>0</v>
      </c>
      <c r="F1527" s="41" t="n">
        <v>0</v>
      </c>
      <c r="G1527" s="41" t="n">
        <v>0</v>
      </c>
      <c r="H1527" s="41" t="n">
        <v>0</v>
      </c>
      <c r="I1527" s="41" t="n">
        <v>0</v>
      </c>
      <c r="J1527" s="41" t="n">
        <v>0</v>
      </c>
      <c r="K1527" s="41" t="n">
        <v>0</v>
      </c>
      <c r="L1527" s="41" t="n">
        <v>0</v>
      </c>
    </row>
    <row r="1528" customFormat="false" ht="15.75" hidden="false" customHeight="false" outlineLevel="0" collapsed="false">
      <c r="B1528" s="39" t="s">
        <v>1645</v>
      </c>
      <c r="C1528" s="40" t="str">
        <f aca="false">IF(B1528="","",IFERROR(INDEX('CLM &amp; IM Mapping'!$B$2:$B$270,MATCH(TRIM(B1528),'CLM &amp; IM Mapping'!$A$2:$A$270,0)),"Not Mapped"))</f>
        <v>Not Mapped</v>
      </c>
      <c r="D1528" s="40" t="str">
        <f aca="false">IF(B1528="","",IFERROR(INDEX('CLM &amp; IM Mapping'!$C$2:$C$270,MATCH(TRIM(B1528),'CLM &amp; IM Mapping'!$A$2:$A$270,0)),"Not Mapped"))</f>
        <v>Not Mapped</v>
      </c>
      <c r="E1528" s="41" t="n">
        <v>0</v>
      </c>
      <c r="F1528" s="41" t="n">
        <v>0</v>
      </c>
      <c r="G1528" s="41" t="n">
        <v>0</v>
      </c>
      <c r="H1528" s="41" t="n">
        <v>0</v>
      </c>
      <c r="I1528" s="41" t="n">
        <v>0</v>
      </c>
      <c r="J1528" s="41" t="n">
        <v>0</v>
      </c>
      <c r="K1528" s="41" t="n">
        <v>0</v>
      </c>
      <c r="L1528" s="41" t="n">
        <v>0</v>
      </c>
    </row>
    <row r="1529" customFormat="false" ht="15.75" hidden="false" customHeight="false" outlineLevel="0" collapsed="false">
      <c r="B1529" s="39" t="s">
        <v>1646</v>
      </c>
      <c r="C1529" s="40" t="str">
        <f aca="false">IF(B1529="","",IFERROR(INDEX('CLM &amp; IM Mapping'!$B$2:$B$270,MATCH(TRIM(B1529),'CLM &amp; IM Mapping'!$A$2:$A$270,0)),"Not Mapped"))</f>
        <v>Not Mapped</v>
      </c>
      <c r="D1529" s="40" t="str">
        <f aca="false">IF(B1529="","",IFERROR(INDEX('CLM &amp; IM Mapping'!$C$2:$C$270,MATCH(TRIM(B1529),'CLM &amp; IM Mapping'!$A$2:$A$270,0)),"Not Mapped"))</f>
        <v>Not Mapped</v>
      </c>
      <c r="E1529" s="41" t="n">
        <v>506</v>
      </c>
      <c r="F1529" s="41" t="n">
        <v>0</v>
      </c>
      <c r="G1529" s="41" t="n">
        <v>0</v>
      </c>
      <c r="H1529" s="41" t="n">
        <v>0</v>
      </c>
      <c r="I1529" s="41" t="n">
        <v>506</v>
      </c>
      <c r="J1529" s="41" t="n">
        <v>0</v>
      </c>
      <c r="K1529" s="41" t="n">
        <v>0</v>
      </c>
      <c r="L1529" s="41" t="n">
        <v>506</v>
      </c>
    </row>
    <row r="1530" customFormat="false" ht="15.75" hidden="false" customHeight="false" outlineLevel="0" collapsed="false">
      <c r="B1530" s="39" t="s">
        <v>1647</v>
      </c>
      <c r="C1530" s="40" t="str">
        <f aca="false">IF(B1530="","",IFERROR(INDEX('CLM &amp; IM Mapping'!$B$2:$B$270,MATCH(TRIM(B1530),'CLM &amp; IM Mapping'!$A$2:$A$270,0)),"Not Mapped"))</f>
        <v>Not Mapped</v>
      </c>
      <c r="D1530" s="40" t="str">
        <f aca="false">IF(B1530="","",IFERROR(INDEX('CLM &amp; IM Mapping'!$C$2:$C$270,MATCH(TRIM(B1530),'CLM &amp; IM Mapping'!$A$2:$A$270,0)),"Not Mapped"))</f>
        <v>Not Mapped</v>
      </c>
      <c r="E1530" s="41" t="n">
        <v>1392</v>
      </c>
      <c r="F1530" s="41" t="n">
        <v>0</v>
      </c>
      <c r="G1530" s="41" t="n">
        <v>0</v>
      </c>
      <c r="H1530" s="41" t="n">
        <v>1392</v>
      </c>
      <c r="I1530" s="41" t="n">
        <v>0</v>
      </c>
      <c r="J1530" s="41" t="n">
        <v>0</v>
      </c>
      <c r="K1530" s="41" t="n">
        <v>0</v>
      </c>
      <c r="L1530" s="41" t="n">
        <v>1392</v>
      </c>
    </row>
    <row r="1531" customFormat="false" ht="15.75" hidden="false" customHeight="false" outlineLevel="0" collapsed="false">
      <c r="B1531" s="39" t="s">
        <v>1648</v>
      </c>
      <c r="C1531" s="40" t="str">
        <f aca="false">IF(B1531="","",IFERROR(INDEX('CLM &amp; IM Mapping'!$B$2:$B$270,MATCH(TRIM(B1531),'CLM &amp; IM Mapping'!$A$2:$A$270,0)),"Not Mapped"))</f>
        <v>Not Mapped</v>
      </c>
      <c r="D1531" s="40" t="str">
        <f aca="false">IF(B1531="","",IFERROR(INDEX('CLM &amp; IM Mapping'!$C$2:$C$270,MATCH(TRIM(B1531),'CLM &amp; IM Mapping'!$A$2:$A$270,0)),"Not Mapped"))</f>
        <v>Not Mapped</v>
      </c>
      <c r="E1531" s="41" t="n">
        <v>0</v>
      </c>
      <c r="F1531" s="41" t="n">
        <v>0</v>
      </c>
      <c r="G1531" s="41" t="n">
        <v>0</v>
      </c>
      <c r="H1531" s="41" t="n">
        <v>0</v>
      </c>
      <c r="I1531" s="41" t="n">
        <v>0</v>
      </c>
      <c r="J1531" s="41" t="n">
        <v>0</v>
      </c>
      <c r="K1531" s="41" t="n">
        <v>0</v>
      </c>
      <c r="L1531" s="41" t="n">
        <v>0</v>
      </c>
    </row>
    <row r="1532" customFormat="false" ht="15.75" hidden="false" customHeight="false" outlineLevel="0" collapsed="false">
      <c r="B1532" s="39" t="s">
        <v>1649</v>
      </c>
      <c r="C1532" s="40" t="str">
        <f aca="false">IF(B1532="","",IFERROR(INDEX('CLM &amp; IM Mapping'!$B$2:$B$270,MATCH(TRIM(B1532),'CLM &amp; IM Mapping'!$A$2:$A$270,0)),"Not Mapped"))</f>
        <v>Not Mapped</v>
      </c>
      <c r="D1532" s="40" t="str">
        <f aca="false">IF(B1532="","",IFERROR(INDEX('CLM &amp; IM Mapping'!$C$2:$C$270,MATCH(TRIM(B1532),'CLM &amp; IM Mapping'!$A$2:$A$270,0)),"Not Mapped"))</f>
        <v>Not Mapped</v>
      </c>
      <c r="E1532" s="41" t="n">
        <v>0</v>
      </c>
      <c r="F1532" s="41" t="n">
        <v>0</v>
      </c>
      <c r="G1532" s="41" t="n">
        <v>0</v>
      </c>
      <c r="H1532" s="41" t="n">
        <v>0</v>
      </c>
      <c r="I1532" s="41" t="n">
        <v>0</v>
      </c>
      <c r="J1532" s="41" t="n">
        <v>0</v>
      </c>
      <c r="K1532" s="41" t="n">
        <v>0</v>
      </c>
      <c r="L1532" s="41" t="n">
        <v>0</v>
      </c>
    </row>
    <row r="1533" customFormat="false" ht="15.75" hidden="false" customHeight="false" outlineLevel="0" collapsed="false">
      <c r="B1533" s="39" t="s">
        <v>1650</v>
      </c>
      <c r="C1533" s="40" t="str">
        <f aca="false">IF(B1533="","",IFERROR(INDEX('CLM &amp; IM Mapping'!$B$2:$B$270,MATCH(TRIM(B1533),'CLM &amp; IM Mapping'!$A$2:$A$270,0)),"Not Mapped"))</f>
        <v>Not Mapped</v>
      </c>
      <c r="D1533" s="40" t="str">
        <f aca="false">IF(B1533="","",IFERROR(INDEX('CLM &amp; IM Mapping'!$C$2:$C$270,MATCH(TRIM(B1533),'CLM &amp; IM Mapping'!$A$2:$A$270,0)),"Not Mapped"))</f>
        <v>Not Mapped</v>
      </c>
      <c r="E1533" s="41" t="n">
        <v>7433</v>
      </c>
      <c r="F1533" s="41" t="n">
        <v>7433</v>
      </c>
      <c r="G1533" s="41" t="n">
        <v>0</v>
      </c>
      <c r="H1533" s="41" t="n">
        <v>0</v>
      </c>
      <c r="I1533" s="41" t="n">
        <v>0</v>
      </c>
      <c r="J1533" s="41" t="n">
        <v>0</v>
      </c>
      <c r="K1533" s="41" t="n">
        <v>0</v>
      </c>
      <c r="L1533" s="41" t="n">
        <v>0</v>
      </c>
    </row>
    <row r="1534" customFormat="false" ht="15.75" hidden="false" customHeight="false" outlineLevel="0" collapsed="false">
      <c r="B1534" s="39" t="s">
        <v>1651</v>
      </c>
      <c r="C1534" s="40" t="str">
        <f aca="false">IF(B1534="","",IFERROR(INDEX('CLM &amp; IM Mapping'!$B$2:$B$270,MATCH(TRIM(B1534),'CLM &amp; IM Mapping'!$A$2:$A$270,0)),"Not Mapped"))</f>
        <v>Not Mapped</v>
      </c>
      <c r="D1534" s="40" t="str">
        <f aca="false">IF(B1534="","",IFERROR(INDEX('CLM &amp; IM Mapping'!$C$2:$C$270,MATCH(TRIM(B1534),'CLM &amp; IM Mapping'!$A$2:$A$270,0)),"Not Mapped"))</f>
        <v>Not Mapped</v>
      </c>
      <c r="E1534" s="41" t="n">
        <v>656</v>
      </c>
      <c r="F1534" s="41" t="n">
        <v>656</v>
      </c>
      <c r="G1534" s="41" t="n">
        <v>0</v>
      </c>
      <c r="H1534" s="41" t="n">
        <v>0</v>
      </c>
      <c r="I1534" s="41" t="n">
        <v>0</v>
      </c>
      <c r="J1534" s="41" t="n">
        <v>0</v>
      </c>
      <c r="K1534" s="41" t="n">
        <v>0</v>
      </c>
      <c r="L1534" s="41" t="n">
        <v>0</v>
      </c>
    </row>
    <row r="1535" customFormat="false" ht="15.75" hidden="false" customHeight="false" outlineLevel="0" collapsed="false">
      <c r="B1535" s="39" t="s">
        <v>1652</v>
      </c>
      <c r="C1535" s="40" t="str">
        <f aca="false">IF(B1535="","",IFERROR(INDEX('CLM &amp; IM Mapping'!$B$2:$B$270,MATCH(TRIM(B1535),'CLM &amp; IM Mapping'!$A$2:$A$270,0)),"Not Mapped"))</f>
        <v>Not Mapped</v>
      </c>
      <c r="D1535" s="40" t="str">
        <f aca="false">IF(B1535="","",IFERROR(INDEX('CLM &amp; IM Mapping'!$C$2:$C$270,MATCH(TRIM(B1535),'CLM &amp; IM Mapping'!$A$2:$A$270,0)),"Not Mapped"))</f>
        <v>Not Mapped</v>
      </c>
      <c r="E1535" s="41" t="n">
        <v>555</v>
      </c>
      <c r="F1535" s="41" t="n">
        <v>555</v>
      </c>
      <c r="G1535" s="41" t="n">
        <v>0</v>
      </c>
      <c r="H1535" s="41" t="n">
        <v>0</v>
      </c>
      <c r="I1535" s="41" t="n">
        <v>0</v>
      </c>
      <c r="J1535" s="41" t="n">
        <v>0</v>
      </c>
      <c r="K1535" s="41" t="n">
        <v>0</v>
      </c>
      <c r="L1535" s="41" t="n">
        <v>0</v>
      </c>
    </row>
    <row r="1536" customFormat="false" ht="15.75" hidden="false" customHeight="false" outlineLevel="0" collapsed="false">
      <c r="B1536" s="39" t="s">
        <v>1653</v>
      </c>
      <c r="C1536" s="40" t="str">
        <f aca="false">IF(B1536="","",IFERROR(INDEX('CLM &amp; IM Mapping'!$B$2:$B$270,MATCH(TRIM(B1536),'CLM &amp; IM Mapping'!$A$2:$A$270,0)),"Not Mapped"))</f>
        <v>Not Mapped</v>
      </c>
      <c r="D1536" s="40" t="str">
        <f aca="false">IF(B1536="","",IFERROR(INDEX('CLM &amp; IM Mapping'!$C$2:$C$270,MATCH(TRIM(B1536),'CLM &amp; IM Mapping'!$A$2:$A$270,0)),"Not Mapped"))</f>
        <v>Not Mapped</v>
      </c>
      <c r="E1536" s="41" t="n">
        <v>598</v>
      </c>
      <c r="F1536" s="41" t="n">
        <v>598</v>
      </c>
      <c r="G1536" s="41" t="n">
        <v>0</v>
      </c>
      <c r="H1536" s="41" t="n">
        <v>0</v>
      </c>
      <c r="I1536" s="41" t="n">
        <v>0</v>
      </c>
      <c r="J1536" s="41" t="n">
        <v>0</v>
      </c>
      <c r="K1536" s="41" t="n">
        <v>0</v>
      </c>
      <c r="L1536" s="41" t="n">
        <v>0</v>
      </c>
    </row>
    <row r="1537" customFormat="false" ht="15.75" hidden="false" customHeight="false" outlineLevel="0" collapsed="false">
      <c r="B1537" s="39" t="s">
        <v>1654</v>
      </c>
      <c r="C1537" s="40" t="str">
        <f aca="false">IF(B1537="","",IFERROR(INDEX('CLM &amp; IM Mapping'!$B$2:$B$270,MATCH(TRIM(B1537),'CLM &amp; IM Mapping'!$A$2:$A$270,0)),"Not Mapped"))</f>
        <v>Not Mapped</v>
      </c>
      <c r="D1537" s="40" t="str">
        <f aca="false">IF(B1537="","",IFERROR(INDEX('CLM &amp; IM Mapping'!$C$2:$C$270,MATCH(TRIM(B1537),'CLM &amp; IM Mapping'!$A$2:$A$270,0)),"Not Mapped"))</f>
        <v>Not Mapped</v>
      </c>
      <c r="E1537" s="41" t="n">
        <v>61</v>
      </c>
      <c r="F1537" s="41" t="n">
        <v>0</v>
      </c>
      <c r="G1537" s="41" t="n">
        <v>0</v>
      </c>
      <c r="H1537" s="41" t="n">
        <v>27</v>
      </c>
      <c r="I1537" s="41" t="n">
        <v>0</v>
      </c>
      <c r="J1537" s="41" t="n">
        <v>7</v>
      </c>
      <c r="K1537" s="41" t="n">
        <v>27</v>
      </c>
      <c r="L1537" s="41" t="n">
        <v>61</v>
      </c>
    </row>
  </sheetData>
  <autoFilter ref="B1:L1537"/>
  <conditionalFormatting sqref="E2:E1537">
    <cfRule type="colorScale" priority="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F2:F1537">
    <cfRule type="colorScale" priority="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2:G1537">
    <cfRule type="colorScale" priority="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H2:H1537">
    <cfRule type="colorScale" priority="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2:I1537">
    <cfRule type="colorScale" priority="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2:J1537">
    <cfRule type="colorScale" priority="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K2:K1537">
    <cfRule type="colorScale" priority="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L2:L1537">
    <cfRule type="colorScale" priority="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2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0"/>
    <col collapsed="false" customWidth="true" hidden="false" outlineLevel="0" max="3" min="3" style="0" width="18"/>
    <col collapsed="false" customWidth="true" hidden="false" outlineLevel="0" max="10" min="4" style="0" width="14"/>
    <col collapsed="false" customWidth="true" hidden="false" outlineLevel="0" max="11" min="11" style="0" width="3"/>
    <col collapsed="false" customWidth="true" hidden="false" outlineLevel="0" max="12" min="12" style="0" width="22"/>
    <col collapsed="false" customWidth="true" hidden="false" outlineLevel="0" max="20" min="13" style="0" width="13"/>
    <col collapsed="false" customWidth="true" hidden="false" outlineLevel="0" max="21" min="21" style="0" width="3"/>
    <col collapsed="false" customWidth="true" hidden="false" outlineLevel="0" max="23" min="23" style="0" width="22"/>
    <col collapsed="false" customWidth="true" hidden="false" outlineLevel="0" max="31" min="24" style="0" width="13"/>
    <col collapsed="false" customWidth="true" hidden="false" outlineLevel="0" max="32" min="32" style="0" width="3"/>
  </cols>
  <sheetData>
    <row r="1" customFormat="false" ht="17.35" hidden="false" customHeight="false" outlineLevel="0" collapsed="false">
      <c r="A1" s="57" t="s">
        <v>1655</v>
      </c>
    </row>
    <row r="2" customFormat="false" ht="15" hidden="false" customHeight="false" outlineLevel="0" collapsed="false">
      <c r="A2" s="58" t="s">
        <v>1656</v>
      </c>
    </row>
    <row r="3" customFormat="false" ht="15" hidden="false" customHeight="false" outlineLevel="0" collapsed="false">
      <c r="L3" s="59" t="s">
        <v>1657</v>
      </c>
      <c r="W3" s="59" t="s">
        <v>1658</v>
      </c>
    </row>
    <row r="4" customFormat="false" ht="42" hidden="false" customHeight="true" outlineLevel="0" collapsed="false">
      <c r="A4" s="60" t="s">
        <v>2</v>
      </c>
      <c r="B4" s="60" t="s">
        <v>3</v>
      </c>
      <c r="C4" s="60" t="s">
        <v>4</v>
      </c>
      <c r="D4" s="60" t="s">
        <v>1659</v>
      </c>
      <c r="E4" s="60" t="s">
        <v>1660</v>
      </c>
      <c r="F4" s="60" t="s">
        <v>1661</v>
      </c>
      <c r="G4" s="60" t="s">
        <v>1662</v>
      </c>
      <c r="H4" s="60" t="s">
        <v>1663</v>
      </c>
      <c r="I4" s="60" t="s">
        <v>1664</v>
      </c>
      <c r="J4" s="60" t="s">
        <v>374</v>
      </c>
      <c r="L4" s="60" t="s">
        <v>3</v>
      </c>
      <c r="M4" s="60" t="s">
        <v>1665</v>
      </c>
      <c r="N4" s="60" t="s">
        <v>1659</v>
      </c>
      <c r="O4" s="60" t="s">
        <v>1660</v>
      </c>
      <c r="P4" s="60" t="s">
        <v>1661</v>
      </c>
      <c r="Q4" s="60" t="s">
        <v>1662</v>
      </c>
      <c r="R4" s="60" t="s">
        <v>1663</v>
      </c>
      <c r="S4" s="60" t="s">
        <v>1664</v>
      </c>
      <c r="T4" s="60" t="s">
        <v>374</v>
      </c>
      <c r="W4" s="60" t="s">
        <v>4</v>
      </c>
      <c r="X4" s="60" t="s">
        <v>1665</v>
      </c>
      <c r="Y4" s="60" t="s">
        <v>1659</v>
      </c>
      <c r="Z4" s="60" t="s">
        <v>1660</v>
      </c>
      <c r="AA4" s="60" t="s">
        <v>1661</v>
      </c>
      <c r="AB4" s="60" t="s">
        <v>1662</v>
      </c>
      <c r="AC4" s="60" t="s">
        <v>1663</v>
      </c>
      <c r="AD4" s="60" t="s">
        <v>1664</v>
      </c>
      <c r="AE4" s="60" t="s">
        <v>374</v>
      </c>
    </row>
    <row r="5" customFormat="false" ht="15" hidden="false" customHeight="false" outlineLevel="0" collapsed="false">
      <c r="A5" s="61" t="s">
        <v>1666</v>
      </c>
      <c r="B5" s="61" t="str">
        <f aca="false">COUNTA(A6:A269)&amp;" stores"</f>
        <v>264 stores</v>
      </c>
      <c r="C5" s="61"/>
      <c r="D5" s="61" t="n">
        <f aca="false">SUM(D6:D269)</f>
        <v>2352254</v>
      </c>
      <c r="E5" s="62" t="n">
        <f aca="false">IFERROR(AVERAGE(E6:E269),0)</f>
        <v>0.556547619047619</v>
      </c>
      <c r="F5" s="61" t="n">
        <f aca="false">SUM(F6:F269)</f>
        <v>39771</v>
      </c>
      <c r="G5" s="61" t="n">
        <f aca="false">SUM(G6:G269)</f>
        <v>15177</v>
      </c>
      <c r="H5" s="61" t="n">
        <f aca="false">SUM(H6:H269)</f>
        <v>53775</v>
      </c>
      <c r="I5" s="61" t="n">
        <f aca="false">SUM(I6:I269)</f>
        <v>497609</v>
      </c>
      <c r="J5" s="61" t="n">
        <f aca="false">SUM(J6:J269)</f>
        <v>117783</v>
      </c>
    </row>
    <row r="6" customFormat="false" ht="15" hidden="false" customHeight="false" outlineLevel="0" collapsed="false">
      <c r="A6" s="63" t="s">
        <v>173</v>
      </c>
      <c r="B6" s="63" t="str">
        <f aca="false">IFERROR(INDEX('CLM &amp; IM Mapping'!$B$2:$B$270,MATCH($A6,'CLM &amp; IM Mapping'!$A$2:$A$270,0)),"Not Mapped")</f>
        <v>Saddam Hussain</v>
      </c>
      <c r="C6" s="63" t="str">
        <f aca="false">IFERROR(INDEX('CLM &amp; IM Mapping'!$C$2:$C$270,MATCH($A6,'CLM &amp; IM Mapping'!$A$2:$A$270,0)),"Not Mapped")</f>
        <v>Un Mapped</v>
      </c>
      <c r="D6" s="64" t="n">
        <f aca="false">IFERROR(INDEX(Shrinkage!$P$2:$P$260,MATCH($A6,Shrinkage!$D$2:$D$260,0)),IFERROR(INDEX(Shrinkage!$P$2:$P$260,MATCH(SUBSTITUTE($A6," SS","  SS"),Shrinkage!$D$2:$D$260,0)),"NA"))</f>
        <v>28136</v>
      </c>
      <c r="E6" s="65" t="n">
        <f aca="false">IFERROR(INDEX('Inventory Hygiene'!$I$3:$I$254,MATCH($A6,'Inventory Hygiene'!$B$3:$B$254,0)),IFERROR(INDEX('Inventory Hygiene'!$I$3:$I$254,MATCH(SUBSTITUTE($A6," SS","  SS"),'Inventory Hygiene'!$B$3:$B$254,0)),"NA"))</f>
        <v>0.64</v>
      </c>
      <c r="F6" s="64" t="n">
        <f aca="false">IFERROR(INDEX('Bad Bins'!$K$3:$K$253,MATCH($A6,'Bad Bins'!$B$3:$B$253,0)),IFERROR(INDEX('Bad Bins'!$K$3:$K$253,MATCH(SUBSTITUTE($A6," SS","  SS"),'Bad Bins'!$B$3:$B$253,0)),"NA"))</f>
        <v>54</v>
      </c>
      <c r="G6" s="64" t="str">
        <f aca="false">IFERROR(INDEX('RSTO &gt; 48hrs'!$H$2:$H$134,MATCH($A6,'RSTO &gt; 48hrs'!$B$2:$B$134,0)),IFERROR(INDEX('RSTO &gt; 48hrs'!$H$2:$H$134,MATCH(SUBSTITUTE($A6," SS","  SS"),'RSTO &gt; 48hrs'!$B$2:$B$134,0)),"NA"))</f>
        <v>NA</v>
      </c>
      <c r="H6" s="64" t="n">
        <f aca="false">IFERROR(INDEX('Recirculation &gt; 24 hrs'!$K$3:$K$151,MATCH($A6,'Recirculation &gt; 24 hrs'!$B$3:$B$151,0)),IFERROR(INDEX('Recirculation &gt; 24 hrs'!$K$3:$K$151,MATCH(SUBSTITUTE($A6," SS","  SS"),'Recirculation &gt; 24 hrs'!$B$3:$B$151,0)),"NA"))</f>
        <v>1</v>
      </c>
      <c r="I6" s="64" t="n">
        <f aca="false">IFERROR(INDEX('Pending Putaway'!$E$2:$E$1537,MATCH($A6,'Pending Putaway'!$B$2:$B$1537,0)),IFERROR(INDEX('Pending Putaway'!$E$2:$E$1537,MATCH(SUBSTITUTE($A6," SS","  SS"),'Pending Putaway'!$B$2:$B$1537,0)),"NA"))</f>
        <v>4603</v>
      </c>
      <c r="J6" s="64" t="n">
        <f aca="false">IFERROR(INDEX('Pending Putaway'!$L$2:$L$1537,MATCH($A6,'Pending Putaway'!$B$2:$B$1537,0)),IFERROR(INDEX('Pending Putaway'!$L$2:$L$1537,MATCH(SUBSTITUTE($A6," SS","  SS"),'Pending Putaway'!$B$2:$B$1537,0)),"NA"))</f>
        <v>4154</v>
      </c>
      <c r="L6" s="63" t="s">
        <v>321</v>
      </c>
      <c r="M6" s="63" t="n">
        <f aca="false">COUNTIF($B$6:$B$269,$L6)</f>
        <v>10</v>
      </c>
      <c r="N6" s="63" t="n">
        <f aca="false">SUMIF($B$6:$B$269,$L6,$D$6:$D$269)</f>
        <v>209905</v>
      </c>
      <c r="O6" s="66" t="n">
        <f aca="false">IFERROR(AVERAGEIF($B$6:$B$269,$L6,$E$6:$E$269),"NA")</f>
        <v>0.437777777777778</v>
      </c>
      <c r="P6" s="63" t="n">
        <f aca="false">SUMIF($B$6:$B$269,$L6,$F$6:$F$269)</f>
        <v>2083</v>
      </c>
      <c r="Q6" s="63" t="n">
        <f aca="false">SUMIF($B$6:$B$269,$L6,$G$6:$G$269)</f>
        <v>2193</v>
      </c>
      <c r="R6" s="63" t="n">
        <f aca="false">SUMIF($B$6:$B$269,$L6,$H$6:$H$269)</f>
        <v>11661</v>
      </c>
      <c r="S6" s="63" t="n">
        <f aca="false">SUMIF($B$6:$B$269,$L6,$I$6:$I$269)</f>
        <v>31673</v>
      </c>
      <c r="T6" s="63" t="n">
        <f aca="false">SUMIF($B$6:$B$269,$L6,$J$6:$J$269)</f>
        <v>6777</v>
      </c>
      <c r="W6" s="63" t="s">
        <v>342</v>
      </c>
      <c r="X6" s="63" t="n">
        <f aca="false">COUNTIF($C$6:$C$269,$W6)</f>
        <v>31</v>
      </c>
      <c r="Y6" s="63" t="n">
        <f aca="false">SUMIF($C$6:$C$269,$W6,$D$6:$D$269)</f>
        <v>-19456</v>
      </c>
      <c r="Z6" s="66" t="n">
        <f aca="false">IFERROR(AVERAGEIF($C$6:$C$269,$W6,$E$6:$E$269),"NA")</f>
        <v>0.569655172413793</v>
      </c>
      <c r="AA6" s="63" t="n">
        <f aca="false">SUMIF($C$6:$C$269,$W6,$F$6:$F$269)</f>
        <v>2889</v>
      </c>
      <c r="AB6" s="63" t="n">
        <f aca="false">SUMIF($C$6:$C$269,$W6,$G$6:$G$269)</f>
        <v>369</v>
      </c>
      <c r="AC6" s="63" t="n">
        <f aca="false">SUMIF($C$6:$C$269,$W6,$H$6:$H$269)</f>
        <v>1710</v>
      </c>
      <c r="AD6" s="63" t="n">
        <f aca="false">SUMIF($C$6:$C$269,$W6,$I$6:$I$269)</f>
        <v>44936</v>
      </c>
      <c r="AE6" s="63" t="n">
        <f aca="false">SUMIF($C$6:$C$269,$W6,$J$6:$J$269)</f>
        <v>10670</v>
      </c>
    </row>
    <row r="7" customFormat="false" ht="15" hidden="false" customHeight="false" outlineLevel="0" collapsed="false">
      <c r="A7" s="63" t="s">
        <v>159</v>
      </c>
      <c r="B7" s="63" t="str">
        <f aca="false">IFERROR(INDEX('CLM &amp; IM Mapping'!$B$2:$B$270,MATCH($A7,'CLM &amp; IM Mapping'!$A$2:$A$270,0)),"Not Mapped")</f>
        <v>Saddam Hussain</v>
      </c>
      <c r="C7" s="63" t="str">
        <f aca="false">IFERROR(INDEX('CLM &amp; IM Mapping'!$C$2:$C$270,MATCH($A7,'CLM &amp; IM Mapping'!$A$2:$A$270,0)),"Not Mapped")</f>
        <v>Un Mapped</v>
      </c>
      <c r="D7" s="64" t="n">
        <f aca="false">IFERROR(INDEX(Shrinkage!$P$2:$P$260,MATCH($A7,Shrinkage!$D$2:$D$260,0)),IFERROR(INDEX(Shrinkage!$P$2:$P$260,MATCH(SUBSTITUTE($A7," SS","  SS"),Shrinkage!$D$2:$D$260,0)),"NA"))</f>
        <v>-36730</v>
      </c>
      <c r="E7" s="65" t="n">
        <f aca="false">IFERROR(INDEX('Inventory Hygiene'!$I$3:$I$254,MATCH($A7,'Inventory Hygiene'!$B$3:$B$254,0)),IFERROR(INDEX('Inventory Hygiene'!$I$3:$I$254,MATCH(SUBSTITUTE($A7," SS","  SS"),'Inventory Hygiene'!$B$3:$B$254,0)),"NA"))</f>
        <v>0.96</v>
      </c>
      <c r="F7" s="64" t="n">
        <f aca="false">IFERROR(INDEX('Bad Bins'!$K$3:$K$253,MATCH($A7,'Bad Bins'!$B$3:$B$253,0)),IFERROR(INDEX('Bad Bins'!$K$3:$K$253,MATCH(SUBSTITUTE($A7," SS","  SS"),'Bad Bins'!$B$3:$B$253,0)),"NA"))</f>
        <v>61</v>
      </c>
      <c r="G7" s="64" t="str">
        <f aca="false">IFERROR(INDEX('RSTO &gt; 48hrs'!$H$2:$H$134,MATCH($A7,'RSTO &gt; 48hrs'!$B$2:$B$134,0)),IFERROR(INDEX('RSTO &gt; 48hrs'!$H$2:$H$134,MATCH(SUBSTITUTE($A7," SS","  SS"),'RSTO &gt; 48hrs'!$B$2:$B$134,0)),"NA"))</f>
        <v>NA</v>
      </c>
      <c r="H7" s="64" t="str">
        <f aca="false">IFERROR(INDEX('Recirculation &gt; 24 hrs'!$K$3:$K$151,MATCH($A7,'Recirculation &gt; 24 hrs'!$B$3:$B$151,0)),IFERROR(INDEX('Recirculation &gt; 24 hrs'!$K$3:$K$151,MATCH(SUBSTITUTE($A7," SS","  SS"),'Recirculation &gt; 24 hrs'!$B$3:$B$151,0)),"NA"))</f>
        <v>NA</v>
      </c>
      <c r="I7" s="64" t="n">
        <f aca="false">IFERROR(INDEX('Pending Putaway'!$E$2:$E$1537,MATCH($A7,'Pending Putaway'!$B$2:$B$1537,0)),IFERROR(INDEX('Pending Putaway'!$E$2:$E$1537,MATCH(SUBSTITUTE($A7," SS","  SS"),'Pending Putaway'!$B$2:$B$1537,0)),"NA"))</f>
        <v>1452</v>
      </c>
      <c r="J7" s="64" t="n">
        <f aca="false">IFERROR(INDEX('Pending Putaway'!$L$2:$L$1537,MATCH($A7,'Pending Putaway'!$B$2:$B$1537,0)),IFERROR(INDEX('Pending Putaway'!$L$2:$L$1537,MATCH(SUBSTITUTE($A7," SS","  SS"),'Pending Putaway'!$B$2:$B$1537,0)),"NA"))</f>
        <v>1452</v>
      </c>
      <c r="L7" s="63" t="s">
        <v>312</v>
      </c>
      <c r="M7" s="63" t="n">
        <f aca="false">COUNTIF($B$6:$B$269,$L7)</f>
        <v>15</v>
      </c>
      <c r="N7" s="63" t="n">
        <f aca="false">SUMIF($B$6:$B$269,$L7,$D$6:$D$269)</f>
        <v>141111</v>
      </c>
      <c r="O7" s="66" t="n">
        <f aca="false">IFERROR(AVERAGEIF($B$6:$B$269,$L7,$E$6:$E$269),"NA")</f>
        <v>0.600666666666667</v>
      </c>
      <c r="P7" s="63" t="n">
        <f aca="false">SUMIF($B$6:$B$269,$L7,$F$6:$F$269)</f>
        <v>1940</v>
      </c>
      <c r="Q7" s="63" t="n">
        <f aca="false">SUMIF($B$6:$B$269,$L7,$G$6:$G$269)</f>
        <v>1631</v>
      </c>
      <c r="R7" s="63" t="n">
        <f aca="false">SUMIF($B$6:$B$269,$L7,$H$6:$H$269)</f>
        <v>1021</v>
      </c>
      <c r="S7" s="63" t="n">
        <f aca="false">SUMIF($B$6:$B$269,$L7,$I$6:$I$269)</f>
        <v>28567</v>
      </c>
      <c r="T7" s="63" t="n">
        <f aca="false">SUMIF($B$6:$B$269,$L7,$J$6:$J$269)</f>
        <v>11554</v>
      </c>
      <c r="W7" s="63" t="s">
        <v>339</v>
      </c>
      <c r="X7" s="63" t="n">
        <f aca="false">COUNTIF($C$6:$C$269,$W7)</f>
        <v>26</v>
      </c>
      <c r="Y7" s="63" t="n">
        <f aca="false">SUMIF($C$6:$C$269,$W7,$D$6:$D$269)</f>
        <v>175500</v>
      </c>
      <c r="Z7" s="66" t="n">
        <f aca="false">IFERROR(AVERAGEIF($C$6:$C$269,$W7,$E$6:$E$269),"NA")</f>
        <v>0.5112</v>
      </c>
      <c r="AA7" s="63" t="n">
        <f aca="false">SUMIF($C$6:$C$269,$W7,$F$6:$F$269)</f>
        <v>5319</v>
      </c>
      <c r="AB7" s="63" t="n">
        <f aca="false">SUMIF($C$6:$C$269,$W7,$G$6:$G$269)</f>
        <v>1052</v>
      </c>
      <c r="AC7" s="63" t="n">
        <f aca="false">SUMIF($C$6:$C$269,$W7,$H$6:$H$269)</f>
        <v>407</v>
      </c>
      <c r="AD7" s="63" t="n">
        <f aca="false">SUMIF($C$6:$C$269,$W7,$I$6:$I$269)</f>
        <v>45380</v>
      </c>
      <c r="AE7" s="63" t="n">
        <f aca="false">SUMIF($C$6:$C$269,$W7,$J$6:$J$269)</f>
        <v>20615</v>
      </c>
    </row>
    <row r="8" customFormat="false" ht="15" hidden="false" customHeight="false" outlineLevel="0" collapsed="false">
      <c r="A8" s="63" t="s">
        <v>145</v>
      </c>
      <c r="B8" s="63" t="str">
        <f aca="false">IFERROR(INDEX('CLM &amp; IM Mapping'!$B$2:$B$270,MATCH($A8,'CLM &amp; IM Mapping'!$A$2:$A$270,0)),"Not Mapped")</f>
        <v>Saddam Hussain</v>
      </c>
      <c r="C8" s="63" t="str">
        <f aca="false">IFERROR(INDEX('CLM &amp; IM Mapping'!$C$2:$C$270,MATCH($A8,'CLM &amp; IM Mapping'!$A$2:$A$270,0)),"Not Mapped")</f>
        <v>Un Mapped</v>
      </c>
      <c r="D8" s="64" t="n">
        <f aca="false">IFERROR(INDEX(Shrinkage!$P$2:$P$260,MATCH($A8,Shrinkage!$D$2:$D$260,0)),IFERROR(INDEX(Shrinkage!$P$2:$P$260,MATCH(SUBSTITUTE($A8," SS","  SS"),Shrinkage!$D$2:$D$260,0)),"NA"))</f>
        <v>1817</v>
      </c>
      <c r="E8" s="65" t="n">
        <f aca="false">IFERROR(INDEX('Inventory Hygiene'!$I$3:$I$254,MATCH($A8,'Inventory Hygiene'!$B$3:$B$254,0)),IFERROR(INDEX('Inventory Hygiene'!$I$3:$I$254,MATCH(SUBSTITUTE($A8," SS","  SS"),'Inventory Hygiene'!$B$3:$B$254,0)),"NA"))</f>
        <v>0.65</v>
      </c>
      <c r="F8" s="64" t="n">
        <f aca="false">IFERROR(INDEX('Bad Bins'!$K$3:$K$253,MATCH($A8,'Bad Bins'!$B$3:$B$253,0)),IFERROR(INDEX('Bad Bins'!$K$3:$K$253,MATCH(SUBSTITUTE($A8," SS","  SS"),'Bad Bins'!$B$3:$B$253,0)),"NA"))</f>
        <v>229</v>
      </c>
      <c r="G8" s="64" t="n">
        <f aca="false">IFERROR(INDEX('RSTO &gt; 48hrs'!$H$2:$H$134,MATCH($A8,'RSTO &gt; 48hrs'!$B$2:$B$134,0)),IFERROR(INDEX('RSTO &gt; 48hrs'!$H$2:$H$134,MATCH(SUBSTITUTE($A8," SS","  SS"),'RSTO &gt; 48hrs'!$B$2:$B$134,0)),"NA"))</f>
        <v>11</v>
      </c>
      <c r="H8" s="64" t="str">
        <f aca="false">IFERROR(INDEX('Recirculation &gt; 24 hrs'!$K$3:$K$151,MATCH($A8,'Recirculation &gt; 24 hrs'!$B$3:$B$151,0)),IFERROR(INDEX('Recirculation &gt; 24 hrs'!$K$3:$K$151,MATCH(SUBSTITUTE($A8," SS","  SS"),'Recirculation &gt; 24 hrs'!$B$3:$B$151,0)),"NA"))</f>
        <v>NA</v>
      </c>
      <c r="I8" s="64" t="n">
        <f aca="false">IFERROR(INDEX('Pending Putaway'!$E$2:$E$1537,MATCH($A8,'Pending Putaway'!$B$2:$B$1537,0)),IFERROR(INDEX('Pending Putaway'!$E$2:$E$1537,MATCH(SUBSTITUTE($A8," SS","  SS"),'Pending Putaway'!$B$2:$B$1537,0)),"NA"))</f>
        <v>2</v>
      </c>
      <c r="J8" s="64" t="n">
        <f aca="false">IFERROR(INDEX('Pending Putaway'!$L$2:$L$1537,MATCH($A8,'Pending Putaway'!$B$2:$B$1537,0)),IFERROR(INDEX('Pending Putaway'!$L$2:$L$1537,MATCH(SUBSTITUTE($A8," SS","  SS"),'Pending Putaway'!$B$2:$B$1537,0)),"NA"))</f>
        <v>0</v>
      </c>
      <c r="L8" s="63" t="s">
        <v>315</v>
      </c>
      <c r="M8" s="63" t="n">
        <f aca="false">COUNTIF($B$6:$B$269,$L8)</f>
        <v>26</v>
      </c>
      <c r="N8" s="63" t="n">
        <f aca="false">SUMIF($B$6:$B$269,$L8,$D$6:$D$269)</f>
        <v>357151</v>
      </c>
      <c r="O8" s="66" t="n">
        <f aca="false">IFERROR(AVERAGEIF($B$6:$B$269,$L8,$E$6:$E$269),"NA")</f>
        <v>0.295384615384615</v>
      </c>
      <c r="P8" s="63" t="n">
        <f aca="false">SUMIF($B$6:$B$269,$L8,$F$6:$F$269)</f>
        <v>472</v>
      </c>
      <c r="Q8" s="63" t="n">
        <f aca="false">SUMIF($B$6:$B$269,$L8,$G$6:$G$269)</f>
        <v>948</v>
      </c>
      <c r="R8" s="63" t="n">
        <f aca="false">SUMIF($B$6:$B$269,$L8,$H$6:$H$269)</f>
        <v>17274</v>
      </c>
      <c r="S8" s="63" t="n">
        <f aca="false">SUMIF($B$6:$B$269,$L8,$I$6:$I$269)</f>
        <v>35902</v>
      </c>
      <c r="T8" s="63" t="n">
        <f aca="false">SUMIF($B$6:$B$269,$L8,$J$6:$J$269)</f>
        <v>9445</v>
      </c>
      <c r="W8" s="63" t="s">
        <v>333</v>
      </c>
      <c r="X8" s="63" t="n">
        <f aca="false">COUNTIF($C$6:$C$269,$W8)</f>
        <v>26</v>
      </c>
      <c r="Y8" s="63" t="n">
        <f aca="false">SUMIF($C$6:$C$269,$W8,$D$6:$D$269)</f>
        <v>447810</v>
      </c>
      <c r="Z8" s="66" t="n">
        <f aca="false">IFERROR(AVERAGEIF($C$6:$C$269,$W8,$E$6:$E$269),"NA")</f>
        <v>0.584615384615385</v>
      </c>
      <c r="AA8" s="63" t="n">
        <f aca="false">SUMIF($C$6:$C$269,$W8,$F$6:$F$269)</f>
        <v>6562</v>
      </c>
      <c r="AB8" s="63" t="n">
        <f aca="false">SUMIF($C$6:$C$269,$W8,$G$6:$G$269)</f>
        <v>1225</v>
      </c>
      <c r="AC8" s="63" t="n">
        <f aca="false">SUMIF($C$6:$C$269,$W8,$H$6:$H$269)</f>
        <v>3364</v>
      </c>
      <c r="AD8" s="63" t="n">
        <f aca="false">SUMIF($C$6:$C$269,$W8,$I$6:$I$269)</f>
        <v>50222</v>
      </c>
      <c r="AE8" s="63" t="n">
        <f aca="false">SUMIF($C$6:$C$269,$W8,$J$6:$J$269)</f>
        <v>13608</v>
      </c>
    </row>
    <row r="9" customFormat="false" ht="15" hidden="false" customHeight="false" outlineLevel="0" collapsed="false">
      <c r="A9" s="63" t="s">
        <v>258</v>
      </c>
      <c r="B9" s="63" t="str">
        <f aca="false">IFERROR(INDEX('CLM &amp; IM Mapping'!$B$2:$B$270,MATCH($A9,'CLM &amp; IM Mapping'!$A$2:$A$270,0)),"Not Mapped")</f>
        <v>Sundaresh S</v>
      </c>
      <c r="C9" s="63" t="str">
        <f aca="false">IFERROR(INDEX('CLM &amp; IM Mapping'!$C$2:$C$270,MATCH($A9,'CLM &amp; IM Mapping'!$A$2:$A$270,0)),"Not Mapped")</f>
        <v>Un Mapped</v>
      </c>
      <c r="D9" s="64" t="n">
        <f aca="false">IFERROR(INDEX(Shrinkage!$P$2:$P$260,MATCH($A9,Shrinkage!$D$2:$D$260,0)),IFERROR(INDEX(Shrinkage!$P$2:$P$260,MATCH(SUBSTITUTE($A9," SS","  SS"),Shrinkage!$D$2:$D$260,0)),"NA"))</f>
        <v>47218</v>
      </c>
      <c r="E9" s="65" t="n">
        <f aca="false">IFERROR(INDEX('Inventory Hygiene'!$I$3:$I$254,MATCH($A9,'Inventory Hygiene'!$B$3:$B$254,0)),IFERROR(INDEX('Inventory Hygiene'!$I$3:$I$254,MATCH(SUBSTITUTE($A9," SS","  SS"),'Inventory Hygiene'!$B$3:$B$254,0)),"NA"))</f>
        <v>0.34</v>
      </c>
      <c r="F9" s="64" t="n">
        <f aca="false">IFERROR(INDEX('Bad Bins'!$K$3:$K$253,MATCH($A9,'Bad Bins'!$B$3:$B$253,0)),IFERROR(INDEX('Bad Bins'!$K$3:$K$253,MATCH(SUBSTITUTE($A9," SS","  SS"),'Bad Bins'!$B$3:$B$253,0)),"NA"))</f>
        <v>239</v>
      </c>
      <c r="G9" s="64" t="n">
        <f aca="false">IFERROR(INDEX('RSTO &gt; 48hrs'!$H$2:$H$134,MATCH($A9,'RSTO &gt; 48hrs'!$B$2:$B$134,0)),IFERROR(INDEX('RSTO &gt; 48hrs'!$H$2:$H$134,MATCH(SUBSTITUTE($A9," SS","  SS"),'RSTO &gt; 48hrs'!$B$2:$B$134,0)),"NA"))</f>
        <v>38</v>
      </c>
      <c r="H9" s="64" t="str">
        <f aca="false">IFERROR(INDEX('Recirculation &gt; 24 hrs'!$K$3:$K$151,MATCH($A9,'Recirculation &gt; 24 hrs'!$B$3:$B$151,0)),IFERROR(INDEX('Recirculation &gt; 24 hrs'!$K$3:$K$151,MATCH(SUBSTITUTE($A9," SS","  SS"),'Recirculation &gt; 24 hrs'!$B$3:$B$151,0)),"NA"))</f>
        <v>NA</v>
      </c>
      <c r="I9" s="64" t="n">
        <f aca="false">IFERROR(INDEX('Pending Putaway'!$E$2:$E$1537,MATCH($A9,'Pending Putaway'!$B$2:$B$1537,0)),IFERROR(INDEX('Pending Putaway'!$E$2:$E$1537,MATCH(SUBSTITUTE($A9," SS","  SS"),'Pending Putaway'!$B$2:$B$1537,0)),"NA"))</f>
        <v>1863</v>
      </c>
      <c r="J9" s="64" t="n">
        <f aca="false">IFERROR(INDEX('Pending Putaway'!$L$2:$L$1537,MATCH($A9,'Pending Putaway'!$B$2:$B$1537,0)),IFERROR(INDEX('Pending Putaway'!$L$2:$L$1537,MATCH(SUBSTITUTE($A9," SS","  SS"),'Pending Putaway'!$B$2:$B$1537,0)),"NA"))</f>
        <v>1863</v>
      </c>
      <c r="L9" s="63" t="s">
        <v>334</v>
      </c>
      <c r="M9" s="63" t="n">
        <f aca="false">COUNTIF($B$6:$B$269,$L9)</f>
        <v>15</v>
      </c>
      <c r="N9" s="63" t="n">
        <f aca="false">SUMIF($B$6:$B$269,$L9,$D$6:$D$269)</f>
        <v>198435</v>
      </c>
      <c r="O9" s="66" t="n">
        <f aca="false">IFERROR(AVERAGEIF($B$6:$B$269,$L9,$E$6:$E$269),"NA")</f>
        <v>0.614</v>
      </c>
      <c r="P9" s="63" t="n">
        <f aca="false">SUMIF($B$6:$B$269,$L9,$F$6:$F$269)</f>
        <v>2908</v>
      </c>
      <c r="Q9" s="63" t="n">
        <f aca="false">SUMIF($B$6:$B$269,$L9,$G$6:$G$269)</f>
        <v>251</v>
      </c>
      <c r="R9" s="63" t="n">
        <f aca="false">SUMIF($B$6:$B$269,$L9,$H$6:$H$269)</f>
        <v>2283</v>
      </c>
      <c r="S9" s="63" t="n">
        <f aca="false">SUMIF($B$6:$B$269,$L9,$I$6:$I$269)</f>
        <v>9536</v>
      </c>
      <c r="T9" s="63" t="n">
        <f aca="false">SUMIF($B$6:$B$269,$L9,$J$6:$J$269)</f>
        <v>5086</v>
      </c>
      <c r="W9" s="63" t="s">
        <v>328</v>
      </c>
      <c r="X9" s="63" t="n">
        <f aca="false">COUNTIF($C$6:$C$269,$W9)</f>
        <v>23</v>
      </c>
      <c r="Y9" s="63" t="n">
        <f aca="false">SUMIF($C$6:$C$269,$W9,$D$6:$D$269)</f>
        <v>52902</v>
      </c>
      <c r="Z9" s="66" t="n">
        <f aca="false">IFERROR(AVERAGEIF($C$6:$C$269,$W9,$E$6:$E$269),"NA")</f>
        <v>0.542608695652174</v>
      </c>
      <c r="AA9" s="63" t="n">
        <f aca="false">SUMIF($C$6:$C$269,$W9,$F$6:$F$269)</f>
        <v>2633</v>
      </c>
      <c r="AB9" s="63" t="n">
        <f aca="false">SUMIF($C$6:$C$269,$W9,$G$6:$G$269)</f>
        <v>266</v>
      </c>
      <c r="AC9" s="63" t="n">
        <f aca="false">SUMIF($C$6:$C$269,$W9,$H$6:$H$269)</f>
        <v>3877</v>
      </c>
      <c r="AD9" s="63" t="n">
        <f aca="false">SUMIF($C$6:$C$269,$W9,$I$6:$I$269)</f>
        <v>42487</v>
      </c>
      <c r="AE9" s="63" t="n">
        <f aca="false">SUMIF($C$6:$C$269,$W9,$J$6:$J$269)</f>
        <v>4661</v>
      </c>
    </row>
    <row r="10" customFormat="false" ht="15" hidden="false" customHeight="false" outlineLevel="0" collapsed="false">
      <c r="A10" s="63" t="s">
        <v>220</v>
      </c>
      <c r="B10" s="63" t="str">
        <f aca="false">IFERROR(INDEX('CLM &amp; IM Mapping'!$B$2:$B$270,MATCH($A10,'CLM &amp; IM Mapping'!$A$2:$A$270,0)),"Not Mapped")</f>
        <v>Sundaresh S</v>
      </c>
      <c r="C10" s="63" t="str">
        <f aca="false">IFERROR(INDEX('CLM &amp; IM Mapping'!$C$2:$C$270,MATCH($A10,'CLM &amp; IM Mapping'!$A$2:$A$270,0)),"Not Mapped")</f>
        <v>Un Mapped</v>
      </c>
      <c r="D10" s="64" t="n">
        <f aca="false">IFERROR(INDEX(Shrinkage!$P$2:$P$260,MATCH($A10,Shrinkage!$D$2:$D$260,0)),IFERROR(INDEX(Shrinkage!$P$2:$P$260,MATCH(SUBSTITUTE($A10," SS","  SS"),Shrinkage!$D$2:$D$260,0)),"NA"))</f>
        <v>-465</v>
      </c>
      <c r="E10" s="65" t="n">
        <f aca="false">IFERROR(INDEX('Inventory Hygiene'!$I$3:$I$254,MATCH($A10,'Inventory Hygiene'!$B$3:$B$254,0)),IFERROR(INDEX('Inventory Hygiene'!$I$3:$I$254,MATCH(SUBSTITUTE($A10," SS","  SS"),'Inventory Hygiene'!$B$3:$B$254,0)),"NA"))</f>
        <v>0.67</v>
      </c>
      <c r="F10" s="64" t="n">
        <f aca="false">IFERROR(INDEX('Bad Bins'!$K$3:$K$253,MATCH($A10,'Bad Bins'!$B$3:$B$253,0)),IFERROR(INDEX('Bad Bins'!$K$3:$K$253,MATCH(SUBSTITUTE($A10," SS","  SS"),'Bad Bins'!$B$3:$B$253,0)),"NA"))</f>
        <v>73</v>
      </c>
      <c r="G10" s="64" t="n">
        <f aca="false">IFERROR(INDEX('RSTO &gt; 48hrs'!$H$2:$H$134,MATCH($A10,'RSTO &gt; 48hrs'!$B$2:$B$134,0)),IFERROR(INDEX('RSTO &gt; 48hrs'!$H$2:$H$134,MATCH(SUBSTITUTE($A10," SS","  SS"),'RSTO &gt; 48hrs'!$B$2:$B$134,0)),"NA"))</f>
        <v>2</v>
      </c>
      <c r="H10" s="64" t="str">
        <f aca="false">IFERROR(INDEX('Recirculation &gt; 24 hrs'!$K$3:$K$151,MATCH($A10,'Recirculation &gt; 24 hrs'!$B$3:$B$151,0)),IFERROR(INDEX('Recirculation &gt; 24 hrs'!$K$3:$K$151,MATCH(SUBSTITUTE($A10," SS","  SS"),'Recirculation &gt; 24 hrs'!$B$3:$B$151,0)),"NA"))</f>
        <v>NA</v>
      </c>
      <c r="I10" s="64" t="n">
        <f aca="false">IFERROR(INDEX('Pending Putaway'!$E$2:$E$1537,MATCH($A10,'Pending Putaway'!$B$2:$B$1537,0)),IFERROR(INDEX('Pending Putaway'!$E$2:$E$1537,MATCH(SUBSTITUTE($A10," SS","  SS"),'Pending Putaway'!$B$2:$B$1537,0)),"NA"))</f>
        <v>858</v>
      </c>
      <c r="J10" s="64" t="n">
        <f aca="false">IFERROR(INDEX('Pending Putaway'!$L$2:$L$1537,MATCH($A10,'Pending Putaway'!$B$2:$B$1537,0)),IFERROR(INDEX('Pending Putaway'!$L$2:$L$1537,MATCH(SUBSTITUTE($A10," SS","  SS"),'Pending Putaway'!$B$2:$B$1537,0)),"NA"))</f>
        <v>0</v>
      </c>
      <c r="L10" s="63" t="s">
        <v>323</v>
      </c>
      <c r="M10" s="63" t="n">
        <f aca="false">COUNTIF($B$6:$B$269,$L10)</f>
        <v>18</v>
      </c>
      <c r="N10" s="63" t="n">
        <f aca="false">SUMIF($B$6:$B$269,$L10,$D$6:$D$269)</f>
        <v>-1746</v>
      </c>
      <c r="O10" s="66" t="n">
        <f aca="false">IFERROR(AVERAGEIF($B$6:$B$269,$L10,$E$6:$E$269),"NA")</f>
        <v>0.79764705882353</v>
      </c>
      <c r="P10" s="63" t="n">
        <f aca="false">SUMIF($B$6:$B$269,$L10,$F$6:$F$269)</f>
        <v>2251</v>
      </c>
      <c r="Q10" s="63" t="n">
        <f aca="false">SUMIF($B$6:$B$269,$L10,$G$6:$G$269)</f>
        <v>158</v>
      </c>
      <c r="R10" s="63" t="n">
        <f aca="false">SUMIF($B$6:$B$269,$L10,$H$6:$H$269)</f>
        <v>2075</v>
      </c>
      <c r="S10" s="63" t="n">
        <f aca="false">SUMIF($B$6:$B$269,$L10,$I$6:$I$269)</f>
        <v>16016</v>
      </c>
      <c r="T10" s="63" t="n">
        <f aca="false">SUMIF($B$6:$B$269,$L10,$J$6:$J$269)</f>
        <v>1802</v>
      </c>
      <c r="W10" s="63" t="s">
        <v>326</v>
      </c>
      <c r="X10" s="63" t="n">
        <f aca="false">COUNTIF($C$6:$C$269,$W10)</f>
        <v>2</v>
      </c>
      <c r="Y10" s="63" t="n">
        <f aca="false">SUMIF($C$6:$C$269,$W10,$D$6:$D$269)</f>
        <v>-8673</v>
      </c>
      <c r="Z10" s="66" t="n">
        <f aca="false">IFERROR(AVERAGEIF($C$6:$C$269,$W10,$E$6:$E$269),"NA")</f>
        <v>0</v>
      </c>
      <c r="AA10" s="63" t="n">
        <f aca="false">SUMIF($C$6:$C$269,$W10,$F$6:$F$269)</f>
        <v>0</v>
      </c>
      <c r="AB10" s="63" t="n">
        <f aca="false">SUMIF($C$6:$C$269,$W10,$G$6:$G$269)</f>
        <v>0</v>
      </c>
      <c r="AC10" s="63" t="n">
        <f aca="false">SUMIF($C$6:$C$269,$W10,$H$6:$H$269)</f>
        <v>0</v>
      </c>
      <c r="AD10" s="63" t="n">
        <f aca="false">SUMIF($C$6:$C$269,$W10,$I$6:$I$269)</f>
        <v>0</v>
      </c>
      <c r="AE10" s="63" t="n">
        <f aca="false">SUMIF($C$6:$C$269,$W10,$J$6:$J$269)</f>
        <v>0</v>
      </c>
    </row>
    <row r="11" customFormat="false" ht="15" hidden="false" customHeight="false" outlineLevel="0" collapsed="false">
      <c r="A11" s="63" t="s">
        <v>216</v>
      </c>
      <c r="B11" s="63" t="str">
        <f aca="false">IFERROR(INDEX('CLM &amp; IM Mapping'!$B$2:$B$270,MATCH($A11,'CLM &amp; IM Mapping'!$A$2:$A$270,0)),"Not Mapped")</f>
        <v>Saddam Hussain</v>
      </c>
      <c r="C11" s="63" t="str">
        <f aca="false">IFERROR(INDEX('CLM &amp; IM Mapping'!$C$2:$C$270,MATCH($A11,'CLM &amp; IM Mapping'!$A$2:$A$270,0)),"Not Mapped")</f>
        <v>Un Mapped</v>
      </c>
      <c r="D11" s="64" t="n">
        <f aca="false">IFERROR(INDEX(Shrinkage!$P$2:$P$260,MATCH($A11,Shrinkage!$D$2:$D$260,0)),IFERROR(INDEX(Shrinkage!$P$2:$P$260,MATCH(SUBSTITUTE($A11," SS","  SS"),Shrinkage!$D$2:$D$260,0)),"NA"))</f>
        <v>-358</v>
      </c>
      <c r="E11" s="65" t="n">
        <f aca="false">IFERROR(INDEX('Inventory Hygiene'!$I$3:$I$254,MATCH($A11,'Inventory Hygiene'!$B$3:$B$254,0)),IFERROR(INDEX('Inventory Hygiene'!$I$3:$I$254,MATCH(SUBSTITUTE($A11," SS","  SS"),'Inventory Hygiene'!$B$3:$B$254,0)),"NA"))</f>
        <v>0.38</v>
      </c>
      <c r="F11" s="64" t="n">
        <f aca="false">IFERROR(INDEX('Bad Bins'!$K$3:$K$253,MATCH($A11,'Bad Bins'!$B$3:$B$253,0)),IFERROR(INDEX('Bad Bins'!$K$3:$K$253,MATCH(SUBSTITUTE($A11," SS","  SS"),'Bad Bins'!$B$3:$B$253,0)),"NA"))</f>
        <v>150</v>
      </c>
      <c r="G11" s="64" t="str">
        <f aca="false">IFERROR(INDEX('RSTO &gt; 48hrs'!$H$2:$H$134,MATCH($A11,'RSTO &gt; 48hrs'!$B$2:$B$134,0)),IFERROR(INDEX('RSTO &gt; 48hrs'!$H$2:$H$134,MATCH(SUBSTITUTE($A11," SS","  SS"),'RSTO &gt; 48hrs'!$B$2:$B$134,0)),"NA"))</f>
        <v>NA</v>
      </c>
      <c r="H11" s="64" t="n">
        <f aca="false">IFERROR(INDEX('Recirculation &gt; 24 hrs'!$K$3:$K$151,MATCH($A11,'Recirculation &gt; 24 hrs'!$B$3:$B$151,0)),IFERROR(INDEX('Recirculation &gt; 24 hrs'!$K$3:$K$151,MATCH(SUBSTITUTE($A11," SS","  SS"),'Recirculation &gt; 24 hrs'!$B$3:$B$151,0)),"NA"))</f>
        <v>2</v>
      </c>
      <c r="I11" s="64" t="n">
        <f aca="false">IFERROR(INDEX('Pending Putaway'!$E$2:$E$1537,MATCH($A11,'Pending Putaway'!$B$2:$B$1537,0)),IFERROR(INDEX('Pending Putaway'!$E$2:$E$1537,MATCH(SUBSTITUTE($A11," SS","  SS"),'Pending Putaway'!$B$2:$B$1537,0)),"NA"))</f>
        <v>3064</v>
      </c>
      <c r="J11" s="64" t="n">
        <f aca="false">IFERROR(INDEX('Pending Putaway'!$L$2:$L$1537,MATCH($A11,'Pending Putaway'!$B$2:$B$1537,0)),IFERROR(INDEX('Pending Putaway'!$L$2:$L$1537,MATCH(SUBSTITUTE($A11," SS","  SS"),'Pending Putaway'!$B$2:$B$1537,0)),"NA"))</f>
        <v>0</v>
      </c>
      <c r="L11" s="63" t="s">
        <v>327</v>
      </c>
      <c r="M11" s="63" t="n">
        <f aca="false">COUNTIF($B$6:$B$269,$L11)</f>
        <v>6</v>
      </c>
      <c r="N11" s="63" t="n">
        <f aca="false">SUMIF($B$6:$B$269,$L11,$D$6:$D$269)</f>
        <v>8870</v>
      </c>
      <c r="O11" s="66" t="n">
        <f aca="false">IFERROR(AVERAGEIF($B$6:$B$269,$L11,$E$6:$E$269),"NA")</f>
        <v>0.53</v>
      </c>
      <c r="P11" s="63" t="n">
        <f aca="false">SUMIF($B$6:$B$269,$L11,$F$6:$F$269)</f>
        <v>676</v>
      </c>
      <c r="Q11" s="63" t="n">
        <f aca="false">SUMIF($B$6:$B$269,$L11,$G$6:$G$269)</f>
        <v>165</v>
      </c>
      <c r="R11" s="63" t="n">
        <f aca="false">SUMIF($B$6:$B$269,$L11,$H$6:$H$269)</f>
        <v>4</v>
      </c>
      <c r="S11" s="63" t="n">
        <f aca="false">SUMIF($B$6:$B$269,$L11,$I$6:$I$269)</f>
        <v>1222</v>
      </c>
      <c r="T11" s="63" t="n">
        <f aca="false">SUMIF($B$6:$B$269,$L11,$J$6:$J$269)</f>
        <v>0</v>
      </c>
      <c r="W11" s="63" t="s">
        <v>322</v>
      </c>
      <c r="X11" s="63" t="n">
        <f aca="false">COUNTIF($C$6:$C$269,$W11)</f>
        <v>33</v>
      </c>
      <c r="Y11" s="63" t="n">
        <f aca="false">SUMIF($C$6:$C$269,$W11,$D$6:$D$269)</f>
        <v>303407</v>
      </c>
      <c r="Z11" s="66" t="n">
        <f aca="false">IFERROR(AVERAGEIF($C$6:$C$269,$W11,$E$6:$E$269),"NA")</f>
        <v>0.681612903225806</v>
      </c>
      <c r="AA11" s="63" t="n">
        <f aca="false">SUMIF($C$6:$C$269,$W11,$F$6:$F$269)</f>
        <v>6138</v>
      </c>
      <c r="AB11" s="63" t="n">
        <f aca="false">SUMIF($C$6:$C$269,$W11,$G$6:$G$269)</f>
        <v>3478</v>
      </c>
      <c r="AC11" s="63" t="n">
        <f aca="false">SUMIF($C$6:$C$269,$W11,$H$6:$H$269)</f>
        <v>14094</v>
      </c>
      <c r="AD11" s="63" t="n">
        <f aca="false">SUMIF($C$6:$C$269,$W11,$I$6:$I$269)</f>
        <v>74169</v>
      </c>
      <c r="AE11" s="63" t="n">
        <f aca="false">SUMIF($C$6:$C$269,$W11,$J$6:$J$269)</f>
        <v>16265</v>
      </c>
    </row>
    <row r="12" customFormat="false" ht="15" hidden="false" customHeight="false" outlineLevel="0" collapsed="false">
      <c r="A12" s="63" t="s">
        <v>73</v>
      </c>
      <c r="B12" s="63" t="str">
        <f aca="false">IFERROR(INDEX('CLM &amp; IM Mapping'!$B$2:$B$270,MATCH($A12,'CLM &amp; IM Mapping'!$A$2:$A$270,0)),"Not Mapped")</f>
        <v>Rizwan Ahmed</v>
      </c>
      <c r="C12" s="63" t="str">
        <f aca="false">IFERROR(INDEX('CLM &amp; IM Mapping'!$C$2:$C$270,MATCH($A12,'CLM &amp; IM Mapping'!$A$2:$A$270,0)),"Not Mapped")</f>
        <v>Un Mapped</v>
      </c>
      <c r="D12" s="64" t="n">
        <f aca="false">IFERROR(INDEX(Shrinkage!$P$2:$P$260,MATCH($A12,Shrinkage!$D$2:$D$260,0)),IFERROR(INDEX(Shrinkage!$P$2:$P$260,MATCH(SUBSTITUTE($A12," SS","  SS"),Shrinkage!$D$2:$D$260,0)),"NA"))</f>
        <v>8152</v>
      </c>
      <c r="E12" s="65" t="n">
        <f aca="false">IFERROR(INDEX('Inventory Hygiene'!$I$3:$I$254,MATCH($A12,'Inventory Hygiene'!$B$3:$B$254,0)),IFERROR(INDEX('Inventory Hygiene'!$I$3:$I$254,MATCH(SUBSTITUTE($A12," SS","  SS"),'Inventory Hygiene'!$B$3:$B$254,0)),"NA"))</f>
        <v>0.62</v>
      </c>
      <c r="F12" s="64" t="n">
        <f aca="false">IFERROR(INDEX('Bad Bins'!$K$3:$K$253,MATCH($A12,'Bad Bins'!$B$3:$B$253,0)),IFERROR(INDEX('Bad Bins'!$K$3:$K$253,MATCH(SUBSTITUTE($A12," SS","  SS"),'Bad Bins'!$B$3:$B$253,0)),"NA"))</f>
        <v>82</v>
      </c>
      <c r="G12" s="64" t="str">
        <f aca="false">IFERROR(INDEX('RSTO &gt; 48hrs'!$H$2:$H$134,MATCH($A12,'RSTO &gt; 48hrs'!$B$2:$B$134,0)),IFERROR(INDEX('RSTO &gt; 48hrs'!$H$2:$H$134,MATCH(SUBSTITUTE($A12," SS","  SS"),'RSTO &gt; 48hrs'!$B$2:$B$134,0)),"NA"))</f>
        <v>NA</v>
      </c>
      <c r="H12" s="64" t="str">
        <f aca="false">IFERROR(INDEX('Recirculation &gt; 24 hrs'!$K$3:$K$151,MATCH($A12,'Recirculation &gt; 24 hrs'!$B$3:$B$151,0)),IFERROR(INDEX('Recirculation &gt; 24 hrs'!$K$3:$K$151,MATCH(SUBSTITUTE($A12," SS","  SS"),'Recirculation &gt; 24 hrs'!$B$3:$B$151,0)),"NA"))</f>
        <v>NA</v>
      </c>
      <c r="I12" s="64" t="n">
        <f aca="false">IFERROR(INDEX('Pending Putaway'!$E$2:$E$1537,MATCH($A12,'Pending Putaway'!$B$2:$B$1537,0)),IFERROR(INDEX('Pending Putaway'!$E$2:$E$1537,MATCH(SUBSTITUTE($A12," SS","  SS"),'Pending Putaway'!$B$2:$B$1537,0)),"NA"))</f>
        <v>2015</v>
      </c>
      <c r="J12" s="64" t="n">
        <f aca="false">IFERROR(INDEX('Pending Putaway'!$L$2:$L$1537,MATCH($A12,'Pending Putaway'!$B$2:$B$1537,0)),IFERROR(INDEX('Pending Putaway'!$L$2:$L$1537,MATCH(SUBSTITUTE($A12," SS","  SS"),'Pending Putaway'!$B$2:$B$1537,0)),"NA"))</f>
        <v>0</v>
      </c>
      <c r="L12" s="63" t="s">
        <v>317</v>
      </c>
      <c r="M12" s="63" t="n">
        <f aca="false">COUNTIF($B$6:$B$269,$L12)</f>
        <v>7</v>
      </c>
      <c r="N12" s="63" t="n">
        <f aca="false">SUMIF($B$6:$B$269,$L12,$D$6:$D$269)</f>
        <v>28252</v>
      </c>
      <c r="O12" s="66" t="n">
        <f aca="false">IFERROR(AVERAGEIF($B$6:$B$269,$L12,$E$6:$E$269),"NA")</f>
        <v>0.517142857142857</v>
      </c>
      <c r="P12" s="63" t="n">
        <f aca="false">SUMIF($B$6:$B$269,$L12,$F$6:$F$269)</f>
        <v>936</v>
      </c>
      <c r="Q12" s="63" t="n">
        <f aca="false">SUMIF($B$6:$B$269,$L12,$G$6:$G$269)</f>
        <v>595</v>
      </c>
      <c r="R12" s="63" t="n">
        <f aca="false">SUMIF($B$6:$B$269,$L12,$H$6:$H$269)</f>
        <v>1623</v>
      </c>
      <c r="S12" s="63" t="n">
        <f aca="false">SUMIF($B$6:$B$269,$L12,$I$6:$I$269)</f>
        <v>12856</v>
      </c>
      <c r="T12" s="63" t="n">
        <f aca="false">SUMIF($B$6:$B$269,$L12,$J$6:$J$269)</f>
        <v>6201</v>
      </c>
      <c r="W12" s="63" t="s">
        <v>318</v>
      </c>
      <c r="X12" s="63" t="n">
        <f aca="false">COUNTIF($C$6:$C$269,$W12)</f>
        <v>21</v>
      </c>
      <c r="Y12" s="63" t="n">
        <f aca="false">SUMIF($C$6:$C$269,$W12,$D$6:$D$269)</f>
        <v>192642</v>
      </c>
      <c r="Z12" s="66" t="n">
        <f aca="false">IFERROR(AVERAGEIF($C$6:$C$269,$W12,$E$6:$E$269),"NA")</f>
        <v>0.5995</v>
      </c>
      <c r="AA12" s="63" t="n">
        <f aca="false">SUMIF($C$6:$C$269,$W12,$F$6:$F$269)</f>
        <v>3710</v>
      </c>
      <c r="AB12" s="63" t="n">
        <f aca="false">SUMIF($C$6:$C$269,$W12,$G$6:$G$269)</f>
        <v>1382</v>
      </c>
      <c r="AC12" s="63" t="n">
        <f aca="false">SUMIF($C$6:$C$269,$W12,$H$6:$H$269)</f>
        <v>4344</v>
      </c>
      <c r="AD12" s="63" t="n">
        <f aca="false">SUMIF($C$6:$C$269,$W12,$I$6:$I$269)</f>
        <v>53038</v>
      </c>
      <c r="AE12" s="63" t="n">
        <f aca="false">SUMIF($C$6:$C$269,$W12,$J$6:$J$269)</f>
        <v>8668</v>
      </c>
    </row>
    <row r="13" customFormat="false" ht="15" hidden="false" customHeight="false" outlineLevel="0" collapsed="false">
      <c r="A13" s="63" t="s">
        <v>167</v>
      </c>
      <c r="B13" s="63" t="str">
        <f aca="false">IFERROR(INDEX('CLM &amp; IM Mapping'!$B$2:$B$270,MATCH($A13,'CLM &amp; IM Mapping'!$A$2:$A$270,0)),"Not Mapped")</f>
        <v>Rizwan Ahmed</v>
      </c>
      <c r="C13" s="63" t="str">
        <f aca="false">IFERROR(INDEX('CLM &amp; IM Mapping'!$C$2:$C$270,MATCH($A13,'CLM &amp; IM Mapping'!$A$2:$A$270,0)),"Not Mapped")</f>
        <v>Un Mapped</v>
      </c>
      <c r="D13" s="64" t="n">
        <f aca="false">IFERROR(INDEX(Shrinkage!$P$2:$P$260,MATCH($A13,Shrinkage!$D$2:$D$260,0)),IFERROR(INDEX(Shrinkage!$P$2:$P$260,MATCH(SUBSTITUTE($A13," SS","  SS"),Shrinkage!$D$2:$D$260,0)),"NA"))</f>
        <v>94456</v>
      </c>
      <c r="E13" s="65" t="n">
        <f aca="false">IFERROR(INDEX('Inventory Hygiene'!$I$3:$I$254,MATCH($A13,'Inventory Hygiene'!$B$3:$B$254,0)),IFERROR(INDEX('Inventory Hygiene'!$I$3:$I$254,MATCH(SUBSTITUTE($A13," SS","  SS"),'Inventory Hygiene'!$B$3:$B$254,0)),"NA"))</f>
        <v>0.54</v>
      </c>
      <c r="F13" s="64" t="n">
        <f aca="false">IFERROR(INDEX('Bad Bins'!$K$3:$K$253,MATCH($A13,'Bad Bins'!$B$3:$B$253,0)),IFERROR(INDEX('Bad Bins'!$K$3:$K$253,MATCH(SUBSTITUTE($A13," SS","  SS"),'Bad Bins'!$B$3:$B$253,0)),"NA"))</f>
        <v>103</v>
      </c>
      <c r="G13" s="64" t="n">
        <f aca="false">IFERROR(INDEX('RSTO &gt; 48hrs'!$H$2:$H$134,MATCH($A13,'RSTO &gt; 48hrs'!$B$2:$B$134,0)),IFERROR(INDEX('RSTO &gt; 48hrs'!$H$2:$H$134,MATCH(SUBSTITUTE($A13," SS","  SS"),'RSTO &gt; 48hrs'!$B$2:$B$134,0)),"NA"))</f>
        <v>546</v>
      </c>
      <c r="H13" s="64" t="n">
        <f aca="false">IFERROR(INDEX('Recirculation &gt; 24 hrs'!$K$3:$K$151,MATCH($A13,'Recirculation &gt; 24 hrs'!$B$3:$B$151,0)),IFERROR(INDEX('Recirculation &gt; 24 hrs'!$K$3:$K$151,MATCH(SUBSTITUTE($A13," SS","  SS"),'Recirculation &gt; 24 hrs'!$B$3:$B$151,0)),"NA"))</f>
        <v>2</v>
      </c>
      <c r="I13" s="64" t="n">
        <f aca="false">IFERROR(INDEX('Pending Putaway'!$E$2:$E$1537,MATCH($A13,'Pending Putaway'!$B$2:$B$1537,0)),IFERROR(INDEX('Pending Putaway'!$E$2:$E$1537,MATCH(SUBSTITUTE($A13," SS","  SS"),'Pending Putaway'!$B$2:$B$1537,0)),"NA"))</f>
        <v>3647</v>
      </c>
      <c r="J13" s="64" t="n">
        <f aca="false">IFERROR(INDEX('Pending Putaway'!$L$2:$L$1537,MATCH($A13,'Pending Putaway'!$B$2:$B$1537,0)),IFERROR(INDEX('Pending Putaway'!$L$2:$L$1537,MATCH(SUBSTITUTE($A13," SS","  SS"),'Pending Putaway'!$B$2:$B$1537,0)),"NA"))</f>
        <v>80</v>
      </c>
      <c r="L13" s="63" t="s">
        <v>308</v>
      </c>
      <c r="M13" s="63" t="n">
        <f aca="false">COUNTIF($B$6:$B$269,$L13)</f>
        <v>6</v>
      </c>
      <c r="N13" s="63" t="n">
        <f aca="false">SUMIF($B$6:$B$269,$L13,$D$6:$D$269)</f>
        <v>179035</v>
      </c>
      <c r="O13" s="66" t="n">
        <f aca="false">IFERROR(AVERAGEIF($B$6:$B$269,$L13,$E$6:$E$269),"NA")</f>
        <v>0.466666666666667</v>
      </c>
      <c r="P13" s="63" t="n">
        <f aca="false">SUMIF($B$6:$B$269,$L13,$F$6:$F$269)</f>
        <v>530</v>
      </c>
      <c r="Q13" s="63" t="n">
        <f aca="false">SUMIF($B$6:$B$269,$L13,$G$6:$G$269)</f>
        <v>9</v>
      </c>
      <c r="R13" s="63" t="n">
        <f aca="false">SUMIF($B$6:$B$269,$L13,$H$6:$H$269)</f>
        <v>503</v>
      </c>
      <c r="S13" s="63" t="n">
        <f aca="false">SUMIF($B$6:$B$269,$L13,$I$6:$I$269)</f>
        <v>18166</v>
      </c>
      <c r="T13" s="63" t="n">
        <f aca="false">SUMIF($B$6:$B$269,$L13,$J$6:$J$269)</f>
        <v>663</v>
      </c>
      <c r="W13" s="63" t="s">
        <v>316</v>
      </c>
      <c r="X13" s="63" t="n">
        <f aca="false">COUNTIF($C$6:$C$269,$W13)</f>
        <v>26</v>
      </c>
      <c r="Y13" s="63" t="n">
        <f aca="false">SUMIF($C$6:$C$269,$W13,$D$6:$D$269)</f>
        <v>357151</v>
      </c>
      <c r="Z13" s="66" t="n">
        <f aca="false">IFERROR(AVERAGEIF($C$6:$C$269,$W13,$E$6:$E$269),"NA")</f>
        <v>0.295384615384615</v>
      </c>
      <c r="AA13" s="63" t="n">
        <f aca="false">SUMIF($C$6:$C$269,$W13,$F$6:$F$269)</f>
        <v>472</v>
      </c>
      <c r="AB13" s="63" t="n">
        <f aca="false">SUMIF($C$6:$C$269,$W13,$G$6:$G$269)</f>
        <v>948</v>
      </c>
      <c r="AC13" s="63" t="n">
        <f aca="false">SUMIF($C$6:$C$269,$W13,$H$6:$H$269)</f>
        <v>17274</v>
      </c>
      <c r="AD13" s="63" t="n">
        <f aca="false">SUMIF($C$6:$C$269,$W13,$I$6:$I$269)</f>
        <v>35902</v>
      </c>
      <c r="AE13" s="63" t="n">
        <f aca="false">SUMIF($C$6:$C$269,$W13,$J$6:$J$269)</f>
        <v>9445</v>
      </c>
    </row>
    <row r="14" customFormat="false" ht="15" hidden="false" customHeight="false" outlineLevel="0" collapsed="false">
      <c r="A14" s="63" t="s">
        <v>29</v>
      </c>
      <c r="B14" s="63" t="str">
        <f aca="false">IFERROR(INDEX('CLM &amp; IM Mapping'!$B$2:$B$270,MATCH($A14,'CLM &amp; IM Mapping'!$A$2:$A$270,0)),"Not Mapped")</f>
        <v>Rizwan Ahmed</v>
      </c>
      <c r="C14" s="63" t="str">
        <f aca="false">IFERROR(INDEX('CLM &amp; IM Mapping'!$C$2:$C$270,MATCH($A14,'CLM &amp; IM Mapping'!$A$2:$A$270,0)),"Not Mapped")</f>
        <v>Un Mapped</v>
      </c>
      <c r="D14" s="64" t="n">
        <f aca="false">IFERROR(INDEX(Shrinkage!$P$2:$P$260,MATCH($A14,Shrinkage!$D$2:$D$260,0)),IFERROR(INDEX(Shrinkage!$P$2:$P$260,MATCH(SUBSTITUTE($A14," SS","  SS"),Shrinkage!$D$2:$D$260,0)),"NA"))</f>
        <v>-6830</v>
      </c>
      <c r="E14" s="65" t="n">
        <f aca="false">IFERROR(INDEX('Inventory Hygiene'!$I$3:$I$254,MATCH($A14,'Inventory Hygiene'!$B$3:$B$254,0)),IFERROR(INDEX('Inventory Hygiene'!$I$3:$I$254,MATCH(SUBSTITUTE($A14," SS","  SS"),'Inventory Hygiene'!$B$3:$B$254,0)),"NA"))</f>
        <v>0.54</v>
      </c>
      <c r="F14" s="64" t="n">
        <f aca="false">IFERROR(INDEX('Bad Bins'!$K$3:$K$253,MATCH($A14,'Bad Bins'!$B$3:$B$253,0)),IFERROR(INDEX('Bad Bins'!$K$3:$K$253,MATCH(SUBSTITUTE($A14," SS","  SS"),'Bad Bins'!$B$3:$B$253,0)),"NA"))</f>
        <v>95</v>
      </c>
      <c r="G14" s="64" t="n">
        <f aca="false">IFERROR(INDEX('RSTO &gt; 48hrs'!$H$2:$H$134,MATCH($A14,'RSTO &gt; 48hrs'!$B$2:$B$134,0)),IFERROR(INDEX('RSTO &gt; 48hrs'!$H$2:$H$134,MATCH(SUBSTITUTE($A14," SS","  SS"),'RSTO &gt; 48hrs'!$B$2:$B$134,0)),"NA"))</f>
        <v>69</v>
      </c>
      <c r="H14" s="64" t="n">
        <f aca="false">IFERROR(INDEX('Recirculation &gt; 24 hrs'!$K$3:$K$151,MATCH($A14,'Recirculation &gt; 24 hrs'!$B$3:$B$151,0)),IFERROR(INDEX('Recirculation &gt; 24 hrs'!$K$3:$K$151,MATCH(SUBSTITUTE($A14," SS","  SS"),'Recirculation &gt; 24 hrs'!$B$3:$B$151,0)),"NA"))</f>
        <v>13</v>
      </c>
      <c r="I14" s="64" t="n">
        <f aca="false">IFERROR(INDEX('Pending Putaway'!$E$2:$E$1537,MATCH($A14,'Pending Putaway'!$B$2:$B$1537,0)),IFERROR(INDEX('Pending Putaway'!$E$2:$E$1537,MATCH(SUBSTITUTE($A14," SS","  SS"),'Pending Putaway'!$B$2:$B$1537,0)),"NA"))</f>
        <v>1715</v>
      </c>
      <c r="J14" s="64" t="n">
        <f aca="false">IFERROR(INDEX('Pending Putaway'!$L$2:$L$1537,MATCH($A14,'Pending Putaway'!$B$2:$B$1537,0)),IFERROR(INDEX('Pending Putaway'!$L$2:$L$1537,MATCH(SUBSTITUTE($A14," SS","  SS"),'Pending Putaway'!$B$2:$B$1537,0)),"NA"))</f>
        <v>1715</v>
      </c>
      <c r="L14" s="63" t="s">
        <v>343</v>
      </c>
      <c r="M14" s="63" t="n">
        <f aca="false">COUNTIF($B$6:$B$269,$L14)</f>
        <v>12</v>
      </c>
      <c r="N14" s="63" t="n">
        <f aca="false">SUMIF($B$6:$B$269,$L14,$D$6:$D$269)</f>
        <v>-48251</v>
      </c>
      <c r="O14" s="66" t="n">
        <f aca="false">IFERROR(AVERAGEIF($B$6:$B$269,$L14,$E$6:$E$269),"NA")</f>
        <v>0.305</v>
      </c>
      <c r="P14" s="63" t="n">
        <f aca="false">SUMIF($B$6:$B$269,$L14,$F$6:$F$269)</f>
        <v>1261</v>
      </c>
      <c r="Q14" s="63" t="n">
        <f aca="false">SUMIF($B$6:$B$269,$L14,$G$6:$G$269)</f>
        <v>0</v>
      </c>
      <c r="R14" s="63" t="n">
        <f aca="false">SUMIF($B$6:$B$269,$L14,$H$6:$H$269)</f>
        <v>9</v>
      </c>
      <c r="S14" s="63" t="n">
        <f aca="false">SUMIF($B$6:$B$269,$L14,$I$6:$I$269)</f>
        <v>2790</v>
      </c>
      <c r="T14" s="63" t="n">
        <f aca="false">SUMIF($B$6:$B$269,$L14,$J$6:$J$269)</f>
        <v>1519</v>
      </c>
      <c r="W14" s="63" t="s">
        <v>313</v>
      </c>
      <c r="X14" s="63" t="n">
        <f aca="false">COUNTIF($C$6:$C$269,$W14)</f>
        <v>23</v>
      </c>
      <c r="Y14" s="63" t="n">
        <f aca="false">SUMIF($C$6:$C$269,$W14,$D$6:$D$269)</f>
        <v>258698</v>
      </c>
      <c r="Z14" s="66" t="n">
        <f aca="false">IFERROR(AVERAGEIF($C$6:$C$269,$W14,$E$6:$E$269),"NA")</f>
        <v>0.647727272727273</v>
      </c>
      <c r="AA14" s="63" t="n">
        <f aca="false">SUMIF($C$6:$C$269,$W14,$F$6:$F$269)</f>
        <v>2806</v>
      </c>
      <c r="AB14" s="63" t="n">
        <f aca="false">SUMIF($C$6:$C$269,$W14,$G$6:$G$269)</f>
        <v>3288</v>
      </c>
      <c r="AC14" s="63" t="n">
        <f aca="false">SUMIF($C$6:$C$269,$W14,$H$6:$H$269)</f>
        <v>2583</v>
      </c>
      <c r="AD14" s="63" t="n">
        <f aca="false">SUMIF($C$6:$C$269,$W14,$I$6:$I$269)</f>
        <v>33386</v>
      </c>
      <c r="AE14" s="63" t="n">
        <f aca="false">SUMIF($C$6:$C$269,$W14,$J$6:$J$269)</f>
        <v>11554</v>
      </c>
    </row>
    <row r="15" customFormat="false" ht="15" hidden="false" customHeight="false" outlineLevel="0" collapsed="false">
      <c r="A15" s="63" t="s">
        <v>127</v>
      </c>
      <c r="B15" s="63" t="str">
        <f aca="false">IFERROR(INDEX('CLM &amp; IM Mapping'!$B$2:$B$270,MATCH($A15,'CLM &amp; IM Mapping'!$A$2:$A$270,0)),"Not Mapped")</f>
        <v>Rizwan Ahmed</v>
      </c>
      <c r="C15" s="63" t="str">
        <f aca="false">IFERROR(INDEX('CLM &amp; IM Mapping'!$C$2:$C$270,MATCH($A15,'CLM &amp; IM Mapping'!$A$2:$A$270,0)),"Not Mapped")</f>
        <v>Un Mapped</v>
      </c>
      <c r="D15" s="64" t="n">
        <f aca="false">IFERROR(INDEX(Shrinkage!$P$2:$P$260,MATCH($A15,Shrinkage!$D$2:$D$260,0)),IFERROR(INDEX(Shrinkage!$P$2:$P$260,MATCH(SUBSTITUTE($A15," SS","  SS"),Shrinkage!$D$2:$D$260,0)),"NA"))</f>
        <v>48871</v>
      </c>
      <c r="E15" s="65" t="n">
        <f aca="false">IFERROR(INDEX('Inventory Hygiene'!$I$3:$I$254,MATCH($A15,'Inventory Hygiene'!$B$3:$B$254,0)),IFERROR(INDEX('Inventory Hygiene'!$I$3:$I$254,MATCH(SUBSTITUTE($A15," SS","  SS"),'Inventory Hygiene'!$B$3:$B$254,0)),"NA"))</f>
        <v>0.78</v>
      </c>
      <c r="F15" s="64" t="n">
        <f aca="false">IFERROR(INDEX('Bad Bins'!$K$3:$K$253,MATCH($A15,'Bad Bins'!$B$3:$B$253,0)),IFERROR(INDEX('Bad Bins'!$K$3:$K$253,MATCH(SUBSTITUTE($A15," SS","  SS"),'Bad Bins'!$B$3:$B$253,0)),"NA"))</f>
        <v>441</v>
      </c>
      <c r="G15" s="64" t="n">
        <f aca="false">IFERROR(INDEX('RSTO &gt; 48hrs'!$H$2:$H$134,MATCH($A15,'RSTO &gt; 48hrs'!$B$2:$B$134,0)),IFERROR(INDEX('RSTO &gt; 48hrs'!$H$2:$H$134,MATCH(SUBSTITUTE($A15," SS","  SS"),'RSTO &gt; 48hrs'!$B$2:$B$134,0)),"NA"))</f>
        <v>1166</v>
      </c>
      <c r="H15" s="64" t="n">
        <f aca="false">IFERROR(INDEX('Recirculation &gt; 24 hrs'!$K$3:$K$151,MATCH($A15,'Recirculation &gt; 24 hrs'!$B$3:$B$151,0)),IFERROR(INDEX('Recirculation &gt; 24 hrs'!$K$3:$K$151,MATCH(SUBSTITUTE($A15," SS","  SS"),'Recirculation &gt; 24 hrs'!$B$3:$B$151,0)),"NA"))</f>
        <v>6</v>
      </c>
      <c r="I15" s="64" t="n">
        <f aca="false">IFERROR(INDEX('Pending Putaway'!$E$2:$E$1537,MATCH($A15,'Pending Putaway'!$B$2:$B$1537,0)),IFERROR(INDEX('Pending Putaway'!$E$2:$E$1537,MATCH(SUBSTITUTE($A15," SS","  SS"),'Pending Putaway'!$B$2:$B$1537,0)),"NA"))</f>
        <v>8633</v>
      </c>
      <c r="J15" s="64" t="n">
        <f aca="false">IFERROR(INDEX('Pending Putaway'!$L$2:$L$1537,MATCH($A15,'Pending Putaway'!$B$2:$B$1537,0)),IFERROR(INDEX('Pending Putaway'!$L$2:$L$1537,MATCH(SUBSTITUTE($A15," SS","  SS"),'Pending Putaway'!$B$2:$B$1537,0)),"NA"))</f>
        <v>342</v>
      </c>
      <c r="L15" s="63" t="s">
        <v>310</v>
      </c>
      <c r="M15" s="63" t="n">
        <f aca="false">COUNTIF($B$6:$B$269,$L15)</f>
        <v>3</v>
      </c>
      <c r="N15" s="63" t="n">
        <f aca="false">SUMIF($B$6:$B$269,$L15,$D$6:$D$269)</f>
        <v>88708</v>
      </c>
      <c r="O15" s="66" t="n">
        <f aca="false">IFERROR(AVERAGEIF($B$6:$B$269,$L15,$E$6:$E$269),"NA")</f>
        <v>0.516666666666667</v>
      </c>
      <c r="P15" s="63" t="n">
        <f aca="false">SUMIF($B$6:$B$269,$L15,$F$6:$F$269)</f>
        <v>1239</v>
      </c>
      <c r="Q15" s="63" t="n">
        <f aca="false">SUMIF($B$6:$B$269,$L15,$G$6:$G$269)</f>
        <v>643</v>
      </c>
      <c r="R15" s="63" t="n">
        <f aca="false">SUMIF($B$6:$B$269,$L15,$H$6:$H$269)</f>
        <v>130</v>
      </c>
      <c r="S15" s="63" t="n">
        <f aca="false">SUMIF($B$6:$B$269,$L15,$I$6:$I$269)</f>
        <v>17716</v>
      </c>
      <c r="T15" s="63" t="n">
        <f aca="false">SUMIF($B$6:$B$269,$L15,$J$6:$J$269)</f>
        <v>3651</v>
      </c>
      <c r="W15" s="63" t="s">
        <v>305</v>
      </c>
      <c r="X15" s="63" t="n">
        <f aca="false">COUNTIF($C$6:$C$269,$W15)</f>
        <v>51</v>
      </c>
      <c r="Y15" s="63" t="n">
        <f aca="false">SUMIF($C$6:$C$269,$W15,$D$6:$D$269)</f>
        <v>592273</v>
      </c>
      <c r="Z15" s="66" t="n">
        <f aca="false">IFERROR(AVERAGEIF($C$6:$C$269,$W15,$E$6:$E$269),"NA")</f>
        <v>0.575918367346939</v>
      </c>
      <c r="AA15" s="63" t="n">
        <f aca="false">SUMIF($C$6:$C$269,$W15,$F$6:$F$269)</f>
        <v>9242</v>
      </c>
      <c r="AB15" s="63" t="n">
        <f aca="false">SUMIF($C$6:$C$269,$W15,$G$6:$G$269)</f>
        <v>3169</v>
      </c>
      <c r="AC15" s="63" t="n">
        <f aca="false">SUMIF($C$6:$C$269,$W15,$H$6:$H$269)</f>
        <v>6116</v>
      </c>
      <c r="AD15" s="63" t="n">
        <f aca="false">SUMIF($C$6:$C$269,$W15,$I$6:$I$269)</f>
        <v>118089</v>
      </c>
      <c r="AE15" s="63" t="n">
        <f aca="false">SUMIF($C$6:$C$269,$W15,$J$6:$J$269)</f>
        <v>22297</v>
      </c>
    </row>
    <row r="16" customFormat="false" ht="15" hidden="false" customHeight="false" outlineLevel="0" collapsed="false">
      <c r="A16" s="63" t="s">
        <v>65</v>
      </c>
      <c r="B16" s="63" t="str">
        <f aca="false">IFERROR(INDEX('CLM &amp; IM Mapping'!$B$2:$B$270,MATCH($A16,'CLM &amp; IM Mapping'!$A$2:$A$270,0)),"Not Mapped")</f>
        <v>Rizwan Ahmed</v>
      </c>
      <c r="C16" s="63" t="str">
        <f aca="false">IFERROR(INDEX('CLM &amp; IM Mapping'!$C$2:$C$270,MATCH($A16,'CLM &amp; IM Mapping'!$A$2:$A$270,0)),"Not Mapped")</f>
        <v>Un Mapped</v>
      </c>
      <c r="D16" s="64" t="n">
        <f aca="false">IFERROR(INDEX(Shrinkage!$P$2:$P$260,MATCH($A16,Shrinkage!$D$2:$D$260,0)),IFERROR(INDEX(Shrinkage!$P$2:$P$260,MATCH(SUBSTITUTE($A16," SS","  SS"),Shrinkage!$D$2:$D$260,0)),"NA"))</f>
        <v>-2738</v>
      </c>
      <c r="E16" s="65" t="n">
        <f aca="false">IFERROR(INDEX('Inventory Hygiene'!$I$3:$I$254,MATCH($A16,'Inventory Hygiene'!$B$3:$B$254,0)),IFERROR(INDEX('Inventory Hygiene'!$I$3:$I$254,MATCH(SUBSTITUTE($A16," SS","  SS"),'Inventory Hygiene'!$B$3:$B$254,0)),"NA"))</f>
        <v>0.46</v>
      </c>
      <c r="F16" s="64" t="n">
        <f aca="false">IFERROR(INDEX('Bad Bins'!$K$3:$K$253,MATCH($A16,'Bad Bins'!$B$3:$B$253,0)),IFERROR(INDEX('Bad Bins'!$K$3:$K$253,MATCH(SUBSTITUTE($A16," SS","  SS"),'Bad Bins'!$B$3:$B$253,0)),"NA"))</f>
        <v>80</v>
      </c>
      <c r="G16" s="64" t="str">
        <f aca="false">IFERROR(INDEX('RSTO &gt; 48hrs'!$H$2:$H$134,MATCH($A16,'RSTO &gt; 48hrs'!$B$2:$B$134,0)),IFERROR(INDEX('RSTO &gt; 48hrs'!$H$2:$H$134,MATCH(SUBSTITUTE($A16," SS","  SS"),'RSTO &gt; 48hrs'!$B$2:$B$134,0)),"NA"))</f>
        <v>NA</v>
      </c>
      <c r="H16" s="64" t="str">
        <f aca="false">IFERROR(INDEX('Recirculation &gt; 24 hrs'!$K$3:$K$151,MATCH($A16,'Recirculation &gt; 24 hrs'!$B$3:$B$151,0)),IFERROR(INDEX('Recirculation &gt; 24 hrs'!$K$3:$K$151,MATCH(SUBSTITUTE($A16," SS","  SS"),'Recirculation &gt; 24 hrs'!$B$3:$B$151,0)),"NA"))</f>
        <v>NA</v>
      </c>
      <c r="I16" s="64" t="n">
        <f aca="false">IFERROR(INDEX('Pending Putaway'!$E$2:$E$1537,MATCH($A16,'Pending Putaway'!$B$2:$B$1537,0)),IFERROR(INDEX('Pending Putaway'!$E$2:$E$1537,MATCH(SUBSTITUTE($A16," SS","  SS"),'Pending Putaway'!$B$2:$B$1537,0)),"NA"))</f>
        <v>0</v>
      </c>
      <c r="J16" s="64" t="n">
        <f aca="false">IFERROR(INDEX('Pending Putaway'!$L$2:$L$1537,MATCH($A16,'Pending Putaway'!$B$2:$B$1537,0)),IFERROR(INDEX('Pending Putaway'!$L$2:$L$1537,MATCH(SUBSTITUTE($A16," SS","  SS"),'Pending Putaway'!$B$2:$B$1537,0)),"NA"))</f>
        <v>0</v>
      </c>
      <c r="L16" s="63" t="s">
        <v>326</v>
      </c>
      <c r="M16" s="63" t="n">
        <f aca="false">COUNTIF($B$6:$B$269,$L16)</f>
        <v>2</v>
      </c>
      <c r="N16" s="63" t="n">
        <f aca="false">SUMIF($B$6:$B$269,$L16,$D$6:$D$269)</f>
        <v>-8673</v>
      </c>
      <c r="O16" s="66" t="n">
        <f aca="false">IFERROR(AVERAGEIF($B$6:$B$269,$L16,$E$6:$E$269),"NA")</f>
        <v>0</v>
      </c>
      <c r="P16" s="63" t="n">
        <f aca="false">SUMIF($B$6:$B$269,$L16,$F$6:$F$269)</f>
        <v>0</v>
      </c>
      <c r="Q16" s="63" t="n">
        <f aca="false">SUMIF($B$6:$B$269,$L16,$G$6:$G$269)</f>
        <v>0</v>
      </c>
      <c r="R16" s="63" t="n">
        <f aca="false">SUMIF($B$6:$B$269,$L16,$H$6:$H$269)</f>
        <v>0</v>
      </c>
      <c r="S16" s="63" t="n">
        <f aca="false">SUMIF($B$6:$B$269,$L16,$I$6:$I$269)</f>
        <v>0</v>
      </c>
      <c r="T16" s="63" t="n">
        <f aca="false">SUMIF($B$6:$B$269,$L16,$J$6:$J$269)</f>
        <v>0</v>
      </c>
      <c r="W16" s="63" t="s">
        <v>1667</v>
      </c>
      <c r="X16" s="63" t="n">
        <f aca="false">COUNTIF($C$6:$C$269,$W16)</f>
        <v>2</v>
      </c>
      <c r="Y16" s="63" t="n">
        <f aca="false">SUMIF($C$6:$C$269,$W16,$D$6:$D$269)</f>
        <v>0</v>
      </c>
      <c r="Z16" s="66" t="str">
        <f aca="false">IFERROR(AVERAGEIF($C$6:$C$269,$W16,$E$6:$E$269),"NA")</f>
        <v>NA</v>
      </c>
      <c r="AA16" s="63" t="n">
        <f aca="false">SUMIF($C$6:$C$269,$W16,$F$6:$F$269)</f>
        <v>0</v>
      </c>
      <c r="AB16" s="63" t="n">
        <f aca="false">SUMIF($C$6:$C$269,$W16,$G$6:$G$269)</f>
        <v>0</v>
      </c>
      <c r="AC16" s="63" t="n">
        <f aca="false">SUMIF($C$6:$C$269,$W16,$H$6:$H$269)</f>
        <v>6</v>
      </c>
      <c r="AD16" s="63" t="n">
        <f aca="false">SUMIF($C$6:$C$269,$W16,$I$6:$I$269)</f>
        <v>0</v>
      </c>
      <c r="AE16" s="63" t="n">
        <f aca="false">SUMIF($C$6:$C$269,$W16,$J$6:$J$269)</f>
        <v>0</v>
      </c>
    </row>
    <row r="17" customFormat="false" ht="15" hidden="false" customHeight="false" outlineLevel="0" collapsed="false">
      <c r="A17" s="63" t="s">
        <v>141</v>
      </c>
      <c r="B17" s="63" t="str">
        <f aca="false">IFERROR(INDEX('CLM &amp; IM Mapping'!$B$2:$B$270,MATCH($A17,'CLM &amp; IM Mapping'!$A$2:$A$270,0)),"Not Mapped")</f>
        <v>Rizwan Ahmed</v>
      </c>
      <c r="C17" s="63" t="str">
        <f aca="false">IFERROR(INDEX('CLM &amp; IM Mapping'!$C$2:$C$270,MATCH($A17,'CLM &amp; IM Mapping'!$A$2:$A$270,0)),"Not Mapped")</f>
        <v>Un Mapped</v>
      </c>
      <c r="D17" s="64" t="n">
        <f aca="false">IFERROR(INDEX(Shrinkage!$P$2:$P$260,MATCH($A17,Shrinkage!$D$2:$D$260,0)),IFERROR(INDEX(Shrinkage!$P$2:$P$260,MATCH(SUBSTITUTE($A17," SS","  SS"),Shrinkage!$D$2:$D$260,0)),"NA"))</f>
        <v>31497</v>
      </c>
      <c r="E17" s="65" t="n">
        <f aca="false">IFERROR(INDEX('Inventory Hygiene'!$I$3:$I$254,MATCH($A17,'Inventory Hygiene'!$B$3:$B$254,0)),IFERROR(INDEX('Inventory Hygiene'!$I$3:$I$254,MATCH(SUBSTITUTE($A17," SS","  SS"),'Inventory Hygiene'!$B$3:$B$254,0)),"NA"))</f>
        <v>0.41</v>
      </c>
      <c r="F17" s="64" t="n">
        <f aca="false">IFERROR(INDEX('Bad Bins'!$K$3:$K$253,MATCH($A17,'Bad Bins'!$B$3:$B$253,0)),IFERROR(INDEX('Bad Bins'!$K$3:$K$253,MATCH(SUBSTITUTE($A17," SS","  SS"),'Bad Bins'!$B$3:$B$253,0)),"NA"))</f>
        <v>166</v>
      </c>
      <c r="G17" s="64" t="n">
        <f aca="false">IFERROR(INDEX('RSTO &gt; 48hrs'!$H$2:$H$134,MATCH($A17,'RSTO &gt; 48hrs'!$B$2:$B$134,0)),IFERROR(INDEX('RSTO &gt; 48hrs'!$H$2:$H$134,MATCH(SUBSTITUTE($A17," SS","  SS"),'RSTO &gt; 48hrs'!$B$2:$B$134,0)),"NA"))</f>
        <v>5</v>
      </c>
      <c r="H17" s="64" t="n">
        <f aca="false">IFERROR(INDEX('Recirculation &gt; 24 hrs'!$K$3:$K$151,MATCH($A17,'Recirculation &gt; 24 hrs'!$B$3:$B$151,0)),IFERROR(INDEX('Recirculation &gt; 24 hrs'!$K$3:$K$151,MATCH(SUBSTITUTE($A17," SS","  SS"),'Recirculation &gt; 24 hrs'!$B$3:$B$151,0)),"NA"))</f>
        <v>9</v>
      </c>
      <c r="I17" s="64" t="n">
        <f aca="false">IFERROR(INDEX('Pending Putaway'!$E$2:$E$1537,MATCH($A17,'Pending Putaway'!$B$2:$B$1537,0)),IFERROR(INDEX('Pending Putaway'!$E$2:$E$1537,MATCH(SUBSTITUTE($A17," SS","  SS"),'Pending Putaway'!$B$2:$B$1537,0)),"NA"))</f>
        <v>802</v>
      </c>
      <c r="J17" s="64" t="n">
        <f aca="false">IFERROR(INDEX('Pending Putaway'!$L$2:$L$1537,MATCH($A17,'Pending Putaway'!$B$2:$B$1537,0)),IFERROR(INDEX('Pending Putaway'!$L$2:$L$1537,MATCH(SUBSTITUTE($A17," SS","  SS"),'Pending Putaway'!$B$2:$B$1537,0)),"NA"))</f>
        <v>802</v>
      </c>
      <c r="L17" s="63" t="s">
        <v>331</v>
      </c>
      <c r="M17" s="63" t="n">
        <f aca="false">COUNTIF($B$6:$B$269,$L17)</f>
        <v>2</v>
      </c>
      <c r="N17" s="63" t="n">
        <f aca="false">SUMIF($B$6:$B$269,$L17,$D$6:$D$269)</f>
        <v>9281</v>
      </c>
      <c r="O17" s="66" t="n">
        <f aca="false">IFERROR(AVERAGEIF($B$6:$B$269,$L17,$E$6:$E$269),"NA")</f>
        <v>0.52</v>
      </c>
      <c r="P17" s="63" t="n">
        <f aca="false">SUMIF($B$6:$B$269,$L17,$F$6:$F$269)</f>
        <v>132</v>
      </c>
      <c r="Q17" s="63" t="n">
        <f aca="false">SUMIF($B$6:$B$269,$L17,$G$6:$G$269)</f>
        <v>0</v>
      </c>
      <c r="R17" s="63" t="n">
        <f aca="false">SUMIF($B$6:$B$269,$L17,$H$6:$H$269)</f>
        <v>0</v>
      </c>
      <c r="S17" s="63" t="n">
        <f aca="false">SUMIF($B$6:$B$269,$L17,$I$6:$I$269)</f>
        <v>0</v>
      </c>
      <c r="T17" s="63" t="n">
        <f aca="false">SUMIF($B$6:$B$269,$L17,$J$6:$J$269)</f>
        <v>0</v>
      </c>
      <c r="W17" s="61" t="s">
        <v>1666</v>
      </c>
      <c r="X17" s="61" t="n">
        <f aca="false">SUM(X6:X16)</f>
        <v>264</v>
      </c>
      <c r="Y17" s="61" t="n">
        <f aca="false">SUM(Y6:Y16)</f>
        <v>2352254</v>
      </c>
      <c r="Z17" s="62" t="n">
        <f aca="false">E5</f>
        <v>0.556547619047619</v>
      </c>
      <c r="AA17" s="61" t="n">
        <f aca="false">SUM(AA6:AA16)</f>
        <v>39771</v>
      </c>
      <c r="AB17" s="61" t="n">
        <f aca="false">SUM(AB6:AB16)</f>
        <v>15177</v>
      </c>
      <c r="AC17" s="61" t="n">
        <f aca="false">SUM(AC6:AC16)</f>
        <v>53775</v>
      </c>
      <c r="AD17" s="61" t="n">
        <f aca="false">SUM(AD6:AD16)</f>
        <v>497609</v>
      </c>
      <c r="AE17" s="61" t="n">
        <f aca="false">SUM(AE6:AE16)</f>
        <v>117783</v>
      </c>
    </row>
    <row r="18" customFormat="false" ht="15" hidden="false" customHeight="false" outlineLevel="0" collapsed="false">
      <c r="A18" s="63" t="s">
        <v>99</v>
      </c>
      <c r="B18" s="63" t="str">
        <f aca="false">IFERROR(INDEX('CLM &amp; IM Mapping'!$B$2:$B$270,MATCH($A18,'CLM &amp; IM Mapping'!$A$2:$A$270,0)),"Not Mapped")</f>
        <v>Rizwan Ahmed</v>
      </c>
      <c r="C18" s="63" t="str">
        <f aca="false">IFERROR(INDEX('CLM &amp; IM Mapping'!$C$2:$C$270,MATCH($A18,'CLM &amp; IM Mapping'!$A$2:$A$270,0)),"Not Mapped")</f>
        <v>Un Mapped</v>
      </c>
      <c r="D18" s="64" t="n">
        <f aca="false">IFERROR(INDEX(Shrinkage!$P$2:$P$260,MATCH($A18,Shrinkage!$D$2:$D$260,0)),IFERROR(INDEX(Shrinkage!$P$2:$P$260,MATCH(SUBSTITUTE($A18," SS","  SS"),Shrinkage!$D$2:$D$260,0)),"NA"))</f>
        <v>83180</v>
      </c>
      <c r="E18" s="65" t="n">
        <f aca="false">IFERROR(INDEX('Inventory Hygiene'!$I$3:$I$254,MATCH($A18,'Inventory Hygiene'!$B$3:$B$254,0)),IFERROR(INDEX('Inventory Hygiene'!$I$3:$I$254,MATCH(SUBSTITUTE($A18," SS","  SS"),'Inventory Hygiene'!$B$3:$B$254,0)),"NA"))</f>
        <v>0.88</v>
      </c>
      <c r="F18" s="64" t="n">
        <f aca="false">IFERROR(INDEX('Bad Bins'!$K$3:$K$253,MATCH($A18,'Bad Bins'!$B$3:$B$253,0)),IFERROR(INDEX('Bad Bins'!$K$3:$K$253,MATCH(SUBSTITUTE($A18," SS","  SS"),'Bad Bins'!$B$3:$B$253,0)),"NA"))</f>
        <v>280</v>
      </c>
      <c r="G18" s="64" t="str">
        <f aca="false">IFERROR(INDEX('RSTO &gt; 48hrs'!$H$2:$H$134,MATCH($A18,'RSTO &gt; 48hrs'!$B$2:$B$134,0)),IFERROR(INDEX('RSTO &gt; 48hrs'!$H$2:$H$134,MATCH(SUBSTITUTE($A18," SS","  SS"),'RSTO &gt; 48hrs'!$B$2:$B$134,0)),"NA"))</f>
        <v>NA</v>
      </c>
      <c r="H18" s="64" t="str">
        <f aca="false">IFERROR(INDEX('Recirculation &gt; 24 hrs'!$K$3:$K$151,MATCH($A18,'Recirculation &gt; 24 hrs'!$B$3:$B$151,0)),IFERROR(INDEX('Recirculation &gt; 24 hrs'!$K$3:$K$151,MATCH(SUBSTITUTE($A18," SS","  SS"),'Recirculation &gt; 24 hrs'!$B$3:$B$151,0)),"NA"))</f>
        <v>NA</v>
      </c>
      <c r="I18" s="64" t="n">
        <f aca="false">IFERROR(INDEX('Pending Putaway'!$E$2:$E$1537,MATCH($A18,'Pending Putaway'!$B$2:$B$1537,0)),IFERROR(INDEX('Pending Putaway'!$E$2:$E$1537,MATCH(SUBSTITUTE($A18," SS","  SS"),'Pending Putaway'!$B$2:$B$1537,0)),"NA"))</f>
        <v>1937</v>
      </c>
      <c r="J18" s="64" t="n">
        <f aca="false">IFERROR(INDEX('Pending Putaway'!$L$2:$L$1537,MATCH($A18,'Pending Putaway'!$B$2:$B$1537,0)),IFERROR(INDEX('Pending Putaway'!$L$2:$L$1537,MATCH(SUBSTITUTE($A18," SS","  SS"),'Pending Putaway'!$B$2:$B$1537,0)),"NA"))</f>
        <v>1</v>
      </c>
      <c r="L18" s="63" t="s">
        <v>309</v>
      </c>
      <c r="M18" s="63" t="n">
        <f aca="false">COUNTIF($B$6:$B$269,$L18)</f>
        <v>10</v>
      </c>
      <c r="N18" s="63" t="n">
        <f aca="false">SUMIF($B$6:$B$269,$L18,$D$6:$D$269)</f>
        <v>4211</v>
      </c>
      <c r="O18" s="66" t="n">
        <f aca="false">IFERROR(AVERAGEIF($B$6:$B$269,$L18,$E$6:$E$269),"NA")</f>
        <v>0.608888888888889</v>
      </c>
      <c r="P18" s="63" t="n">
        <f aca="false">SUMIF($B$6:$B$269,$L18,$F$6:$F$269)</f>
        <v>2390</v>
      </c>
      <c r="Q18" s="63" t="n">
        <f aca="false">SUMIF($B$6:$B$269,$L18,$G$6:$G$269)</f>
        <v>1022</v>
      </c>
      <c r="R18" s="63" t="n">
        <f aca="false">SUMIF($B$6:$B$269,$L18,$H$6:$H$269)</f>
        <v>3971</v>
      </c>
      <c r="S18" s="63" t="n">
        <f aca="false">SUMIF($B$6:$B$269,$L18,$I$6:$I$269)</f>
        <v>26939</v>
      </c>
      <c r="T18" s="63" t="n">
        <f aca="false">SUMIF($B$6:$B$269,$L18,$J$6:$J$269)</f>
        <v>1786</v>
      </c>
    </row>
    <row r="19" customFormat="false" ht="15" hidden="false" customHeight="false" outlineLevel="0" collapsed="false">
      <c r="A19" s="63" t="s">
        <v>96</v>
      </c>
      <c r="B19" s="63" t="str">
        <f aca="false">IFERROR(INDEX('CLM &amp; IM Mapping'!$B$2:$B$270,MATCH($A19,'CLM &amp; IM Mapping'!$A$2:$A$270,0)),"Not Mapped")</f>
        <v>Girish N</v>
      </c>
      <c r="C19" s="63" t="str">
        <f aca="false">IFERROR(INDEX('CLM &amp; IM Mapping'!$C$2:$C$270,MATCH($A19,'CLM &amp; IM Mapping'!$A$2:$A$270,0)),"Not Mapped")</f>
        <v>Un Mapped</v>
      </c>
      <c r="D19" s="64" t="n">
        <f aca="false">IFERROR(INDEX(Shrinkage!$P$2:$P$260,MATCH($A19,Shrinkage!$D$2:$D$260,0)),IFERROR(INDEX(Shrinkage!$P$2:$P$260,MATCH(SUBSTITUTE($A19," SS","  SS"),Shrinkage!$D$2:$D$260,0)),"NA"))</f>
        <v>24812</v>
      </c>
      <c r="E19" s="65" t="n">
        <f aca="false">IFERROR(INDEX('Inventory Hygiene'!$I$3:$I$254,MATCH($A19,'Inventory Hygiene'!$B$3:$B$254,0)),IFERROR(INDEX('Inventory Hygiene'!$I$3:$I$254,MATCH(SUBSTITUTE($A19," SS","  SS"),'Inventory Hygiene'!$B$3:$B$254,0)),"NA"))</f>
        <v>0.67</v>
      </c>
      <c r="F19" s="64" t="n">
        <f aca="false">IFERROR(INDEX('Bad Bins'!$K$3:$K$253,MATCH($A19,'Bad Bins'!$B$3:$B$253,0)),IFERROR(INDEX('Bad Bins'!$K$3:$K$253,MATCH(SUBSTITUTE($A19," SS","  SS"),'Bad Bins'!$B$3:$B$253,0)),"NA"))</f>
        <v>156</v>
      </c>
      <c r="G19" s="64" t="str">
        <f aca="false">IFERROR(INDEX('RSTO &gt; 48hrs'!$H$2:$H$134,MATCH($A19,'RSTO &gt; 48hrs'!$B$2:$B$134,0)),IFERROR(INDEX('RSTO &gt; 48hrs'!$H$2:$H$134,MATCH(SUBSTITUTE($A19," SS","  SS"),'RSTO &gt; 48hrs'!$B$2:$B$134,0)),"NA"))</f>
        <v>NA</v>
      </c>
      <c r="H19" s="64" t="str">
        <f aca="false">IFERROR(INDEX('Recirculation &gt; 24 hrs'!$K$3:$K$151,MATCH($A19,'Recirculation &gt; 24 hrs'!$B$3:$B$151,0)),IFERROR(INDEX('Recirculation &gt; 24 hrs'!$K$3:$K$151,MATCH(SUBSTITUTE($A19," SS","  SS"),'Recirculation &gt; 24 hrs'!$B$3:$B$151,0)),"NA"))</f>
        <v>NA</v>
      </c>
      <c r="I19" s="64" t="n">
        <f aca="false">IFERROR(INDEX('Pending Putaway'!$E$2:$E$1537,MATCH($A19,'Pending Putaway'!$B$2:$B$1537,0)),IFERROR(INDEX('Pending Putaway'!$E$2:$E$1537,MATCH(SUBSTITUTE($A19," SS","  SS"),'Pending Putaway'!$B$2:$B$1537,0)),"NA"))</f>
        <v>4539</v>
      </c>
      <c r="J19" s="64" t="n">
        <f aca="false">IFERROR(INDEX('Pending Putaway'!$L$2:$L$1537,MATCH($A19,'Pending Putaway'!$B$2:$B$1537,0)),IFERROR(INDEX('Pending Putaway'!$L$2:$L$1537,MATCH(SUBSTITUTE($A19," SS","  SS"),'Pending Putaway'!$B$2:$B$1537,0)),"NA"))</f>
        <v>4</v>
      </c>
      <c r="L19" s="63" t="s">
        <v>314</v>
      </c>
      <c r="M19" s="63" t="n">
        <f aca="false">COUNTIF($B$6:$B$269,$L19)</f>
        <v>8</v>
      </c>
      <c r="N19" s="63" t="n">
        <f aca="false">SUMIF($B$6:$B$269,$L19,$D$6:$D$269)</f>
        <v>117587</v>
      </c>
      <c r="O19" s="66" t="n">
        <f aca="false">IFERROR(AVERAGEIF($B$6:$B$269,$L19,$E$6:$E$269),"NA")</f>
        <v>0.748571428571429</v>
      </c>
      <c r="P19" s="63" t="n">
        <f aca="false">SUMIF($B$6:$B$269,$L19,$F$6:$F$269)</f>
        <v>866</v>
      </c>
      <c r="Q19" s="63" t="n">
        <f aca="false">SUMIF($B$6:$B$269,$L19,$G$6:$G$269)</f>
        <v>1657</v>
      </c>
      <c r="R19" s="63" t="n">
        <f aca="false">SUMIF($B$6:$B$269,$L19,$H$6:$H$269)</f>
        <v>1562</v>
      </c>
      <c r="S19" s="63" t="n">
        <f aca="false">SUMIF($B$6:$B$269,$L19,$I$6:$I$269)</f>
        <v>4819</v>
      </c>
      <c r="T19" s="63" t="n">
        <f aca="false">SUMIF($B$6:$B$269,$L19,$J$6:$J$269)</f>
        <v>0</v>
      </c>
    </row>
    <row r="20" customFormat="false" ht="15" hidden="false" customHeight="false" outlineLevel="0" collapsed="false">
      <c r="A20" s="63" t="s">
        <v>190</v>
      </c>
      <c r="B20" s="63" t="str">
        <f aca="false">IFERROR(INDEX('CLM &amp; IM Mapping'!$B$2:$B$270,MATCH($A20,'CLM &amp; IM Mapping'!$A$2:$A$270,0)),"Not Mapped")</f>
        <v>Girish N</v>
      </c>
      <c r="C20" s="63" t="str">
        <f aca="false">IFERROR(INDEX('CLM &amp; IM Mapping'!$C$2:$C$270,MATCH($A20,'CLM &amp; IM Mapping'!$A$2:$A$270,0)),"Not Mapped")</f>
        <v>Un Mapped</v>
      </c>
      <c r="D20" s="64" t="n">
        <f aca="false">IFERROR(INDEX(Shrinkage!$P$2:$P$260,MATCH($A20,Shrinkage!$D$2:$D$260,0)),IFERROR(INDEX(Shrinkage!$P$2:$P$260,MATCH(SUBSTITUTE($A20," SS","  SS"),Shrinkage!$D$2:$D$260,0)),"NA"))</f>
        <v>49497</v>
      </c>
      <c r="E20" s="65" t="n">
        <f aca="false">IFERROR(INDEX('Inventory Hygiene'!$I$3:$I$254,MATCH($A20,'Inventory Hygiene'!$B$3:$B$254,0)),IFERROR(INDEX('Inventory Hygiene'!$I$3:$I$254,MATCH(SUBSTITUTE($A20," SS","  SS"),'Inventory Hygiene'!$B$3:$B$254,0)),"NA"))</f>
        <v>0.55</v>
      </c>
      <c r="F20" s="64" t="n">
        <f aca="false">IFERROR(INDEX('Bad Bins'!$K$3:$K$253,MATCH($A20,'Bad Bins'!$B$3:$B$253,0)),IFERROR(INDEX('Bad Bins'!$K$3:$K$253,MATCH(SUBSTITUTE($A20," SS","  SS"),'Bad Bins'!$B$3:$B$253,0)),"NA"))</f>
        <v>80</v>
      </c>
      <c r="G20" s="64" t="str">
        <f aca="false">IFERROR(INDEX('RSTO &gt; 48hrs'!$H$2:$H$134,MATCH($A20,'RSTO &gt; 48hrs'!$B$2:$B$134,0)),IFERROR(INDEX('RSTO &gt; 48hrs'!$H$2:$H$134,MATCH(SUBSTITUTE($A20," SS","  SS"),'RSTO &gt; 48hrs'!$B$2:$B$134,0)),"NA"))</f>
        <v>NA</v>
      </c>
      <c r="H20" s="64" t="str">
        <f aca="false">IFERROR(INDEX('Recirculation &gt; 24 hrs'!$K$3:$K$151,MATCH($A20,'Recirculation &gt; 24 hrs'!$B$3:$B$151,0)),IFERROR(INDEX('Recirculation &gt; 24 hrs'!$K$3:$K$151,MATCH(SUBSTITUTE($A20," SS","  SS"),'Recirculation &gt; 24 hrs'!$B$3:$B$151,0)),"NA"))</f>
        <v>NA</v>
      </c>
      <c r="I20" s="64" t="n">
        <f aca="false">IFERROR(INDEX('Pending Putaway'!$E$2:$E$1537,MATCH($A20,'Pending Putaway'!$B$2:$B$1537,0)),IFERROR(INDEX('Pending Putaway'!$E$2:$E$1537,MATCH(SUBSTITUTE($A20," SS","  SS"),'Pending Putaway'!$B$2:$B$1537,0)),"NA"))</f>
        <v>4763</v>
      </c>
      <c r="J20" s="64" t="n">
        <f aca="false">IFERROR(INDEX('Pending Putaway'!$L$2:$L$1537,MATCH($A20,'Pending Putaway'!$B$2:$B$1537,0)),IFERROR(INDEX('Pending Putaway'!$L$2:$L$1537,MATCH(SUBSTITUTE($A20," SS","  SS"),'Pending Putaway'!$B$2:$B$1537,0)),"NA"))</f>
        <v>0</v>
      </c>
      <c r="L20" s="63" t="s">
        <v>325</v>
      </c>
      <c r="M20" s="63" t="n">
        <f aca="false">COUNTIF($B$6:$B$269,$L20)</f>
        <v>4</v>
      </c>
      <c r="N20" s="63" t="n">
        <f aca="false">SUMIF($B$6:$B$269,$L20,$D$6:$D$269)</f>
        <v>48154</v>
      </c>
      <c r="O20" s="66" t="n">
        <f aca="false">IFERROR(AVERAGEIF($B$6:$B$269,$L20,$E$6:$E$269),"NA")</f>
        <v>0.715</v>
      </c>
      <c r="P20" s="63" t="n">
        <f aca="false">SUMIF($B$6:$B$269,$L20,$F$6:$F$269)</f>
        <v>1238</v>
      </c>
      <c r="Q20" s="63" t="n">
        <f aca="false">SUMIF($B$6:$B$269,$L20,$G$6:$G$269)</f>
        <v>484</v>
      </c>
      <c r="R20" s="63" t="n">
        <f aca="false">SUMIF($B$6:$B$269,$L20,$H$6:$H$269)</f>
        <v>228</v>
      </c>
      <c r="S20" s="63" t="n">
        <f aca="false">SUMIF($B$6:$B$269,$L20,$I$6:$I$269)</f>
        <v>12632</v>
      </c>
      <c r="T20" s="63" t="n">
        <f aca="false">SUMIF($B$6:$B$269,$L20,$J$6:$J$269)</f>
        <v>4035</v>
      </c>
    </row>
    <row r="21" customFormat="false" ht="15" hidden="false" customHeight="false" outlineLevel="0" collapsed="false">
      <c r="A21" s="63" t="s">
        <v>215</v>
      </c>
      <c r="B21" s="63" t="str">
        <f aca="false">IFERROR(INDEX('CLM &amp; IM Mapping'!$B$2:$B$270,MATCH($A21,'CLM &amp; IM Mapping'!$A$2:$A$270,0)),"Not Mapped")</f>
        <v>Girish N</v>
      </c>
      <c r="C21" s="63" t="str">
        <f aca="false">IFERROR(INDEX('CLM &amp; IM Mapping'!$C$2:$C$270,MATCH($A21,'CLM &amp; IM Mapping'!$A$2:$A$270,0)),"Not Mapped")</f>
        <v>Un Mapped</v>
      </c>
      <c r="D21" s="64" t="n">
        <f aca="false">IFERROR(INDEX(Shrinkage!$P$2:$P$260,MATCH($A21,Shrinkage!$D$2:$D$260,0)),IFERROR(INDEX(Shrinkage!$P$2:$P$260,MATCH(SUBSTITUTE($A21," SS","  SS"),Shrinkage!$D$2:$D$260,0)),"NA"))</f>
        <v>42776</v>
      </c>
      <c r="E21" s="65" t="n">
        <f aca="false">IFERROR(INDEX('Inventory Hygiene'!$I$3:$I$254,MATCH($A21,'Inventory Hygiene'!$B$3:$B$254,0)),IFERROR(INDEX('Inventory Hygiene'!$I$3:$I$254,MATCH(SUBSTITUTE($A21," SS","  SS"),'Inventory Hygiene'!$B$3:$B$254,0)),"NA"))</f>
        <v>0.16</v>
      </c>
      <c r="F21" s="64" t="n">
        <f aca="false">IFERROR(INDEX('Bad Bins'!$K$3:$K$253,MATCH($A21,'Bad Bins'!$B$3:$B$253,0)),IFERROR(INDEX('Bad Bins'!$K$3:$K$253,MATCH(SUBSTITUTE($A21," SS","  SS"),'Bad Bins'!$B$3:$B$253,0)),"NA"))</f>
        <v>48</v>
      </c>
      <c r="G21" s="64" t="str">
        <f aca="false">IFERROR(INDEX('RSTO &gt; 48hrs'!$H$2:$H$134,MATCH($A21,'RSTO &gt; 48hrs'!$B$2:$B$134,0)),IFERROR(INDEX('RSTO &gt; 48hrs'!$H$2:$H$134,MATCH(SUBSTITUTE($A21," SS","  SS"),'RSTO &gt; 48hrs'!$B$2:$B$134,0)),"NA"))</f>
        <v>NA</v>
      </c>
      <c r="H21" s="64" t="n">
        <f aca="false">IFERROR(INDEX('Recirculation &gt; 24 hrs'!$K$3:$K$151,MATCH($A21,'Recirculation &gt; 24 hrs'!$B$3:$B$151,0)),IFERROR(INDEX('Recirculation &gt; 24 hrs'!$K$3:$K$151,MATCH(SUBSTITUTE($A21," SS","  SS"),'Recirculation &gt; 24 hrs'!$B$3:$B$151,0)),"NA"))</f>
        <v>2</v>
      </c>
      <c r="I21" s="64" t="n">
        <f aca="false">IFERROR(INDEX('Pending Putaway'!$E$2:$E$1537,MATCH($A21,'Pending Putaway'!$B$2:$B$1537,0)),IFERROR(INDEX('Pending Putaway'!$E$2:$E$1537,MATCH(SUBSTITUTE($A21," SS","  SS"),'Pending Putaway'!$B$2:$B$1537,0)),"NA"))</f>
        <v>1731</v>
      </c>
      <c r="J21" s="64" t="n">
        <f aca="false">IFERROR(INDEX('Pending Putaway'!$L$2:$L$1537,MATCH($A21,'Pending Putaway'!$B$2:$B$1537,0)),IFERROR(INDEX('Pending Putaway'!$L$2:$L$1537,MATCH(SUBSTITUTE($A21," SS","  SS"),'Pending Putaway'!$B$2:$B$1537,0)),"NA"))</f>
        <v>0</v>
      </c>
      <c r="L21" s="63" t="s">
        <v>329</v>
      </c>
      <c r="M21" s="63" t="n">
        <f aca="false">COUNTIF($B$6:$B$269,$L21)</f>
        <v>8</v>
      </c>
      <c r="N21" s="63" t="n">
        <f aca="false">SUMIF($B$6:$B$269,$L21,$D$6:$D$269)</f>
        <v>65893</v>
      </c>
      <c r="O21" s="66" t="n">
        <f aca="false">IFERROR(AVERAGEIF($B$6:$B$269,$L21,$E$6:$E$269),"NA")</f>
        <v>0.5375</v>
      </c>
      <c r="P21" s="63" t="n">
        <f aca="false">SUMIF($B$6:$B$269,$L21,$F$6:$F$269)</f>
        <v>1048</v>
      </c>
      <c r="Q21" s="63" t="n">
        <f aca="false">SUMIF($B$6:$B$269,$L21,$G$6:$G$269)</f>
        <v>47</v>
      </c>
      <c r="R21" s="63" t="n">
        <f aca="false">SUMIF($B$6:$B$269,$L21,$H$6:$H$269)</f>
        <v>3250</v>
      </c>
      <c r="S21" s="63" t="n">
        <f aca="false">SUMIF($B$6:$B$269,$L21,$I$6:$I$269)</f>
        <v>27661</v>
      </c>
      <c r="T21" s="63" t="n">
        <f aca="false">SUMIF($B$6:$B$269,$L21,$J$6:$J$269)</f>
        <v>2193</v>
      </c>
    </row>
    <row r="22" customFormat="false" ht="15" hidden="false" customHeight="false" outlineLevel="0" collapsed="false">
      <c r="A22" s="63" t="s">
        <v>198</v>
      </c>
      <c r="B22" s="63" t="str">
        <f aca="false">IFERROR(INDEX('CLM &amp; IM Mapping'!$B$2:$B$270,MATCH($A22,'CLM &amp; IM Mapping'!$A$2:$A$270,0)),"Not Mapped")</f>
        <v>Girish N</v>
      </c>
      <c r="C22" s="63" t="str">
        <f aca="false">IFERROR(INDEX('CLM &amp; IM Mapping'!$C$2:$C$270,MATCH($A22,'CLM &amp; IM Mapping'!$A$2:$A$270,0)),"Not Mapped")</f>
        <v>Un Mapped</v>
      </c>
      <c r="D22" s="64" t="n">
        <f aca="false">IFERROR(INDEX(Shrinkage!$P$2:$P$260,MATCH($A22,Shrinkage!$D$2:$D$260,0)),IFERROR(INDEX(Shrinkage!$P$2:$P$260,MATCH(SUBSTITUTE($A22," SS","  SS"),Shrinkage!$D$2:$D$260,0)),"NA"))</f>
        <v>25896</v>
      </c>
      <c r="E22" s="65" t="n">
        <f aca="false">IFERROR(INDEX('Inventory Hygiene'!$I$3:$I$254,MATCH($A22,'Inventory Hygiene'!$B$3:$B$254,0)),IFERROR(INDEX('Inventory Hygiene'!$I$3:$I$254,MATCH(SUBSTITUTE($A22," SS","  SS"),'Inventory Hygiene'!$B$3:$B$254,0)),"NA"))</f>
        <v>0.43</v>
      </c>
      <c r="F22" s="64" t="n">
        <f aca="false">IFERROR(INDEX('Bad Bins'!$K$3:$K$253,MATCH($A22,'Bad Bins'!$B$3:$B$253,0)),IFERROR(INDEX('Bad Bins'!$K$3:$K$253,MATCH(SUBSTITUTE($A22," SS","  SS"),'Bad Bins'!$B$3:$B$253,0)),"NA"))</f>
        <v>89</v>
      </c>
      <c r="G22" s="64" t="n">
        <f aca="false">IFERROR(INDEX('RSTO &gt; 48hrs'!$H$2:$H$134,MATCH($A22,'RSTO &gt; 48hrs'!$B$2:$B$134,0)),IFERROR(INDEX('RSTO &gt; 48hrs'!$H$2:$H$134,MATCH(SUBSTITUTE($A22," SS","  SS"),'RSTO &gt; 48hrs'!$B$2:$B$134,0)),"NA"))</f>
        <v>9</v>
      </c>
      <c r="H22" s="64" t="n">
        <f aca="false">IFERROR(INDEX('Recirculation &gt; 24 hrs'!$K$3:$K$151,MATCH($A22,'Recirculation &gt; 24 hrs'!$B$3:$B$151,0)),IFERROR(INDEX('Recirculation &gt; 24 hrs'!$K$3:$K$151,MATCH(SUBSTITUTE($A22," SS","  SS"),'Recirculation &gt; 24 hrs'!$B$3:$B$151,0)),"NA"))</f>
        <v>499</v>
      </c>
      <c r="I22" s="64" t="n">
        <f aca="false">IFERROR(INDEX('Pending Putaway'!$E$2:$E$1537,MATCH($A22,'Pending Putaway'!$B$2:$B$1537,0)),IFERROR(INDEX('Pending Putaway'!$E$2:$E$1537,MATCH(SUBSTITUTE($A22," SS","  SS"),'Pending Putaway'!$B$2:$B$1537,0)),"NA"))</f>
        <v>3429</v>
      </c>
      <c r="J22" s="64" t="n">
        <f aca="false">IFERROR(INDEX('Pending Putaway'!$L$2:$L$1537,MATCH($A22,'Pending Putaway'!$B$2:$B$1537,0)),IFERROR(INDEX('Pending Putaway'!$L$2:$L$1537,MATCH(SUBSTITUTE($A22," SS","  SS"),'Pending Putaway'!$B$2:$B$1537,0)),"NA"))</f>
        <v>398</v>
      </c>
      <c r="L22" s="63" t="s">
        <v>319</v>
      </c>
      <c r="M22" s="63" t="n">
        <f aca="false">COUNTIF($B$6:$B$269,$L22)</f>
        <v>13</v>
      </c>
      <c r="N22" s="63" t="n">
        <f aca="false">SUMIF($B$6:$B$269,$L22,$D$6:$D$269)</f>
        <v>155507</v>
      </c>
      <c r="O22" s="66" t="n">
        <f aca="false">IFERROR(AVERAGEIF($B$6:$B$269,$L22,$E$6:$E$269),"NA")</f>
        <v>0.646666666666667</v>
      </c>
      <c r="P22" s="63" t="n">
        <f aca="false">SUMIF($B$6:$B$269,$L22,$F$6:$F$269)</f>
        <v>2424</v>
      </c>
      <c r="Q22" s="63" t="n">
        <f aca="false">SUMIF($B$6:$B$269,$L22,$G$6:$G$269)</f>
        <v>342</v>
      </c>
      <c r="R22" s="63" t="n">
        <f aca="false">SUMIF($B$6:$B$269,$L22,$H$6:$H$269)</f>
        <v>2384</v>
      </c>
      <c r="S22" s="63" t="n">
        <f aca="false">SUMIF($B$6:$B$269,$L22,$I$6:$I$269)</f>
        <v>36411</v>
      </c>
      <c r="T22" s="63" t="n">
        <f aca="false">SUMIF($B$6:$B$269,$L22,$J$6:$J$269)</f>
        <v>2242</v>
      </c>
    </row>
    <row r="23" customFormat="false" ht="15" hidden="false" customHeight="false" outlineLevel="0" collapsed="false">
      <c r="A23" s="63" t="s">
        <v>142</v>
      </c>
      <c r="B23" s="63" t="str">
        <f aca="false">IFERROR(INDEX('CLM &amp; IM Mapping'!$B$2:$B$270,MATCH($A23,'CLM &amp; IM Mapping'!$A$2:$A$270,0)),"Not Mapped")</f>
        <v>Girish N</v>
      </c>
      <c r="C23" s="63" t="str">
        <f aca="false">IFERROR(INDEX('CLM &amp; IM Mapping'!$C$2:$C$270,MATCH($A23,'CLM &amp; IM Mapping'!$A$2:$A$270,0)),"Not Mapped")</f>
        <v>Un Mapped</v>
      </c>
      <c r="D23" s="64" t="n">
        <f aca="false">IFERROR(INDEX(Shrinkage!$P$2:$P$260,MATCH($A23,Shrinkage!$D$2:$D$260,0)),IFERROR(INDEX(Shrinkage!$P$2:$P$260,MATCH(SUBSTITUTE($A23," SS","  SS"),Shrinkage!$D$2:$D$260,0)),"NA"))</f>
        <v>-3852</v>
      </c>
      <c r="E23" s="65" t="n">
        <f aca="false">IFERROR(INDEX('Inventory Hygiene'!$I$3:$I$254,MATCH($A23,'Inventory Hygiene'!$B$3:$B$254,0)),IFERROR(INDEX('Inventory Hygiene'!$I$3:$I$254,MATCH(SUBSTITUTE($A23," SS","  SS"),'Inventory Hygiene'!$B$3:$B$254,0)),"NA"))</f>
        <v>0.64</v>
      </c>
      <c r="F23" s="64" t="n">
        <f aca="false">IFERROR(INDEX('Bad Bins'!$K$3:$K$253,MATCH($A23,'Bad Bins'!$B$3:$B$253,0)),IFERROR(INDEX('Bad Bins'!$K$3:$K$253,MATCH(SUBSTITUTE($A23," SS","  SS"),'Bad Bins'!$B$3:$B$253,0)),"NA"))</f>
        <v>110</v>
      </c>
      <c r="G23" s="64" t="str">
        <f aca="false">IFERROR(INDEX('RSTO &gt; 48hrs'!$H$2:$H$134,MATCH($A23,'RSTO &gt; 48hrs'!$B$2:$B$134,0)),IFERROR(INDEX('RSTO &gt; 48hrs'!$H$2:$H$134,MATCH(SUBSTITUTE($A23," SS","  SS"),'RSTO &gt; 48hrs'!$B$2:$B$134,0)),"NA"))</f>
        <v>NA</v>
      </c>
      <c r="H23" s="64" t="str">
        <f aca="false">IFERROR(INDEX('Recirculation &gt; 24 hrs'!$K$3:$K$151,MATCH($A23,'Recirculation &gt; 24 hrs'!$B$3:$B$151,0)),IFERROR(INDEX('Recirculation &gt; 24 hrs'!$K$3:$K$151,MATCH(SUBSTITUTE($A23," SS","  SS"),'Recirculation &gt; 24 hrs'!$B$3:$B$151,0)),"NA"))</f>
        <v>NA</v>
      </c>
      <c r="I23" s="64" t="n">
        <f aca="false">IFERROR(INDEX('Pending Putaway'!$E$2:$E$1537,MATCH($A23,'Pending Putaway'!$B$2:$B$1537,0)),IFERROR(INDEX('Pending Putaway'!$E$2:$E$1537,MATCH(SUBSTITUTE($A23," SS","  SS"),'Pending Putaway'!$B$2:$B$1537,0)),"NA"))</f>
        <v>3443</v>
      </c>
      <c r="J23" s="64" t="n">
        <f aca="false">IFERROR(INDEX('Pending Putaway'!$L$2:$L$1537,MATCH($A23,'Pending Putaway'!$B$2:$B$1537,0)),IFERROR(INDEX('Pending Putaway'!$L$2:$L$1537,MATCH(SUBSTITUTE($A23," SS","  SS"),'Pending Putaway'!$B$2:$B$1537,0)),"NA"))</f>
        <v>0</v>
      </c>
      <c r="L23" s="63" t="s">
        <v>330</v>
      </c>
      <c r="M23" s="63" t="n">
        <f aca="false">COUNTIF($B$6:$B$269,$L23)</f>
        <v>7</v>
      </c>
      <c r="N23" s="63" t="n">
        <f aca="false">SUMIF($B$6:$B$269,$L23,$D$6:$D$269)</f>
        <v>-31142</v>
      </c>
      <c r="O23" s="66" t="n">
        <f aca="false">IFERROR(AVERAGEIF($B$6:$B$269,$L23,$E$6:$E$269),"NA")</f>
        <v>0.565714285714286</v>
      </c>
      <c r="P23" s="63" t="n">
        <f aca="false">SUMIF($B$6:$B$269,$L23,$F$6:$F$269)</f>
        <v>777</v>
      </c>
      <c r="Q23" s="63" t="n">
        <f aca="false">SUMIF($B$6:$B$269,$L23,$G$6:$G$269)</f>
        <v>54</v>
      </c>
      <c r="R23" s="63" t="n">
        <f aca="false">SUMIF($B$6:$B$269,$L23,$H$6:$H$269)</f>
        <v>623</v>
      </c>
      <c r="S23" s="63" t="n">
        <f aca="false">SUMIF($B$6:$B$269,$L23,$I$6:$I$269)</f>
        <v>13604</v>
      </c>
      <c r="T23" s="63" t="n">
        <f aca="false">SUMIF($B$6:$B$269,$L23,$J$6:$J$269)</f>
        <v>2468</v>
      </c>
    </row>
    <row r="24" customFormat="false" ht="15" hidden="false" customHeight="false" outlineLevel="0" collapsed="false">
      <c r="A24" s="63" t="s">
        <v>253</v>
      </c>
      <c r="B24" s="63" t="str">
        <f aca="false">IFERROR(INDEX('CLM &amp; IM Mapping'!$B$2:$B$270,MATCH($A24,'CLM &amp; IM Mapping'!$A$2:$A$270,0)),"Not Mapped")</f>
        <v>Girish N</v>
      </c>
      <c r="C24" s="63" t="str">
        <f aca="false">IFERROR(INDEX('CLM &amp; IM Mapping'!$C$2:$C$270,MATCH($A24,'CLM &amp; IM Mapping'!$A$2:$A$270,0)),"Not Mapped")</f>
        <v>Un Mapped</v>
      </c>
      <c r="D24" s="64" t="n">
        <f aca="false">IFERROR(INDEX(Shrinkage!$P$2:$P$260,MATCH($A24,Shrinkage!$D$2:$D$260,0)),IFERROR(INDEX(Shrinkage!$P$2:$P$260,MATCH(SUBSTITUTE($A24," SS","  SS"),Shrinkage!$D$2:$D$260,0)),"NA"))</f>
        <v>39906</v>
      </c>
      <c r="E24" s="65" t="n">
        <f aca="false">IFERROR(INDEX('Inventory Hygiene'!$I$3:$I$254,MATCH($A24,'Inventory Hygiene'!$B$3:$B$254,0)),IFERROR(INDEX('Inventory Hygiene'!$I$3:$I$254,MATCH(SUBSTITUTE($A24," SS","  SS"),'Inventory Hygiene'!$B$3:$B$254,0)),"NA"))</f>
        <v>0.35</v>
      </c>
      <c r="F24" s="64" t="n">
        <f aca="false">IFERROR(INDEX('Bad Bins'!$K$3:$K$253,MATCH($A24,'Bad Bins'!$B$3:$B$253,0)),IFERROR(INDEX('Bad Bins'!$K$3:$K$253,MATCH(SUBSTITUTE($A24," SS","  SS"),'Bad Bins'!$B$3:$B$253,0)),"NA"))</f>
        <v>47</v>
      </c>
      <c r="G24" s="64" t="str">
        <f aca="false">IFERROR(INDEX('RSTO &gt; 48hrs'!$H$2:$H$134,MATCH($A24,'RSTO &gt; 48hrs'!$B$2:$B$134,0)),IFERROR(INDEX('RSTO &gt; 48hrs'!$H$2:$H$134,MATCH(SUBSTITUTE($A24," SS","  SS"),'RSTO &gt; 48hrs'!$B$2:$B$134,0)),"NA"))</f>
        <v>NA</v>
      </c>
      <c r="H24" s="64" t="n">
        <f aca="false">IFERROR(INDEX('Recirculation &gt; 24 hrs'!$K$3:$K$151,MATCH($A24,'Recirculation &gt; 24 hrs'!$B$3:$B$151,0)),IFERROR(INDEX('Recirculation &gt; 24 hrs'!$K$3:$K$151,MATCH(SUBSTITUTE($A24," SS","  SS"),'Recirculation &gt; 24 hrs'!$B$3:$B$151,0)),"NA"))</f>
        <v>2</v>
      </c>
      <c r="I24" s="64" t="n">
        <f aca="false">IFERROR(INDEX('Pending Putaway'!$E$2:$E$1537,MATCH($A24,'Pending Putaway'!$B$2:$B$1537,0)),IFERROR(INDEX('Pending Putaway'!$E$2:$E$1537,MATCH(SUBSTITUTE($A24," SS","  SS"),'Pending Putaway'!$B$2:$B$1537,0)),"NA"))</f>
        <v>261</v>
      </c>
      <c r="J24" s="64" t="n">
        <f aca="false">IFERROR(INDEX('Pending Putaway'!$L$2:$L$1537,MATCH($A24,'Pending Putaway'!$B$2:$B$1537,0)),IFERROR(INDEX('Pending Putaway'!$L$2:$L$1537,MATCH(SUBSTITUTE($A24," SS","  SS"),'Pending Putaway'!$B$2:$B$1537,0)),"NA"))</f>
        <v>261</v>
      </c>
      <c r="L24" s="63" t="s">
        <v>332</v>
      </c>
      <c r="M24" s="63" t="n">
        <f aca="false">COUNTIF($B$6:$B$269,$L24)</f>
        <v>5</v>
      </c>
      <c r="N24" s="63" t="n">
        <f aca="false">SUMIF($B$6:$B$269,$L24,$D$6:$D$269)</f>
        <v>108529</v>
      </c>
      <c r="O24" s="66" t="n">
        <f aca="false">IFERROR(AVERAGEIF($B$6:$B$269,$L24,$E$6:$E$269),"NA")</f>
        <v>0.362</v>
      </c>
      <c r="P24" s="63" t="n">
        <f aca="false">SUMIF($B$6:$B$269,$L24,$F$6:$F$269)</f>
        <v>1193</v>
      </c>
      <c r="Q24" s="63" t="n">
        <f aca="false">SUMIF($B$6:$B$269,$L24,$G$6:$G$269)</f>
        <v>64</v>
      </c>
      <c r="R24" s="63" t="n">
        <f aca="false">SUMIF($B$6:$B$269,$L24,$H$6:$H$269)</f>
        <v>22</v>
      </c>
      <c r="S24" s="63" t="n">
        <f aca="false">SUMIF($B$6:$B$269,$L24,$I$6:$I$269)</f>
        <v>15058</v>
      </c>
      <c r="T24" s="63" t="n">
        <f aca="false">SUMIF($B$6:$B$269,$L24,$J$6:$J$269)</f>
        <v>6625</v>
      </c>
    </row>
    <row r="25" customFormat="false" ht="15" hidden="false" customHeight="false" outlineLevel="0" collapsed="false">
      <c r="A25" s="63" t="s">
        <v>149</v>
      </c>
      <c r="B25" s="63" t="str">
        <f aca="false">IFERROR(INDEX('CLM &amp; IM Mapping'!$B$2:$B$270,MATCH($A25,'CLM &amp; IM Mapping'!$A$2:$A$270,0)),"Not Mapped")</f>
        <v>Manjunatha V</v>
      </c>
      <c r="C25" s="63" t="str">
        <f aca="false">IFERROR(INDEX('CLM &amp; IM Mapping'!$C$2:$C$270,MATCH($A25,'CLM &amp; IM Mapping'!$A$2:$A$270,0)),"Not Mapped")</f>
        <v>Un Mapped</v>
      </c>
      <c r="D25" s="64" t="n">
        <f aca="false">IFERROR(INDEX(Shrinkage!$P$2:$P$260,MATCH($A25,Shrinkage!$D$2:$D$260,0)),IFERROR(INDEX(Shrinkage!$P$2:$P$260,MATCH(SUBSTITUTE($A25," SS","  SS"),Shrinkage!$D$2:$D$260,0)),"NA"))</f>
        <v>-4667</v>
      </c>
      <c r="E25" s="65" t="n">
        <f aca="false">IFERROR(INDEX('Inventory Hygiene'!$I$3:$I$254,MATCH($A25,'Inventory Hygiene'!$B$3:$B$254,0)),IFERROR(INDEX('Inventory Hygiene'!$I$3:$I$254,MATCH(SUBSTITUTE($A25," SS","  SS"),'Inventory Hygiene'!$B$3:$B$254,0)),"NA"))</f>
        <v>0.52</v>
      </c>
      <c r="F25" s="64" t="n">
        <f aca="false">IFERROR(INDEX('Bad Bins'!$K$3:$K$253,MATCH($A25,'Bad Bins'!$B$3:$B$253,0)),IFERROR(INDEX('Bad Bins'!$K$3:$K$253,MATCH(SUBSTITUTE($A25," SS","  SS"),'Bad Bins'!$B$3:$B$253,0)),"NA"))</f>
        <v>240</v>
      </c>
      <c r="G25" s="64" t="n">
        <f aca="false">IFERROR(INDEX('RSTO &gt; 48hrs'!$H$2:$H$134,MATCH($A25,'RSTO &gt; 48hrs'!$B$2:$B$134,0)),IFERROR(INDEX('RSTO &gt; 48hrs'!$H$2:$H$134,MATCH(SUBSTITUTE($A25," SS","  SS"),'RSTO &gt; 48hrs'!$B$2:$B$134,0)),"NA"))</f>
        <v>4</v>
      </c>
      <c r="H25" s="64" t="str">
        <f aca="false">IFERROR(INDEX('Recirculation &gt; 24 hrs'!$K$3:$K$151,MATCH($A25,'Recirculation &gt; 24 hrs'!$B$3:$B$151,0)),IFERROR(INDEX('Recirculation &gt; 24 hrs'!$K$3:$K$151,MATCH(SUBSTITUTE($A25," SS","  SS"),'Recirculation &gt; 24 hrs'!$B$3:$B$151,0)),"NA"))</f>
        <v>NA</v>
      </c>
      <c r="I25" s="64" t="n">
        <f aca="false">IFERROR(INDEX('Pending Putaway'!$E$2:$E$1537,MATCH($A25,'Pending Putaway'!$B$2:$B$1537,0)),IFERROR(INDEX('Pending Putaway'!$E$2:$E$1537,MATCH(SUBSTITUTE($A25," SS","  SS"),'Pending Putaway'!$B$2:$B$1537,0)),"NA"))</f>
        <v>33</v>
      </c>
      <c r="J25" s="64" t="n">
        <f aca="false">IFERROR(INDEX('Pending Putaway'!$L$2:$L$1537,MATCH($A25,'Pending Putaway'!$B$2:$B$1537,0)),IFERROR(INDEX('Pending Putaway'!$L$2:$L$1537,MATCH(SUBSTITUTE($A25," SS","  SS"),'Pending Putaway'!$B$2:$B$1537,0)),"NA"))</f>
        <v>33</v>
      </c>
      <c r="L25" s="63" t="s">
        <v>307</v>
      </c>
      <c r="M25" s="63" t="n">
        <f aca="false">COUNTIF($B$6:$B$269,$L25)</f>
        <v>8</v>
      </c>
      <c r="N25" s="63" t="n">
        <f aca="false">SUMIF($B$6:$B$269,$L25,$D$6:$D$269)</f>
        <v>265471</v>
      </c>
      <c r="O25" s="66" t="n">
        <f aca="false">IFERROR(AVERAGEIF($B$6:$B$269,$L25,$E$6:$E$269),"NA")</f>
        <v>0.605</v>
      </c>
      <c r="P25" s="63" t="n">
        <f aca="false">SUMIF($B$6:$B$269,$L25,$F$6:$F$269)</f>
        <v>1597</v>
      </c>
      <c r="Q25" s="63" t="n">
        <f aca="false">SUMIF($B$6:$B$269,$L25,$G$6:$G$269)</f>
        <v>2231</v>
      </c>
      <c r="R25" s="63" t="n">
        <f aca="false">SUMIF($B$6:$B$269,$L25,$H$6:$H$269)</f>
        <v>367</v>
      </c>
      <c r="S25" s="63" t="n">
        <f aca="false">SUMIF($B$6:$B$269,$L25,$I$6:$I$269)</f>
        <v>22520</v>
      </c>
      <c r="T25" s="63" t="n">
        <f aca="false">SUMIF($B$6:$B$269,$L25,$J$6:$J$269)</f>
        <v>3165</v>
      </c>
    </row>
    <row r="26" customFormat="false" ht="15" hidden="false" customHeight="false" outlineLevel="0" collapsed="false">
      <c r="A26" s="63" t="s">
        <v>251</v>
      </c>
      <c r="B26" s="63" t="str">
        <f aca="false">IFERROR(INDEX('CLM &amp; IM Mapping'!$B$2:$B$270,MATCH($A26,'CLM &amp; IM Mapping'!$A$2:$A$270,0)),"Not Mapped")</f>
        <v>Manjunatha V</v>
      </c>
      <c r="C26" s="63" t="str">
        <f aca="false">IFERROR(INDEX('CLM &amp; IM Mapping'!$C$2:$C$270,MATCH($A26,'CLM &amp; IM Mapping'!$A$2:$A$270,0)),"Not Mapped")</f>
        <v>Un Mapped</v>
      </c>
      <c r="D26" s="64" t="n">
        <f aca="false">IFERROR(INDEX(Shrinkage!$P$2:$P$260,MATCH($A26,Shrinkage!$D$2:$D$260,0)),IFERROR(INDEX(Shrinkage!$P$2:$P$260,MATCH(SUBSTITUTE($A26," SS","  SS"),Shrinkage!$D$2:$D$260,0)),"NA"))</f>
        <v>22131</v>
      </c>
      <c r="E26" s="65" t="n">
        <f aca="false">IFERROR(INDEX('Inventory Hygiene'!$I$3:$I$254,MATCH($A26,'Inventory Hygiene'!$B$3:$B$254,0)),IFERROR(INDEX('Inventory Hygiene'!$I$3:$I$254,MATCH(SUBSTITUTE($A26," SS","  SS"),'Inventory Hygiene'!$B$3:$B$254,0)),"NA"))</f>
        <v>0.78</v>
      </c>
      <c r="F26" s="64" t="n">
        <f aca="false">IFERROR(INDEX('Bad Bins'!$K$3:$K$253,MATCH($A26,'Bad Bins'!$B$3:$B$253,0)),IFERROR(INDEX('Bad Bins'!$K$3:$K$253,MATCH(SUBSTITUTE($A26," SS","  SS"),'Bad Bins'!$B$3:$B$253,0)),"NA"))</f>
        <v>350</v>
      </c>
      <c r="G26" s="64" t="n">
        <f aca="false">IFERROR(INDEX('RSTO &gt; 48hrs'!$H$2:$H$134,MATCH($A26,'RSTO &gt; 48hrs'!$B$2:$B$134,0)),IFERROR(INDEX('RSTO &gt; 48hrs'!$H$2:$H$134,MATCH(SUBSTITUTE($A26," SS","  SS"),'RSTO &gt; 48hrs'!$B$2:$B$134,0)),"NA"))</f>
        <v>647</v>
      </c>
      <c r="H26" s="64" t="n">
        <f aca="false">IFERROR(INDEX('Recirculation &gt; 24 hrs'!$K$3:$K$151,MATCH($A26,'Recirculation &gt; 24 hrs'!$B$3:$B$151,0)),IFERROR(INDEX('Recirculation &gt; 24 hrs'!$K$3:$K$151,MATCH(SUBSTITUTE($A26," SS","  SS"),'Recirculation &gt; 24 hrs'!$B$3:$B$151,0)),"NA"))</f>
        <v>44</v>
      </c>
      <c r="I26" s="64" t="n">
        <f aca="false">IFERROR(INDEX('Pending Putaway'!$E$2:$E$1537,MATCH($A26,'Pending Putaway'!$B$2:$B$1537,0)),IFERROR(INDEX('Pending Putaway'!$E$2:$E$1537,MATCH(SUBSTITUTE($A26," SS","  SS"),'Pending Putaway'!$B$2:$B$1537,0)),"NA"))</f>
        <v>2387</v>
      </c>
      <c r="J26" s="64" t="n">
        <f aca="false">IFERROR(INDEX('Pending Putaway'!$L$2:$L$1537,MATCH($A26,'Pending Putaway'!$B$2:$B$1537,0)),IFERROR(INDEX('Pending Putaway'!$L$2:$L$1537,MATCH(SUBSTITUTE($A26," SS","  SS"),'Pending Putaway'!$B$2:$B$1537,0)),"NA"))</f>
        <v>0</v>
      </c>
      <c r="L26" s="63" t="s">
        <v>304</v>
      </c>
      <c r="M26" s="63" t="n">
        <f aca="false">COUNTIF($B$6:$B$269,$L26)</f>
        <v>12</v>
      </c>
      <c r="N26" s="63" t="n">
        <f aca="false">SUMIF($B$6:$B$269,$L26,$D$6:$D$269)</f>
        <v>84085</v>
      </c>
      <c r="O26" s="66" t="n">
        <f aca="false">IFERROR(AVERAGEIF($B$6:$B$269,$L26,$E$6:$E$269),"NA")</f>
        <v>0.604166666666667</v>
      </c>
      <c r="P26" s="63" t="n">
        <f aca="false">SUMIF($B$6:$B$269,$L26,$F$6:$F$269)</f>
        <v>2439</v>
      </c>
      <c r="Q26" s="63" t="n">
        <f aca="false">SUMIF($B$6:$B$269,$L26,$G$6:$G$269)</f>
        <v>39</v>
      </c>
      <c r="R26" s="63" t="n">
        <f aca="false">SUMIF($B$6:$B$269,$L26,$H$6:$H$269)</f>
        <v>1541</v>
      </c>
      <c r="S26" s="63" t="n">
        <f aca="false">SUMIF($B$6:$B$269,$L26,$I$6:$I$269)</f>
        <v>20445</v>
      </c>
      <c r="T26" s="63" t="n">
        <f aca="false">SUMIF($B$6:$B$269,$L26,$J$6:$J$269)</f>
        <v>7543</v>
      </c>
    </row>
    <row r="27" customFormat="false" ht="15" hidden="false" customHeight="false" outlineLevel="0" collapsed="false">
      <c r="A27" s="63" t="s">
        <v>151</v>
      </c>
      <c r="B27" s="63" t="str">
        <f aca="false">IFERROR(INDEX('CLM &amp; IM Mapping'!$B$2:$B$270,MATCH($A27,'CLM &amp; IM Mapping'!$A$2:$A$270,0)),"Not Mapped")</f>
        <v>Manjunatha V</v>
      </c>
      <c r="C27" s="63" t="str">
        <f aca="false">IFERROR(INDEX('CLM &amp; IM Mapping'!$C$2:$C$270,MATCH($A27,'CLM &amp; IM Mapping'!$A$2:$A$270,0)),"Not Mapped")</f>
        <v>Un Mapped</v>
      </c>
      <c r="D27" s="64" t="n">
        <f aca="false">IFERROR(INDEX(Shrinkage!$P$2:$P$260,MATCH($A27,Shrinkage!$D$2:$D$260,0)),IFERROR(INDEX(Shrinkage!$P$2:$P$260,MATCH(SUBSTITUTE($A27," SS","  SS"),Shrinkage!$D$2:$D$260,0)),"NA"))</f>
        <v>4627</v>
      </c>
      <c r="E27" s="65" t="n">
        <f aca="false">IFERROR(INDEX('Inventory Hygiene'!$I$3:$I$254,MATCH($A27,'Inventory Hygiene'!$B$3:$B$254,0)),IFERROR(INDEX('Inventory Hygiene'!$I$3:$I$254,MATCH(SUBSTITUTE($A27," SS","  SS"),'Inventory Hygiene'!$B$3:$B$254,0)),"NA"))</f>
        <v>0.59</v>
      </c>
      <c r="F27" s="64" t="n">
        <f aca="false">IFERROR(INDEX('Bad Bins'!$K$3:$K$253,MATCH($A27,'Bad Bins'!$B$3:$B$253,0)),IFERROR(INDEX('Bad Bins'!$K$3:$K$253,MATCH(SUBSTITUTE($A27," SS","  SS"),'Bad Bins'!$B$3:$B$253,0)),"NA"))</f>
        <v>99</v>
      </c>
      <c r="G27" s="64" t="n">
        <f aca="false">IFERROR(INDEX('RSTO &gt; 48hrs'!$H$2:$H$134,MATCH($A27,'RSTO &gt; 48hrs'!$B$2:$B$134,0)),IFERROR(INDEX('RSTO &gt; 48hrs'!$H$2:$H$134,MATCH(SUBSTITUTE($A27," SS","  SS"),'RSTO &gt; 48hrs'!$B$2:$B$134,0)),"NA"))</f>
        <v>7</v>
      </c>
      <c r="H27" s="64" t="n">
        <f aca="false">IFERROR(INDEX('Recirculation &gt; 24 hrs'!$K$3:$K$151,MATCH($A27,'Recirculation &gt; 24 hrs'!$B$3:$B$151,0)),IFERROR(INDEX('Recirculation &gt; 24 hrs'!$K$3:$K$151,MATCH(SUBSTITUTE($A27," SS","  SS"),'Recirculation &gt; 24 hrs'!$B$3:$B$151,0)),"NA"))</f>
        <v>6</v>
      </c>
      <c r="I27" s="64" t="n">
        <f aca="false">IFERROR(INDEX('Pending Putaway'!$E$2:$E$1537,MATCH($A27,'Pending Putaway'!$B$2:$B$1537,0)),IFERROR(INDEX('Pending Putaway'!$E$2:$E$1537,MATCH(SUBSTITUTE($A27," SS","  SS"),'Pending Putaway'!$B$2:$B$1537,0)),"NA"))</f>
        <v>7054</v>
      </c>
      <c r="J27" s="64" t="n">
        <f aca="false">IFERROR(INDEX('Pending Putaway'!$L$2:$L$1537,MATCH($A27,'Pending Putaway'!$B$2:$B$1537,0)),IFERROR(INDEX('Pending Putaway'!$L$2:$L$1537,MATCH(SUBSTITUTE($A27," SS","  SS"),'Pending Putaway'!$B$2:$B$1537,0)),"NA"))</f>
        <v>433</v>
      </c>
      <c r="L27" s="63" t="s">
        <v>344</v>
      </c>
      <c r="M27" s="63" t="n">
        <f aca="false">COUNTIF($B$6:$B$269,$L27)</f>
        <v>9</v>
      </c>
      <c r="N27" s="63" t="n">
        <f aca="false">SUMIF($B$6:$B$269,$L27,$D$6:$D$269)</f>
        <v>-30513</v>
      </c>
      <c r="O27" s="66" t="n">
        <f aca="false">IFERROR(AVERAGEIF($B$6:$B$269,$L27,$E$6:$E$269),"NA")</f>
        <v>0.897777777777778</v>
      </c>
      <c r="P27" s="63" t="n">
        <f aca="false">SUMIF($B$6:$B$269,$L27,$F$6:$F$269)</f>
        <v>394</v>
      </c>
      <c r="Q27" s="63" t="n">
        <f aca="false">SUMIF($B$6:$B$269,$L27,$G$6:$G$269)</f>
        <v>35</v>
      </c>
      <c r="R27" s="63" t="n">
        <f aca="false">SUMIF($B$6:$B$269,$L27,$H$6:$H$269)</f>
        <v>510</v>
      </c>
      <c r="S27" s="63" t="n">
        <f aca="false">SUMIF($B$6:$B$269,$L27,$I$6:$I$269)</f>
        <v>13604</v>
      </c>
      <c r="T27" s="63" t="n">
        <f aca="false">SUMIF($B$6:$B$269,$L27,$J$6:$J$269)</f>
        <v>0</v>
      </c>
    </row>
    <row r="28" customFormat="false" ht="15" hidden="false" customHeight="false" outlineLevel="0" collapsed="false">
      <c r="A28" s="63" t="s">
        <v>276</v>
      </c>
      <c r="B28" s="63" t="str">
        <f aca="false">IFERROR(INDEX('CLM &amp; IM Mapping'!$B$2:$B$270,MATCH($A28,'CLM &amp; IM Mapping'!$A$2:$A$270,0)),"Not Mapped")</f>
        <v>Manjunatha V</v>
      </c>
      <c r="C28" s="63" t="str">
        <f aca="false">IFERROR(INDEX('CLM &amp; IM Mapping'!$C$2:$C$270,MATCH($A28,'CLM &amp; IM Mapping'!$A$2:$A$270,0)),"Not Mapped")</f>
        <v>Un Mapped</v>
      </c>
      <c r="D28" s="64" t="n">
        <f aca="false">IFERROR(INDEX(Shrinkage!$P$2:$P$260,MATCH($A28,Shrinkage!$D$2:$D$260,0)),IFERROR(INDEX(Shrinkage!$P$2:$P$260,MATCH(SUBSTITUTE($A28," SS","  SS"),Shrinkage!$D$2:$D$260,0)),"NA"))</f>
        <v>-11570</v>
      </c>
      <c r="E28" s="65" t="n">
        <f aca="false">IFERROR(INDEX('Inventory Hygiene'!$I$3:$I$254,MATCH($A28,'Inventory Hygiene'!$B$3:$B$254,0)),IFERROR(INDEX('Inventory Hygiene'!$I$3:$I$254,MATCH(SUBSTITUTE($A28," SS","  SS"),'Inventory Hygiene'!$B$3:$B$254,0)),"NA"))</f>
        <v>0.5</v>
      </c>
      <c r="F28" s="64" t="n">
        <f aca="false">IFERROR(INDEX('Bad Bins'!$K$3:$K$253,MATCH($A28,'Bad Bins'!$B$3:$B$253,0)),IFERROR(INDEX('Bad Bins'!$K$3:$K$253,MATCH(SUBSTITUTE($A28," SS","  SS"),'Bad Bins'!$B$3:$B$253,0)),"NA"))</f>
        <v>356</v>
      </c>
      <c r="G28" s="64" t="str">
        <f aca="false">IFERROR(INDEX('RSTO &gt; 48hrs'!$H$2:$H$134,MATCH($A28,'RSTO &gt; 48hrs'!$B$2:$B$134,0)),IFERROR(INDEX('RSTO &gt; 48hrs'!$H$2:$H$134,MATCH(SUBSTITUTE($A28," SS","  SS"),'RSTO &gt; 48hrs'!$B$2:$B$134,0)),"NA"))</f>
        <v>NA</v>
      </c>
      <c r="H28" s="64" t="n">
        <f aca="false">IFERROR(INDEX('Recirculation &gt; 24 hrs'!$K$3:$K$151,MATCH($A28,'Recirculation &gt; 24 hrs'!$B$3:$B$151,0)),IFERROR(INDEX('Recirculation &gt; 24 hrs'!$K$3:$K$151,MATCH(SUBSTITUTE($A28," SS","  SS"),'Recirculation &gt; 24 hrs'!$B$3:$B$151,0)),"NA"))</f>
        <v>1982</v>
      </c>
      <c r="I28" s="64" t="n">
        <f aca="false">IFERROR(INDEX('Pending Putaway'!$E$2:$E$1537,MATCH($A28,'Pending Putaway'!$B$2:$B$1537,0)),IFERROR(INDEX('Pending Putaway'!$E$2:$E$1537,MATCH(SUBSTITUTE($A28," SS","  SS"),'Pending Putaway'!$B$2:$B$1537,0)),"NA"))</f>
        <v>1544</v>
      </c>
      <c r="J28" s="64" t="n">
        <f aca="false">IFERROR(INDEX('Pending Putaway'!$L$2:$L$1537,MATCH($A28,'Pending Putaway'!$B$2:$B$1537,0)),IFERROR(INDEX('Pending Putaway'!$L$2:$L$1537,MATCH(SUBSTITUTE($A28," SS","  SS"),'Pending Putaway'!$B$2:$B$1537,0)),"NA"))</f>
        <v>0</v>
      </c>
      <c r="L28" s="63" t="s">
        <v>338</v>
      </c>
      <c r="M28" s="63" t="n">
        <f aca="false">COUNTIF($B$6:$B$269,$L28)</f>
        <v>9</v>
      </c>
      <c r="N28" s="63" t="n">
        <f aca="false">SUMIF($B$6:$B$269,$L28,$D$6:$D$269)</f>
        <v>166136</v>
      </c>
      <c r="O28" s="66" t="n">
        <f aca="false">IFERROR(AVERAGEIF($B$6:$B$269,$L28,$E$6:$E$269),"NA")</f>
        <v>0.535555555555556</v>
      </c>
      <c r="P28" s="63" t="n">
        <f aca="false">SUMIF($B$6:$B$269,$L28,$F$6:$F$269)</f>
        <v>1623</v>
      </c>
      <c r="Q28" s="63" t="n">
        <f aca="false">SUMIF($B$6:$B$269,$L28,$G$6:$G$269)</f>
        <v>1052</v>
      </c>
      <c r="R28" s="63" t="n">
        <f aca="false">SUMIF($B$6:$B$269,$L28,$H$6:$H$269)</f>
        <v>76</v>
      </c>
      <c r="S28" s="63" t="n">
        <f aca="false">SUMIF($B$6:$B$269,$L28,$I$6:$I$269)</f>
        <v>32289</v>
      </c>
      <c r="T28" s="63" t="n">
        <f aca="false">SUMIF($B$6:$B$269,$L28,$J$6:$J$269)</f>
        <v>15762</v>
      </c>
    </row>
    <row r="29" customFormat="false" ht="15" hidden="false" customHeight="false" outlineLevel="0" collapsed="false">
      <c r="A29" s="63" t="s">
        <v>247</v>
      </c>
      <c r="B29" s="63" t="str">
        <f aca="false">IFERROR(INDEX('CLM &amp; IM Mapping'!$B$2:$B$270,MATCH($A29,'CLM &amp; IM Mapping'!$A$2:$A$270,0)),"Not Mapped")</f>
        <v>Manjunatha V</v>
      </c>
      <c r="C29" s="63" t="str">
        <f aca="false">IFERROR(INDEX('CLM &amp; IM Mapping'!$C$2:$C$270,MATCH($A29,'CLM &amp; IM Mapping'!$A$2:$A$270,0)),"Not Mapped")</f>
        <v>Un Mapped</v>
      </c>
      <c r="D29" s="64" t="n">
        <f aca="false">IFERROR(INDEX(Shrinkage!$P$2:$P$260,MATCH($A29,Shrinkage!$D$2:$D$260,0)),IFERROR(INDEX(Shrinkage!$P$2:$P$260,MATCH(SUBSTITUTE($A29," SS","  SS"),Shrinkage!$D$2:$D$260,0)),"NA"))</f>
        <v>-18324</v>
      </c>
      <c r="E29" s="65" t="n">
        <f aca="false">IFERROR(INDEX('Inventory Hygiene'!$I$3:$I$254,MATCH($A29,'Inventory Hygiene'!$B$3:$B$254,0)),IFERROR(INDEX('Inventory Hygiene'!$I$3:$I$254,MATCH(SUBSTITUTE($A29," SS","  SS"),'Inventory Hygiene'!$B$3:$B$254,0)),"NA"))</f>
        <v>0.65</v>
      </c>
      <c r="F29" s="64" t="n">
        <f aca="false">IFERROR(INDEX('Bad Bins'!$K$3:$K$253,MATCH($A29,'Bad Bins'!$B$3:$B$253,0)),IFERROR(INDEX('Bad Bins'!$K$3:$K$253,MATCH(SUBSTITUTE($A29," SS","  SS"),'Bad Bins'!$B$3:$B$253,0)),"NA"))</f>
        <v>153</v>
      </c>
      <c r="G29" s="64" t="str">
        <f aca="false">IFERROR(INDEX('RSTO &gt; 48hrs'!$H$2:$H$134,MATCH($A29,'RSTO &gt; 48hrs'!$B$2:$B$134,0)),IFERROR(INDEX('RSTO &gt; 48hrs'!$H$2:$H$134,MATCH(SUBSTITUTE($A29," SS","  SS"),'RSTO &gt; 48hrs'!$B$2:$B$134,0)),"NA"))</f>
        <v>NA</v>
      </c>
      <c r="H29" s="64" t="str">
        <f aca="false">IFERROR(INDEX('Recirculation &gt; 24 hrs'!$K$3:$K$151,MATCH($A29,'Recirculation &gt; 24 hrs'!$B$3:$B$151,0)),IFERROR(INDEX('Recirculation &gt; 24 hrs'!$K$3:$K$151,MATCH(SUBSTITUTE($A29," SS","  SS"),'Recirculation &gt; 24 hrs'!$B$3:$B$151,0)),"NA"))</f>
        <v>NA</v>
      </c>
      <c r="I29" s="64" t="n">
        <f aca="false">IFERROR(INDEX('Pending Putaway'!$E$2:$E$1537,MATCH($A29,'Pending Putaway'!$B$2:$B$1537,0)),IFERROR(INDEX('Pending Putaway'!$E$2:$E$1537,MATCH(SUBSTITUTE($A29," SS","  SS"),'Pending Putaway'!$B$2:$B$1537,0)),"NA"))</f>
        <v>1430</v>
      </c>
      <c r="J29" s="64" t="n">
        <f aca="false">IFERROR(INDEX('Pending Putaway'!$L$2:$L$1537,MATCH($A29,'Pending Putaway'!$B$2:$B$1537,0)),IFERROR(INDEX('Pending Putaway'!$L$2:$L$1537,MATCH(SUBSTITUTE($A29," SS","  SS"),'Pending Putaway'!$B$2:$B$1537,0)),"NA"))</f>
        <v>0</v>
      </c>
      <c r="L29" s="63" t="s">
        <v>341</v>
      </c>
      <c r="M29" s="63" t="n">
        <f aca="false">COUNTIF($B$6:$B$269,$L29)</f>
        <v>10</v>
      </c>
      <c r="N29" s="63" t="n">
        <f aca="false">SUMIF($B$6:$B$269,$L29,$D$6:$D$269)</f>
        <v>59308</v>
      </c>
      <c r="O29" s="66" t="n">
        <f aca="false">IFERROR(AVERAGEIF($B$6:$B$269,$L29,$E$6:$E$269),"NA")</f>
        <v>0.539</v>
      </c>
      <c r="P29" s="63" t="n">
        <f aca="false">SUMIF($B$6:$B$269,$L29,$F$6:$F$269)</f>
        <v>1234</v>
      </c>
      <c r="Q29" s="63" t="n">
        <f aca="false">SUMIF($B$6:$B$269,$L29,$G$6:$G$269)</f>
        <v>334</v>
      </c>
      <c r="R29" s="63" t="n">
        <f aca="false">SUMIF($B$6:$B$269,$L29,$H$6:$H$269)</f>
        <v>1191</v>
      </c>
      <c r="S29" s="63" t="n">
        <f aca="false">SUMIF($B$6:$B$269,$L29,$I$6:$I$269)</f>
        <v>28542</v>
      </c>
      <c r="T29" s="63" t="n">
        <f aca="false">SUMIF($B$6:$B$269,$L29,$J$6:$J$269)</f>
        <v>9151</v>
      </c>
    </row>
    <row r="30" customFormat="false" ht="15" hidden="false" customHeight="false" outlineLevel="0" collapsed="false">
      <c r="A30" s="63" t="s">
        <v>188</v>
      </c>
      <c r="B30" s="63" t="str">
        <f aca="false">IFERROR(INDEX('CLM &amp; IM Mapping'!$B$2:$B$270,MATCH($A30,'CLM &amp; IM Mapping'!$A$2:$A$270,0)),"Not Mapped")</f>
        <v>Manjunatha V</v>
      </c>
      <c r="C30" s="63" t="str">
        <f aca="false">IFERROR(INDEX('CLM &amp; IM Mapping'!$C$2:$C$270,MATCH($A30,'CLM &amp; IM Mapping'!$A$2:$A$270,0)),"Not Mapped")</f>
        <v>Un Mapped</v>
      </c>
      <c r="D30" s="64" t="n">
        <f aca="false">IFERROR(INDEX(Shrinkage!$P$2:$P$260,MATCH($A30,Shrinkage!$D$2:$D$260,0)),IFERROR(INDEX(Shrinkage!$P$2:$P$260,MATCH(SUBSTITUTE($A30," SS","  SS"),Shrinkage!$D$2:$D$260,0)),"NA"))</f>
        <v>5314</v>
      </c>
      <c r="E30" s="65" t="n">
        <f aca="false">IFERROR(INDEX('Inventory Hygiene'!$I$3:$I$254,MATCH($A30,'Inventory Hygiene'!$B$3:$B$254,0)),IFERROR(INDEX('Inventory Hygiene'!$I$3:$I$254,MATCH(SUBSTITUTE($A30," SS","  SS"),'Inventory Hygiene'!$B$3:$B$254,0)),"NA"))</f>
        <v>0.32</v>
      </c>
      <c r="F30" s="64" t="n">
        <f aca="false">IFERROR(INDEX('Bad Bins'!$K$3:$K$253,MATCH($A30,'Bad Bins'!$B$3:$B$253,0)),IFERROR(INDEX('Bad Bins'!$K$3:$K$253,MATCH(SUBSTITUTE($A30," SS","  SS"),'Bad Bins'!$B$3:$B$253,0)),"NA"))</f>
        <v>498</v>
      </c>
      <c r="G30" s="64" t="n">
        <f aca="false">IFERROR(INDEX('RSTO &gt; 48hrs'!$H$2:$H$134,MATCH($A30,'RSTO &gt; 48hrs'!$B$2:$B$134,0)),IFERROR(INDEX('RSTO &gt; 48hrs'!$H$2:$H$134,MATCH(SUBSTITUTE($A30," SS","  SS"),'RSTO &gt; 48hrs'!$B$2:$B$134,0)),"NA"))</f>
        <v>94</v>
      </c>
      <c r="H30" s="64" t="n">
        <f aca="false">IFERROR(INDEX('Recirculation &gt; 24 hrs'!$K$3:$K$151,MATCH($A30,'Recirculation &gt; 24 hrs'!$B$3:$B$151,0)),IFERROR(INDEX('Recirculation &gt; 24 hrs'!$K$3:$K$151,MATCH(SUBSTITUTE($A30," SS","  SS"),'Recirculation &gt; 24 hrs'!$B$3:$B$151,0)),"NA"))</f>
        <v>95</v>
      </c>
      <c r="I30" s="64" t="n">
        <f aca="false">IFERROR(INDEX('Pending Putaway'!$E$2:$E$1537,MATCH($A30,'Pending Putaway'!$B$2:$B$1537,0)),IFERROR(INDEX('Pending Putaway'!$E$2:$E$1537,MATCH(SUBSTITUTE($A30," SS","  SS"),'Pending Putaway'!$B$2:$B$1537,0)),"NA"))</f>
        <v>2555</v>
      </c>
      <c r="J30" s="64" t="n">
        <f aca="false">IFERROR(INDEX('Pending Putaway'!$L$2:$L$1537,MATCH($A30,'Pending Putaway'!$B$2:$B$1537,0)),IFERROR(INDEX('Pending Putaway'!$L$2:$L$1537,MATCH(SUBSTITUTE($A30," SS","  SS"),'Pending Putaway'!$B$2:$B$1537,0)),"NA"))</f>
        <v>169</v>
      </c>
      <c r="L30" s="63" t="s">
        <v>306</v>
      </c>
      <c r="M30" s="63" t="n">
        <f aca="false">COUNTIF($B$6:$B$269,$L30)</f>
        <v>14</v>
      </c>
      <c r="N30" s="63" t="n">
        <f aca="false">SUMIF($B$6:$B$269,$L30,$D$6:$D$269)</f>
        <v>26740</v>
      </c>
      <c r="O30" s="66" t="n">
        <f aca="false">IFERROR(AVERAGEIF($B$6:$B$269,$L30,$E$6:$E$269),"NA")</f>
        <v>0.590769230769231</v>
      </c>
      <c r="P30" s="63" t="n">
        <f aca="false">SUMIF($B$6:$B$269,$L30,$F$6:$F$269)</f>
        <v>1963</v>
      </c>
      <c r="Q30" s="63" t="n">
        <f aca="false">SUMIF($B$6:$B$269,$L30,$G$6:$G$269)</f>
        <v>313</v>
      </c>
      <c r="R30" s="63" t="n">
        <f aca="false">SUMIF($B$6:$B$269,$L30,$H$6:$H$269)</f>
        <v>71</v>
      </c>
      <c r="S30" s="63" t="n">
        <f aca="false">SUMIF($B$6:$B$269,$L30,$I$6:$I$269)</f>
        <v>29922</v>
      </c>
      <c r="T30" s="63" t="n">
        <f aca="false">SUMIF($B$6:$B$269,$L30,$J$6:$J$269)</f>
        <v>9365</v>
      </c>
    </row>
    <row r="31" customFormat="false" ht="15" hidden="false" customHeight="false" outlineLevel="0" collapsed="false">
      <c r="A31" s="63" t="s">
        <v>35</v>
      </c>
      <c r="B31" s="63" t="str">
        <f aca="false">IFERROR(INDEX('CLM &amp; IM Mapping'!$B$2:$B$270,MATCH($A31,'CLM &amp; IM Mapping'!$A$2:$A$270,0)),"Not Mapped")</f>
        <v>Manjunatha V</v>
      </c>
      <c r="C31" s="63" t="str">
        <f aca="false">IFERROR(INDEX('CLM &amp; IM Mapping'!$C$2:$C$270,MATCH($A31,'CLM &amp; IM Mapping'!$A$2:$A$270,0)),"Not Mapped")</f>
        <v>Un Mapped</v>
      </c>
      <c r="D31" s="64" t="n">
        <f aca="false">IFERROR(INDEX(Shrinkage!$P$2:$P$260,MATCH($A31,Shrinkage!$D$2:$D$260,0)),IFERROR(INDEX(Shrinkage!$P$2:$P$260,MATCH(SUBSTITUTE($A31," SS","  SS"),Shrinkage!$D$2:$D$260,0)),"NA"))</f>
        <v>-6403</v>
      </c>
      <c r="E31" s="65" t="n">
        <f aca="false">IFERROR(INDEX('Inventory Hygiene'!$I$3:$I$254,MATCH($A31,'Inventory Hygiene'!$B$3:$B$254,0)),IFERROR(INDEX('Inventory Hygiene'!$I$3:$I$254,MATCH(SUBSTITUTE($A31," SS","  SS"),'Inventory Hygiene'!$B$3:$B$254,0)),"NA"))</f>
        <v>0.84</v>
      </c>
      <c r="F31" s="64" t="n">
        <f aca="false">IFERROR(INDEX('Bad Bins'!$K$3:$K$253,MATCH($A31,'Bad Bins'!$B$3:$B$253,0)),IFERROR(INDEX('Bad Bins'!$K$3:$K$253,MATCH(SUBSTITUTE($A31," SS","  SS"),'Bad Bins'!$B$3:$B$253,0)),"NA"))</f>
        <v>70</v>
      </c>
      <c r="G31" s="64" t="n">
        <f aca="false">IFERROR(INDEX('RSTO &gt; 48hrs'!$H$2:$H$134,MATCH($A31,'RSTO &gt; 48hrs'!$B$2:$B$134,0)),IFERROR(INDEX('RSTO &gt; 48hrs'!$H$2:$H$134,MATCH(SUBSTITUTE($A31," SS","  SS"),'RSTO &gt; 48hrs'!$B$2:$B$134,0)),"NA"))</f>
        <v>3</v>
      </c>
      <c r="H31" s="64" t="str">
        <f aca="false">IFERROR(INDEX('Recirculation &gt; 24 hrs'!$K$3:$K$151,MATCH($A31,'Recirculation &gt; 24 hrs'!$B$3:$B$151,0)),IFERROR(INDEX('Recirculation &gt; 24 hrs'!$K$3:$K$151,MATCH(SUBSTITUTE($A31," SS","  SS"),'Recirculation &gt; 24 hrs'!$B$3:$B$151,0)),"NA"))</f>
        <v>NA</v>
      </c>
      <c r="I31" s="64" t="n">
        <f aca="false">IFERROR(INDEX('Pending Putaway'!$E$2:$E$1537,MATCH($A31,'Pending Putaway'!$B$2:$B$1537,0)),IFERROR(INDEX('Pending Putaway'!$E$2:$E$1537,MATCH(SUBSTITUTE($A31," SS","  SS"),'Pending Putaway'!$B$2:$B$1537,0)),"NA"))</f>
        <v>4247</v>
      </c>
      <c r="J31" s="64" t="n">
        <f aca="false">IFERROR(INDEX('Pending Putaway'!$L$2:$L$1537,MATCH($A31,'Pending Putaway'!$B$2:$B$1537,0)),IFERROR(INDEX('Pending Putaway'!$L$2:$L$1537,MATCH(SUBSTITUTE($A31," SS","  SS"),'Pending Putaway'!$B$2:$B$1537,0)),"NA"))</f>
        <v>0</v>
      </c>
      <c r="L31" s="63" t="s">
        <v>335</v>
      </c>
      <c r="M31" s="63" t="n">
        <f aca="false">COUNTIF($B$6:$B$269,$L31)</f>
        <v>6</v>
      </c>
      <c r="N31" s="63" t="n">
        <f aca="false">SUMIF($B$6:$B$269,$L31,$D$6:$D$269)</f>
        <v>140846</v>
      </c>
      <c r="O31" s="66" t="n">
        <f aca="false">IFERROR(AVERAGEIF($B$6:$B$269,$L31,$E$6:$E$269),"NA")</f>
        <v>0.696666666666667</v>
      </c>
      <c r="P31" s="63" t="n">
        <f aca="false">SUMIF($B$6:$B$269,$L31,$F$6:$F$269)</f>
        <v>2461</v>
      </c>
      <c r="Q31" s="63" t="n">
        <f aca="false">SUMIF($B$6:$B$269,$L31,$G$6:$G$269)</f>
        <v>910</v>
      </c>
      <c r="R31" s="63" t="n">
        <f aca="false">SUMIF($B$6:$B$269,$L31,$H$6:$H$269)</f>
        <v>1059</v>
      </c>
      <c r="S31" s="63" t="n">
        <f aca="false">SUMIF($B$6:$B$269,$L31,$I$6:$I$269)</f>
        <v>25628</v>
      </c>
      <c r="T31" s="63" t="n">
        <f aca="false">SUMIF($B$6:$B$269,$L31,$J$6:$J$269)</f>
        <v>1897</v>
      </c>
    </row>
    <row r="32" customFormat="false" ht="15" hidden="false" customHeight="false" outlineLevel="0" collapsed="false">
      <c r="A32" s="63" t="s">
        <v>77</v>
      </c>
      <c r="B32" s="63" t="str">
        <f aca="false">IFERROR(INDEX('CLM &amp; IM Mapping'!$B$2:$B$270,MATCH($A32,'CLM &amp; IM Mapping'!$A$2:$A$270,0)),"Not Mapped")</f>
        <v>Manjunatha V</v>
      </c>
      <c r="C32" s="63" t="str">
        <f aca="false">IFERROR(INDEX('CLM &amp; IM Mapping'!$C$2:$C$270,MATCH($A32,'CLM &amp; IM Mapping'!$A$2:$A$270,0)),"Not Mapped")</f>
        <v>Un Mapped</v>
      </c>
      <c r="D32" s="64" t="n">
        <f aca="false">IFERROR(INDEX(Shrinkage!$P$2:$P$260,MATCH($A32,Shrinkage!$D$2:$D$260,0)),IFERROR(INDEX(Shrinkage!$P$2:$P$260,MATCH(SUBSTITUTE($A32," SS","  SS"),Shrinkage!$D$2:$D$260,0)),"NA"))</f>
        <v>-15274</v>
      </c>
      <c r="E32" s="65" t="str">
        <f aca="false">IFERROR(INDEX('Inventory Hygiene'!$I$3:$I$254,MATCH($A32,'Inventory Hygiene'!$B$3:$B$254,0)),IFERROR(INDEX('Inventory Hygiene'!$I$3:$I$254,MATCH(SUBSTITUTE($A32," SS","  SS"),'Inventory Hygiene'!$B$3:$B$254,0)),"NA"))</f>
        <v>NA</v>
      </c>
      <c r="F32" s="64" t="str">
        <f aca="false">IFERROR(INDEX('Bad Bins'!$K$3:$K$253,MATCH($A32,'Bad Bins'!$B$3:$B$253,0)),IFERROR(INDEX('Bad Bins'!$K$3:$K$253,MATCH(SUBSTITUTE($A32," SS","  SS"),'Bad Bins'!$B$3:$B$253,0)),"NA"))</f>
        <v>NA</v>
      </c>
      <c r="G32" s="64" t="n">
        <f aca="false">IFERROR(INDEX('RSTO &gt; 48hrs'!$H$2:$H$134,MATCH($A32,'RSTO &gt; 48hrs'!$B$2:$B$134,0)),IFERROR(INDEX('RSTO &gt; 48hrs'!$H$2:$H$134,MATCH(SUBSTITUTE($A32," SS","  SS"),'RSTO &gt; 48hrs'!$B$2:$B$134,0)),"NA"))</f>
        <v>267</v>
      </c>
      <c r="H32" s="64" t="n">
        <f aca="false">IFERROR(INDEX('Recirculation &gt; 24 hrs'!$K$3:$K$151,MATCH($A32,'Recirculation &gt; 24 hrs'!$B$3:$B$151,0)),IFERROR(INDEX('Recirculation &gt; 24 hrs'!$K$3:$K$151,MATCH(SUBSTITUTE($A32," SS","  SS"),'Recirculation &gt; 24 hrs'!$B$3:$B$151,0)),"NA"))</f>
        <v>22</v>
      </c>
      <c r="I32" s="64" t="str">
        <f aca="false">IFERROR(INDEX('Pending Putaway'!$E$2:$E$1537,MATCH($A32,'Pending Putaway'!$B$2:$B$1537,0)),IFERROR(INDEX('Pending Putaway'!$E$2:$E$1537,MATCH(SUBSTITUTE($A32," SS","  SS"),'Pending Putaway'!$B$2:$B$1537,0)),"NA"))</f>
        <v>NA</v>
      </c>
      <c r="J32" s="64" t="str">
        <f aca="false">IFERROR(INDEX('Pending Putaway'!$L$2:$L$1537,MATCH($A32,'Pending Putaway'!$B$2:$B$1537,0)),IFERROR(INDEX('Pending Putaway'!$L$2:$L$1537,MATCH(SUBSTITUTE($A32," SS","  SS"),'Pending Putaway'!$B$2:$B$1537,0)),"NA"))</f>
        <v>NA</v>
      </c>
      <c r="L32" s="63" t="s">
        <v>340</v>
      </c>
      <c r="M32" s="63" t="n">
        <f aca="false">COUNTIF($B$6:$B$269,$L32)</f>
        <v>17</v>
      </c>
      <c r="N32" s="63" t="n">
        <f aca="false">SUMIF($B$6:$B$269,$L32,$D$6:$D$269)</f>
        <v>9364</v>
      </c>
      <c r="O32" s="66" t="n">
        <f aca="false">IFERROR(AVERAGEIF($B$6:$B$269,$L32,$E$6:$E$269),"NA")</f>
        <v>0.4975</v>
      </c>
      <c r="P32" s="63" t="n">
        <f aca="false">SUMIF($B$6:$B$269,$L32,$F$6:$F$269)</f>
        <v>3696</v>
      </c>
      <c r="Q32" s="63" t="n">
        <f aca="false">SUMIF($B$6:$B$269,$L32,$G$6:$G$269)</f>
        <v>0</v>
      </c>
      <c r="R32" s="63" t="n">
        <f aca="false">SUMIF($B$6:$B$269,$L32,$H$6:$H$269)</f>
        <v>331</v>
      </c>
      <c r="S32" s="63" t="n">
        <f aca="false">SUMIF($B$6:$B$269,$L32,$I$6:$I$269)</f>
        <v>13091</v>
      </c>
      <c r="T32" s="63" t="n">
        <f aca="false">SUMIF($B$6:$B$269,$L32,$J$6:$J$269)</f>
        <v>4853</v>
      </c>
    </row>
    <row r="33" customFormat="false" ht="15" hidden="false" customHeight="false" outlineLevel="0" collapsed="false">
      <c r="A33" s="63" t="s">
        <v>199</v>
      </c>
      <c r="B33" s="63" t="str">
        <f aca="false">IFERROR(INDEX('CLM &amp; IM Mapping'!$B$2:$B$270,MATCH($A33,'CLM &amp; IM Mapping'!$A$2:$A$270,0)),"Not Mapped")</f>
        <v>Manjunatha V</v>
      </c>
      <c r="C33" s="63" t="str">
        <f aca="false">IFERROR(INDEX('CLM &amp; IM Mapping'!$C$2:$C$270,MATCH($A33,'CLM &amp; IM Mapping'!$A$2:$A$270,0)),"Not Mapped")</f>
        <v>Un Mapped</v>
      </c>
      <c r="D33" s="64" t="n">
        <f aca="false">IFERROR(INDEX(Shrinkage!$P$2:$P$260,MATCH($A33,Shrinkage!$D$2:$D$260,0)),IFERROR(INDEX(Shrinkage!$P$2:$P$260,MATCH(SUBSTITUTE($A33," SS","  SS"),Shrinkage!$D$2:$D$260,0)),"NA"))</f>
        <v>-5025</v>
      </c>
      <c r="E33" s="65" t="n">
        <f aca="false">IFERROR(INDEX('Inventory Hygiene'!$I$3:$I$254,MATCH($A33,'Inventory Hygiene'!$B$3:$B$254,0)),IFERROR(INDEX('Inventory Hygiene'!$I$3:$I$254,MATCH(SUBSTITUTE($A33," SS","  SS"),'Inventory Hygiene'!$B$3:$B$254,0)),"NA"))</f>
        <v>0.85</v>
      </c>
      <c r="F33" s="64" t="n">
        <f aca="false">IFERROR(INDEX('Bad Bins'!$K$3:$K$253,MATCH($A33,'Bad Bins'!$B$3:$B$253,0)),IFERROR(INDEX('Bad Bins'!$K$3:$K$253,MATCH(SUBSTITUTE($A33," SS","  SS"),'Bad Bins'!$B$3:$B$253,0)),"NA"))</f>
        <v>64</v>
      </c>
      <c r="G33" s="64" t="str">
        <f aca="false">IFERROR(INDEX('RSTO &gt; 48hrs'!$H$2:$H$134,MATCH($A33,'RSTO &gt; 48hrs'!$B$2:$B$134,0)),IFERROR(INDEX('RSTO &gt; 48hrs'!$H$2:$H$134,MATCH(SUBSTITUTE($A33," SS","  SS"),'RSTO &gt; 48hrs'!$B$2:$B$134,0)),"NA"))</f>
        <v>NA</v>
      </c>
      <c r="H33" s="64" t="str">
        <f aca="false">IFERROR(INDEX('Recirculation &gt; 24 hrs'!$K$3:$K$151,MATCH($A33,'Recirculation &gt; 24 hrs'!$B$3:$B$151,0)),IFERROR(INDEX('Recirculation &gt; 24 hrs'!$K$3:$K$151,MATCH(SUBSTITUTE($A33," SS","  SS"),'Recirculation &gt; 24 hrs'!$B$3:$B$151,0)),"NA"))</f>
        <v>NA</v>
      </c>
      <c r="I33" s="64" t="n">
        <f aca="false">IFERROR(INDEX('Pending Putaway'!$E$2:$E$1537,MATCH($A33,'Pending Putaway'!$B$2:$B$1537,0)),IFERROR(INDEX('Pending Putaway'!$E$2:$E$1537,MATCH(SUBSTITUTE($A33," SS","  SS"),'Pending Putaway'!$B$2:$B$1537,0)),"NA"))</f>
        <v>396</v>
      </c>
      <c r="J33" s="64" t="n">
        <f aca="false">IFERROR(INDEX('Pending Putaway'!$L$2:$L$1537,MATCH($A33,'Pending Putaway'!$B$2:$B$1537,0)),IFERROR(INDEX('Pending Putaway'!$L$2:$L$1537,MATCH(SUBSTITUTE($A33," SS","  SS"),'Pending Putaway'!$B$2:$B$1537,0)),"NA"))</f>
        <v>0</v>
      </c>
      <c r="L33" s="63" t="s">
        <v>1667</v>
      </c>
      <c r="M33" s="63" t="n">
        <f aca="false">COUNTIF($B$6:$B$269,$L33)</f>
        <v>2</v>
      </c>
      <c r="N33" s="63" t="n">
        <f aca="false">SUMIF($B$6:$B$269,$L33,$D$6:$D$269)</f>
        <v>0</v>
      </c>
      <c r="O33" s="66" t="str">
        <f aca="false">IFERROR(AVERAGEIF($B$6:$B$269,$L33,$E$6:$E$269),"NA")</f>
        <v>NA</v>
      </c>
      <c r="P33" s="63" t="n">
        <f aca="false">SUMIF($B$6:$B$269,$L33,$F$6:$F$269)</f>
        <v>0</v>
      </c>
      <c r="Q33" s="63" t="n">
        <f aca="false">SUMIF($B$6:$B$269,$L33,$G$6:$G$269)</f>
        <v>0</v>
      </c>
      <c r="R33" s="63" t="n">
        <f aca="false">SUMIF($B$6:$B$269,$L33,$H$6:$H$269)</f>
        <v>6</v>
      </c>
      <c r="S33" s="63" t="n">
        <f aca="false">SUMIF($B$6:$B$269,$L33,$I$6:$I$269)</f>
        <v>0</v>
      </c>
      <c r="T33" s="63" t="n">
        <f aca="false">SUMIF($B$6:$B$269,$L33,$J$6:$J$269)</f>
        <v>0</v>
      </c>
    </row>
    <row r="34" customFormat="false" ht="15" hidden="false" customHeight="false" outlineLevel="0" collapsed="false">
      <c r="A34" s="63" t="s">
        <v>175</v>
      </c>
      <c r="B34" s="63" t="str">
        <f aca="false">IFERROR(INDEX('CLM &amp; IM Mapping'!$B$2:$B$270,MATCH($A34,'CLM &amp; IM Mapping'!$A$2:$A$270,0)),"Not Mapped")</f>
        <v>Manjunatha V</v>
      </c>
      <c r="C34" s="63" t="str">
        <f aca="false">IFERROR(INDEX('CLM &amp; IM Mapping'!$C$2:$C$270,MATCH($A34,'CLM &amp; IM Mapping'!$A$2:$A$270,0)),"Not Mapped")</f>
        <v>Un Mapped</v>
      </c>
      <c r="D34" s="64" t="n">
        <f aca="false">IFERROR(INDEX(Shrinkage!$P$2:$P$260,MATCH($A34,Shrinkage!$D$2:$D$260,0)),IFERROR(INDEX(Shrinkage!$P$2:$P$260,MATCH(SUBSTITUTE($A34," SS","  SS"),Shrinkage!$D$2:$D$260,0)),"NA"))</f>
        <v>33402</v>
      </c>
      <c r="E34" s="65" t="n">
        <f aca="false">IFERROR(INDEX('Inventory Hygiene'!$I$3:$I$254,MATCH($A34,'Inventory Hygiene'!$B$3:$B$254,0)),IFERROR(INDEX('Inventory Hygiene'!$I$3:$I$254,MATCH(SUBSTITUTE($A34," SS","  SS"),'Inventory Hygiene'!$B$3:$B$254,0)),"NA"))</f>
        <v>0.43</v>
      </c>
      <c r="F34" s="64" t="n">
        <f aca="false">IFERROR(INDEX('Bad Bins'!$K$3:$K$253,MATCH($A34,'Bad Bins'!$B$3:$B$253,0)),IFERROR(INDEX('Bad Bins'!$K$3:$K$253,MATCH(SUBSTITUTE($A34," SS","  SS"),'Bad Bins'!$B$3:$B$253,0)),"NA"))</f>
        <v>560</v>
      </c>
      <c r="G34" s="64" t="str">
        <f aca="false">IFERROR(INDEX('RSTO &gt; 48hrs'!$H$2:$H$134,MATCH($A34,'RSTO &gt; 48hrs'!$B$2:$B$134,0)),IFERROR(INDEX('RSTO &gt; 48hrs'!$H$2:$H$134,MATCH(SUBSTITUTE($A34," SS","  SS"),'RSTO &gt; 48hrs'!$B$2:$B$134,0)),"NA"))</f>
        <v>NA</v>
      </c>
      <c r="H34" s="64" t="n">
        <f aca="false">IFERROR(INDEX('Recirculation &gt; 24 hrs'!$K$3:$K$151,MATCH($A34,'Recirculation &gt; 24 hrs'!$B$3:$B$151,0)),IFERROR(INDEX('Recirculation &gt; 24 hrs'!$K$3:$K$151,MATCH(SUBSTITUTE($A34," SS","  SS"),'Recirculation &gt; 24 hrs'!$B$3:$B$151,0)),"NA"))</f>
        <v>1822</v>
      </c>
      <c r="I34" s="64" t="n">
        <f aca="false">IFERROR(INDEX('Pending Putaway'!$E$2:$E$1537,MATCH($A34,'Pending Putaway'!$B$2:$B$1537,0)),IFERROR(INDEX('Pending Putaway'!$E$2:$E$1537,MATCH(SUBSTITUTE($A34," SS","  SS"),'Pending Putaway'!$B$2:$B$1537,0)),"NA"))</f>
        <v>7293</v>
      </c>
      <c r="J34" s="64" t="n">
        <f aca="false">IFERROR(INDEX('Pending Putaway'!$L$2:$L$1537,MATCH($A34,'Pending Putaway'!$B$2:$B$1537,0)),IFERROR(INDEX('Pending Putaway'!$L$2:$L$1537,MATCH(SUBSTITUTE($A34," SS","  SS"),'Pending Putaway'!$B$2:$B$1537,0)),"NA"))</f>
        <v>1151</v>
      </c>
      <c r="L34" s="61" t="s">
        <v>1666</v>
      </c>
      <c r="M34" s="61" t="n">
        <f aca="false">SUM(M6:M33)</f>
        <v>264</v>
      </c>
      <c r="N34" s="61" t="n">
        <f aca="false">SUM(N6:N33)</f>
        <v>2352254</v>
      </c>
      <c r="O34" s="62" t="n">
        <f aca="false">E5</f>
        <v>0.556547619047619</v>
      </c>
      <c r="P34" s="61" t="n">
        <f aca="false">SUM(P6:P33)</f>
        <v>39771</v>
      </c>
      <c r="Q34" s="61" t="n">
        <f aca="false">SUM(Q6:Q33)</f>
        <v>15177</v>
      </c>
      <c r="R34" s="61" t="n">
        <f aca="false">SUM(R6:R33)</f>
        <v>53775</v>
      </c>
      <c r="S34" s="61" t="n">
        <f aca="false">SUM(S6:S33)</f>
        <v>497609</v>
      </c>
      <c r="T34" s="61" t="n">
        <f aca="false">SUM(T6:T33)</f>
        <v>117783</v>
      </c>
    </row>
    <row r="35" customFormat="false" ht="15" hidden="false" customHeight="false" outlineLevel="0" collapsed="false">
      <c r="A35" s="63" t="s">
        <v>206</v>
      </c>
      <c r="B35" s="63" t="str">
        <f aca="false">IFERROR(INDEX('CLM &amp; IM Mapping'!$B$2:$B$270,MATCH($A35,'CLM &amp; IM Mapping'!$A$2:$A$270,0)),"Not Mapped")</f>
        <v>Saddam Hussain</v>
      </c>
      <c r="C35" s="63" t="str">
        <f aca="false">IFERROR(INDEX('CLM &amp; IM Mapping'!$C$2:$C$270,MATCH($A35,'CLM &amp; IM Mapping'!$A$2:$A$270,0)),"Not Mapped")</f>
        <v>Un Mapped</v>
      </c>
      <c r="D35" s="64" t="n">
        <f aca="false">IFERROR(INDEX(Shrinkage!$P$2:$P$260,MATCH($A35,Shrinkage!$D$2:$D$260,0)),IFERROR(INDEX(Shrinkage!$P$2:$P$260,MATCH(SUBSTITUTE($A35," SS","  SS"),Shrinkage!$D$2:$D$260,0)),"NA"))</f>
        <v>67844</v>
      </c>
      <c r="E35" s="65" t="n">
        <f aca="false">IFERROR(INDEX('Inventory Hygiene'!$I$3:$I$254,MATCH($A35,'Inventory Hygiene'!$B$3:$B$254,0)),IFERROR(INDEX('Inventory Hygiene'!$I$3:$I$254,MATCH(SUBSTITUTE($A35," SS","  SS"),'Inventory Hygiene'!$B$3:$B$254,0)),"NA"))</f>
        <v>0.68</v>
      </c>
      <c r="F35" s="64" t="n">
        <f aca="false">IFERROR(INDEX('Bad Bins'!$K$3:$K$253,MATCH($A35,'Bad Bins'!$B$3:$B$253,0)),IFERROR(INDEX('Bad Bins'!$K$3:$K$253,MATCH(SUBSTITUTE($A35," SS","  SS"),'Bad Bins'!$B$3:$B$253,0)),"NA"))</f>
        <v>382</v>
      </c>
      <c r="G35" s="64" t="n">
        <f aca="false">IFERROR(INDEX('RSTO &gt; 48hrs'!$H$2:$H$134,MATCH($A35,'RSTO &gt; 48hrs'!$B$2:$B$134,0)),IFERROR(INDEX('RSTO &gt; 48hrs'!$H$2:$H$134,MATCH(SUBSTITUTE($A35," SS","  SS"),'RSTO &gt; 48hrs'!$B$2:$B$134,0)),"NA"))</f>
        <v>19</v>
      </c>
      <c r="H35" s="64" t="str">
        <f aca="false">IFERROR(INDEX('Recirculation &gt; 24 hrs'!$K$3:$K$151,MATCH($A35,'Recirculation &gt; 24 hrs'!$B$3:$B$151,0)),IFERROR(INDEX('Recirculation &gt; 24 hrs'!$K$3:$K$151,MATCH(SUBSTITUTE($A35," SS","  SS"),'Recirculation &gt; 24 hrs'!$B$3:$B$151,0)),"NA"))</f>
        <v>NA</v>
      </c>
      <c r="I35" s="64" t="n">
        <f aca="false">IFERROR(INDEX('Pending Putaway'!$E$2:$E$1537,MATCH($A35,'Pending Putaway'!$B$2:$B$1537,0)),IFERROR(INDEX('Pending Putaway'!$E$2:$E$1537,MATCH(SUBSTITUTE($A35," SS","  SS"),'Pending Putaway'!$B$2:$B$1537,0)),"NA"))</f>
        <v>5095</v>
      </c>
      <c r="J35" s="64" t="n">
        <f aca="false">IFERROR(INDEX('Pending Putaway'!$L$2:$L$1537,MATCH($A35,'Pending Putaway'!$B$2:$B$1537,0)),IFERROR(INDEX('Pending Putaway'!$L$2:$L$1537,MATCH(SUBSTITUTE($A35," SS","  SS"),'Pending Putaway'!$B$2:$B$1537,0)),"NA"))</f>
        <v>1929</v>
      </c>
    </row>
    <row r="36" customFormat="false" ht="15" hidden="false" customHeight="false" outlineLevel="0" collapsed="false">
      <c r="A36" s="63" t="s">
        <v>36</v>
      </c>
      <c r="B36" s="63" t="str">
        <f aca="false">IFERROR(INDEX('CLM &amp; IM Mapping'!$B$2:$B$270,MATCH($A36,'CLM &amp; IM Mapping'!$A$2:$A$270,0)),"Not Mapped")</f>
        <v>Keshav G</v>
      </c>
      <c r="C36" s="63" t="str">
        <f aca="false">IFERROR(INDEX('CLM &amp; IM Mapping'!$C$2:$C$270,MATCH($A36,'CLM &amp; IM Mapping'!$A$2:$A$270,0)),"Not Mapped")</f>
        <v>Un Mapped</v>
      </c>
      <c r="D36" s="64" t="n">
        <f aca="false">IFERROR(INDEX(Shrinkage!$P$2:$P$260,MATCH($A36,Shrinkage!$D$2:$D$260,0)),IFERROR(INDEX(Shrinkage!$P$2:$P$260,MATCH(SUBSTITUTE($A36," SS","  SS"),Shrinkage!$D$2:$D$260,0)),"NA"))</f>
        <v>-12536</v>
      </c>
      <c r="E36" s="65" t="n">
        <f aca="false">IFERROR(INDEX('Inventory Hygiene'!$I$3:$I$254,MATCH($A36,'Inventory Hygiene'!$B$3:$B$254,0)),IFERROR(INDEX('Inventory Hygiene'!$I$3:$I$254,MATCH(SUBSTITUTE($A36," SS","  SS"),'Inventory Hygiene'!$B$3:$B$254,0)),"NA"))</f>
        <v>0.53</v>
      </c>
      <c r="F36" s="64" t="n">
        <f aca="false">IFERROR(INDEX('Bad Bins'!$K$3:$K$253,MATCH($A36,'Bad Bins'!$B$3:$B$253,0)),IFERROR(INDEX('Bad Bins'!$K$3:$K$253,MATCH(SUBSTITUTE($A36," SS","  SS"),'Bad Bins'!$B$3:$B$253,0)),"NA"))</f>
        <v>454</v>
      </c>
      <c r="G36" s="64" t="str">
        <f aca="false">IFERROR(INDEX('RSTO &gt; 48hrs'!$H$2:$H$134,MATCH($A36,'RSTO &gt; 48hrs'!$B$2:$B$134,0)),IFERROR(INDEX('RSTO &gt; 48hrs'!$H$2:$H$134,MATCH(SUBSTITUTE($A36," SS","  SS"),'RSTO &gt; 48hrs'!$B$2:$B$134,0)),"NA"))</f>
        <v>NA</v>
      </c>
      <c r="H36" s="64" t="str">
        <f aca="false">IFERROR(INDEX('Recirculation &gt; 24 hrs'!$K$3:$K$151,MATCH($A36,'Recirculation &gt; 24 hrs'!$B$3:$B$151,0)),IFERROR(INDEX('Recirculation &gt; 24 hrs'!$K$3:$K$151,MATCH(SUBSTITUTE($A36," SS","  SS"),'Recirculation &gt; 24 hrs'!$B$3:$B$151,0)),"NA"))</f>
        <v>NA</v>
      </c>
      <c r="I36" s="64" t="n">
        <f aca="false">IFERROR(INDEX('Pending Putaway'!$E$2:$E$1537,MATCH($A36,'Pending Putaway'!$B$2:$B$1537,0)),IFERROR(INDEX('Pending Putaway'!$E$2:$E$1537,MATCH(SUBSTITUTE($A36," SS","  SS"),'Pending Putaway'!$B$2:$B$1537,0)),"NA"))</f>
        <v>0</v>
      </c>
      <c r="J36" s="64" t="n">
        <f aca="false">IFERROR(INDEX('Pending Putaway'!$L$2:$L$1537,MATCH($A36,'Pending Putaway'!$B$2:$B$1537,0)),IFERROR(INDEX('Pending Putaway'!$L$2:$L$1537,MATCH(SUBSTITUTE($A36," SS","  SS"),'Pending Putaway'!$B$2:$B$1537,0)),"NA"))</f>
        <v>0</v>
      </c>
    </row>
    <row r="37" customFormat="false" ht="15" hidden="false" customHeight="false" outlineLevel="0" collapsed="false">
      <c r="A37" s="63" t="s">
        <v>134</v>
      </c>
      <c r="B37" s="63" t="str">
        <f aca="false">IFERROR(INDEX('CLM &amp; IM Mapping'!$B$2:$B$270,MATCH($A37,'CLM &amp; IM Mapping'!$A$2:$A$270,0)),"Not Mapped")</f>
        <v>Keshav G</v>
      </c>
      <c r="C37" s="63" t="str">
        <f aca="false">IFERROR(INDEX('CLM &amp; IM Mapping'!$C$2:$C$270,MATCH($A37,'CLM &amp; IM Mapping'!$A$2:$A$270,0)),"Not Mapped")</f>
        <v>Un Mapped</v>
      </c>
      <c r="D37" s="64" t="n">
        <f aca="false">IFERROR(INDEX(Shrinkage!$P$2:$P$260,MATCH($A37,Shrinkage!$D$2:$D$260,0)),IFERROR(INDEX(Shrinkage!$P$2:$P$260,MATCH(SUBSTITUTE($A37," SS","  SS"),Shrinkage!$D$2:$D$260,0)),"NA"))</f>
        <v>54150</v>
      </c>
      <c r="E37" s="65" t="n">
        <f aca="false">IFERROR(INDEX('Inventory Hygiene'!$I$3:$I$254,MATCH($A37,'Inventory Hygiene'!$B$3:$B$254,0)),IFERROR(INDEX('Inventory Hygiene'!$I$3:$I$254,MATCH(SUBSTITUTE($A37," SS","  SS"),'Inventory Hygiene'!$B$3:$B$254,0)),"NA"))</f>
        <v>0.25</v>
      </c>
      <c r="F37" s="64" t="n">
        <f aca="false">IFERROR(INDEX('Bad Bins'!$K$3:$K$253,MATCH($A37,'Bad Bins'!$B$3:$B$253,0)),IFERROR(INDEX('Bad Bins'!$K$3:$K$253,MATCH(SUBSTITUTE($A37," SS","  SS"),'Bad Bins'!$B$3:$B$253,0)),"NA"))</f>
        <v>219</v>
      </c>
      <c r="G37" s="64" t="str">
        <f aca="false">IFERROR(INDEX('RSTO &gt; 48hrs'!$H$2:$H$134,MATCH($A37,'RSTO &gt; 48hrs'!$B$2:$B$134,0)),IFERROR(INDEX('RSTO &gt; 48hrs'!$H$2:$H$134,MATCH(SUBSTITUTE($A37," SS","  SS"),'RSTO &gt; 48hrs'!$B$2:$B$134,0)),"NA"))</f>
        <v>NA</v>
      </c>
      <c r="H37" s="64" t="str">
        <f aca="false">IFERROR(INDEX('Recirculation &gt; 24 hrs'!$K$3:$K$151,MATCH($A37,'Recirculation &gt; 24 hrs'!$B$3:$B$151,0)),IFERROR(INDEX('Recirculation &gt; 24 hrs'!$K$3:$K$151,MATCH(SUBSTITUTE($A37," SS","  SS"),'Recirculation &gt; 24 hrs'!$B$3:$B$151,0)),"NA"))</f>
        <v>NA</v>
      </c>
      <c r="I37" s="64" t="n">
        <f aca="false">IFERROR(INDEX('Pending Putaway'!$E$2:$E$1537,MATCH($A37,'Pending Putaway'!$B$2:$B$1537,0)),IFERROR(INDEX('Pending Putaway'!$E$2:$E$1537,MATCH(SUBSTITUTE($A37," SS","  SS"),'Pending Putaway'!$B$2:$B$1537,0)),"NA"))</f>
        <v>3868</v>
      </c>
      <c r="J37" s="64" t="n">
        <f aca="false">IFERROR(INDEX('Pending Putaway'!$L$2:$L$1537,MATCH($A37,'Pending Putaway'!$B$2:$B$1537,0)),IFERROR(INDEX('Pending Putaway'!$L$2:$L$1537,MATCH(SUBSTITUTE($A37," SS","  SS"),'Pending Putaway'!$B$2:$B$1537,0)),"NA"))</f>
        <v>0</v>
      </c>
    </row>
    <row r="38" customFormat="false" ht="15" hidden="false" customHeight="false" outlineLevel="0" collapsed="false">
      <c r="A38" s="63" t="s">
        <v>164</v>
      </c>
      <c r="B38" s="63" t="str">
        <f aca="false">IFERROR(INDEX('CLM &amp; IM Mapping'!$B$2:$B$270,MATCH($A38,'CLM &amp; IM Mapping'!$A$2:$A$270,0)),"Not Mapped")</f>
        <v>Saddam Hussain</v>
      </c>
      <c r="C38" s="63" t="str">
        <f aca="false">IFERROR(INDEX('CLM &amp; IM Mapping'!$C$2:$C$270,MATCH($A38,'CLM &amp; IM Mapping'!$A$2:$A$270,0)),"Not Mapped")</f>
        <v>Un Mapped</v>
      </c>
      <c r="D38" s="64" t="n">
        <f aca="false">IFERROR(INDEX(Shrinkage!$P$2:$P$260,MATCH($A38,Shrinkage!$D$2:$D$260,0)),IFERROR(INDEX(Shrinkage!$P$2:$P$260,MATCH(SUBSTITUTE($A38," SS","  SS"),Shrinkage!$D$2:$D$260,0)),"NA"))</f>
        <v>-6850</v>
      </c>
      <c r="E38" s="65" t="n">
        <f aca="false">IFERROR(INDEX('Inventory Hygiene'!$I$3:$I$254,MATCH($A38,'Inventory Hygiene'!$B$3:$B$254,0)),IFERROR(INDEX('Inventory Hygiene'!$I$3:$I$254,MATCH(SUBSTITUTE($A38," SS","  SS"),'Inventory Hygiene'!$B$3:$B$254,0)),"NA"))</f>
        <v>0.95</v>
      </c>
      <c r="F38" s="64" t="n">
        <f aca="false">IFERROR(INDEX('Bad Bins'!$K$3:$K$253,MATCH($A38,'Bad Bins'!$B$3:$B$253,0)),IFERROR(INDEX('Bad Bins'!$K$3:$K$253,MATCH(SUBSTITUTE($A38," SS","  SS"),'Bad Bins'!$B$3:$B$253,0)),"NA"))</f>
        <v>17</v>
      </c>
      <c r="G38" s="64" t="str">
        <f aca="false">IFERROR(INDEX('RSTO &gt; 48hrs'!$H$2:$H$134,MATCH($A38,'RSTO &gt; 48hrs'!$B$2:$B$134,0)),IFERROR(INDEX('RSTO &gt; 48hrs'!$H$2:$H$134,MATCH(SUBSTITUTE($A38," SS","  SS"),'RSTO &gt; 48hrs'!$B$2:$B$134,0)),"NA"))</f>
        <v>NA</v>
      </c>
      <c r="H38" s="64" t="str">
        <f aca="false">IFERROR(INDEX('Recirculation &gt; 24 hrs'!$K$3:$K$151,MATCH($A38,'Recirculation &gt; 24 hrs'!$B$3:$B$151,0)),IFERROR(INDEX('Recirculation &gt; 24 hrs'!$K$3:$K$151,MATCH(SUBSTITUTE($A38," SS","  SS"),'Recirculation &gt; 24 hrs'!$B$3:$B$151,0)),"NA"))</f>
        <v>NA</v>
      </c>
      <c r="I38" s="64" t="n">
        <f aca="false">IFERROR(INDEX('Pending Putaway'!$E$2:$E$1537,MATCH($A38,'Pending Putaway'!$B$2:$B$1537,0)),IFERROR(INDEX('Pending Putaway'!$E$2:$E$1537,MATCH(SUBSTITUTE($A38," SS","  SS"),'Pending Putaway'!$B$2:$B$1537,0)),"NA"))</f>
        <v>0</v>
      </c>
      <c r="J38" s="64" t="n">
        <f aca="false">IFERROR(INDEX('Pending Putaway'!$L$2:$L$1537,MATCH($A38,'Pending Putaway'!$B$2:$B$1537,0)),IFERROR(INDEX('Pending Putaway'!$L$2:$L$1537,MATCH(SUBSTITUTE($A38," SS","  SS"),'Pending Putaway'!$B$2:$B$1537,0)),"NA"))</f>
        <v>0</v>
      </c>
    </row>
    <row r="39" customFormat="false" ht="15" hidden="false" customHeight="false" outlineLevel="0" collapsed="false">
      <c r="A39" s="63" t="s">
        <v>205</v>
      </c>
      <c r="B39" s="63" t="str">
        <f aca="false">IFERROR(INDEX('CLM &amp; IM Mapping'!$B$2:$B$270,MATCH($A39,'CLM &amp; IM Mapping'!$A$2:$A$270,0)),"Not Mapped")</f>
        <v>Saddam Hussain</v>
      </c>
      <c r="C39" s="63" t="str">
        <f aca="false">IFERROR(INDEX('CLM &amp; IM Mapping'!$C$2:$C$270,MATCH($A39,'CLM &amp; IM Mapping'!$A$2:$A$270,0)),"Not Mapped")</f>
        <v>Un Mapped</v>
      </c>
      <c r="D39" s="64" t="n">
        <f aca="false">IFERROR(INDEX(Shrinkage!$P$2:$P$260,MATCH($A39,Shrinkage!$D$2:$D$260,0)),IFERROR(INDEX(Shrinkage!$P$2:$P$260,MATCH(SUBSTITUTE($A39," SS","  SS"),Shrinkage!$D$2:$D$260,0)),"NA"))</f>
        <v>-44378</v>
      </c>
      <c r="E39" s="65" t="n">
        <f aca="false">IFERROR(INDEX('Inventory Hygiene'!$I$3:$I$254,MATCH($A39,'Inventory Hygiene'!$B$3:$B$254,0)),IFERROR(INDEX('Inventory Hygiene'!$I$3:$I$254,MATCH(SUBSTITUTE($A39," SS","  SS"),'Inventory Hygiene'!$B$3:$B$254,0)),"NA"))</f>
        <v>0.39</v>
      </c>
      <c r="F39" s="64" t="n">
        <f aca="false">IFERROR(INDEX('Bad Bins'!$K$3:$K$253,MATCH($A39,'Bad Bins'!$B$3:$B$253,0)),IFERROR(INDEX('Bad Bins'!$K$3:$K$253,MATCH(SUBSTITUTE($A39," SS","  SS"),'Bad Bins'!$B$3:$B$253,0)),"NA"))</f>
        <v>236</v>
      </c>
      <c r="G39" s="64" t="str">
        <f aca="false">IFERROR(INDEX('RSTO &gt; 48hrs'!$H$2:$H$134,MATCH($A39,'RSTO &gt; 48hrs'!$B$2:$B$134,0)),IFERROR(INDEX('RSTO &gt; 48hrs'!$H$2:$H$134,MATCH(SUBSTITUTE($A39," SS","  SS"),'RSTO &gt; 48hrs'!$B$2:$B$134,0)),"NA"))</f>
        <v>NA</v>
      </c>
      <c r="H39" s="64" t="str">
        <f aca="false">IFERROR(INDEX('Recirculation &gt; 24 hrs'!$K$3:$K$151,MATCH($A39,'Recirculation &gt; 24 hrs'!$B$3:$B$151,0)),IFERROR(INDEX('Recirculation &gt; 24 hrs'!$K$3:$K$151,MATCH(SUBSTITUTE($A39," SS","  SS"),'Recirculation &gt; 24 hrs'!$B$3:$B$151,0)),"NA"))</f>
        <v>NA</v>
      </c>
      <c r="I39" s="64" t="n">
        <f aca="false">IFERROR(INDEX('Pending Putaway'!$E$2:$E$1537,MATCH($A39,'Pending Putaway'!$B$2:$B$1537,0)),IFERROR(INDEX('Pending Putaway'!$E$2:$E$1537,MATCH(SUBSTITUTE($A39," SS","  SS"),'Pending Putaway'!$B$2:$B$1537,0)),"NA"))</f>
        <v>0</v>
      </c>
      <c r="J39" s="64" t="n">
        <f aca="false">IFERROR(INDEX('Pending Putaway'!$L$2:$L$1537,MATCH($A39,'Pending Putaway'!$B$2:$B$1537,0)),IFERROR(INDEX('Pending Putaway'!$L$2:$L$1537,MATCH(SUBSTITUTE($A39," SS","  SS"),'Pending Putaway'!$B$2:$B$1537,0)),"NA"))</f>
        <v>0</v>
      </c>
    </row>
    <row r="40" customFormat="false" ht="15" hidden="false" customHeight="false" outlineLevel="0" collapsed="false">
      <c r="A40" s="63" t="s">
        <v>123</v>
      </c>
      <c r="B40" s="63" t="str">
        <f aca="false">IFERROR(INDEX('CLM &amp; IM Mapping'!$B$2:$B$270,MATCH($A40,'CLM &amp; IM Mapping'!$A$2:$A$270,0)),"Not Mapped")</f>
        <v>Saddam Hussain</v>
      </c>
      <c r="C40" s="63" t="str">
        <f aca="false">IFERROR(INDEX('CLM &amp; IM Mapping'!$C$2:$C$270,MATCH($A40,'CLM &amp; IM Mapping'!$A$2:$A$270,0)),"Not Mapped")</f>
        <v>Un Mapped</v>
      </c>
      <c r="D40" s="64" t="n">
        <f aca="false">IFERROR(INDEX(Shrinkage!$P$2:$P$260,MATCH($A40,Shrinkage!$D$2:$D$260,0)),IFERROR(INDEX(Shrinkage!$P$2:$P$260,MATCH(SUBSTITUTE($A40," SS","  SS"),Shrinkage!$D$2:$D$260,0)),"NA"))</f>
        <v>1528</v>
      </c>
      <c r="E40" s="65" t="n">
        <f aca="false">IFERROR(INDEX('Inventory Hygiene'!$I$3:$I$254,MATCH($A40,'Inventory Hygiene'!$B$3:$B$254,0)),IFERROR(INDEX('Inventory Hygiene'!$I$3:$I$254,MATCH(SUBSTITUTE($A40," SS","  SS"),'Inventory Hygiene'!$B$3:$B$254,0)),"NA"))</f>
        <v>0.7</v>
      </c>
      <c r="F40" s="64" t="n">
        <f aca="false">IFERROR(INDEX('Bad Bins'!$K$3:$K$253,MATCH($A40,'Bad Bins'!$B$3:$B$253,0)),IFERROR(INDEX('Bad Bins'!$K$3:$K$253,MATCH(SUBSTITUTE($A40," SS","  SS"),'Bad Bins'!$B$3:$B$253,0)),"NA"))</f>
        <v>111</v>
      </c>
      <c r="G40" s="64" t="str">
        <f aca="false">IFERROR(INDEX('RSTO &gt; 48hrs'!$H$2:$H$134,MATCH($A40,'RSTO &gt; 48hrs'!$B$2:$B$134,0)),IFERROR(INDEX('RSTO &gt; 48hrs'!$H$2:$H$134,MATCH(SUBSTITUTE($A40," SS","  SS"),'RSTO &gt; 48hrs'!$B$2:$B$134,0)),"NA"))</f>
        <v>NA</v>
      </c>
      <c r="H40" s="64" t="str">
        <f aca="false">IFERROR(INDEX('Recirculation &gt; 24 hrs'!$K$3:$K$151,MATCH($A40,'Recirculation &gt; 24 hrs'!$B$3:$B$151,0)),IFERROR(INDEX('Recirculation &gt; 24 hrs'!$K$3:$K$151,MATCH(SUBSTITUTE($A40," SS","  SS"),'Recirculation &gt; 24 hrs'!$B$3:$B$151,0)),"NA"))</f>
        <v>NA</v>
      </c>
      <c r="I40" s="64" t="n">
        <f aca="false">IFERROR(INDEX('Pending Putaway'!$E$2:$E$1537,MATCH($A40,'Pending Putaway'!$B$2:$B$1537,0)),IFERROR(INDEX('Pending Putaway'!$E$2:$E$1537,MATCH(SUBSTITUTE($A40," SS","  SS"),'Pending Putaway'!$B$2:$B$1537,0)),"NA"))</f>
        <v>1848</v>
      </c>
      <c r="J40" s="64" t="n">
        <f aca="false">IFERROR(INDEX('Pending Putaway'!$L$2:$L$1537,MATCH($A40,'Pending Putaway'!$B$2:$B$1537,0)),IFERROR(INDEX('Pending Putaway'!$L$2:$L$1537,MATCH(SUBSTITUTE($A40," SS","  SS"),'Pending Putaway'!$B$2:$B$1537,0)),"NA"))</f>
        <v>0</v>
      </c>
    </row>
    <row r="41" customFormat="false" ht="15" hidden="false" customHeight="false" outlineLevel="0" collapsed="false">
      <c r="A41" s="63" t="s">
        <v>17</v>
      </c>
      <c r="B41" s="63" t="str">
        <f aca="false">IFERROR(INDEX('CLM &amp; IM Mapping'!$B$2:$B$270,MATCH($A41,'CLM &amp; IM Mapping'!$A$2:$A$270,0)),"Not Mapped")</f>
        <v>Saddam Hussain</v>
      </c>
      <c r="C41" s="63" t="str">
        <f aca="false">IFERROR(INDEX('CLM &amp; IM Mapping'!$C$2:$C$270,MATCH($A41,'CLM &amp; IM Mapping'!$A$2:$A$270,0)),"Not Mapped")</f>
        <v>Un Mapped</v>
      </c>
      <c r="D41" s="64" t="n">
        <f aca="false">IFERROR(INDEX(Shrinkage!$P$2:$P$260,MATCH($A41,Shrinkage!$D$2:$D$260,0)),IFERROR(INDEX(Shrinkage!$P$2:$P$260,MATCH(SUBSTITUTE($A41," SS","  SS"),Shrinkage!$D$2:$D$260,0)),"NA"))</f>
        <v>-19395</v>
      </c>
      <c r="E41" s="65" t="n">
        <f aca="false">IFERROR(INDEX('Inventory Hygiene'!$I$3:$I$254,MATCH($A41,'Inventory Hygiene'!$B$3:$B$254,0)),IFERROR(INDEX('Inventory Hygiene'!$I$3:$I$254,MATCH(SUBSTITUTE($A41," SS","  SS"),'Inventory Hygiene'!$B$3:$B$254,0)),"NA"))</f>
        <v>0.71</v>
      </c>
      <c r="F41" s="64" t="n">
        <f aca="false">IFERROR(INDEX('Bad Bins'!$K$3:$K$253,MATCH($A41,'Bad Bins'!$B$3:$B$253,0)),IFERROR(INDEX('Bad Bins'!$K$3:$K$253,MATCH(SUBSTITUTE($A41," SS","  SS"),'Bad Bins'!$B$3:$B$253,0)),"NA"))</f>
        <v>224</v>
      </c>
      <c r="G41" s="64" t="n">
        <f aca="false">IFERROR(INDEX('RSTO &gt; 48hrs'!$H$2:$H$134,MATCH($A41,'RSTO &gt; 48hrs'!$B$2:$B$134,0)),IFERROR(INDEX('RSTO &gt; 48hrs'!$H$2:$H$134,MATCH(SUBSTITUTE($A41," SS","  SS"),'RSTO &gt; 48hrs'!$B$2:$B$134,0)),"NA"))</f>
        <v>6</v>
      </c>
      <c r="H41" s="64" t="n">
        <f aca="false">IFERROR(INDEX('Recirculation &gt; 24 hrs'!$K$3:$K$151,MATCH($A41,'Recirculation &gt; 24 hrs'!$B$3:$B$151,0)),IFERROR(INDEX('Recirculation &gt; 24 hrs'!$K$3:$K$151,MATCH(SUBSTITUTE($A41," SS","  SS"),'Recirculation &gt; 24 hrs'!$B$3:$B$151,0)),"NA"))</f>
        <v>42</v>
      </c>
      <c r="I41" s="64" t="n">
        <f aca="false">IFERROR(INDEX('Pending Putaway'!$E$2:$E$1537,MATCH($A41,'Pending Putaway'!$B$2:$B$1537,0)),IFERROR(INDEX('Pending Putaway'!$E$2:$E$1537,MATCH(SUBSTITUTE($A41," SS","  SS"),'Pending Putaway'!$B$2:$B$1537,0)),"NA"))</f>
        <v>3327</v>
      </c>
      <c r="J41" s="64" t="n">
        <f aca="false">IFERROR(INDEX('Pending Putaway'!$L$2:$L$1537,MATCH($A41,'Pending Putaway'!$B$2:$B$1537,0)),IFERROR(INDEX('Pending Putaway'!$L$2:$L$1537,MATCH(SUBSTITUTE($A41," SS","  SS"),'Pending Putaway'!$B$2:$B$1537,0)),"NA"))</f>
        <v>5</v>
      </c>
    </row>
    <row r="42" customFormat="false" ht="15" hidden="false" customHeight="false" outlineLevel="0" collapsed="false">
      <c r="A42" s="63" t="s">
        <v>117</v>
      </c>
      <c r="B42" s="63" t="str">
        <f aca="false">IFERROR(INDEX('CLM &amp; IM Mapping'!$B$2:$B$270,MATCH($A42,'CLM &amp; IM Mapping'!$A$2:$A$270,0)),"Not Mapped")</f>
        <v>Saddam Hussain</v>
      </c>
      <c r="C42" s="63" t="str">
        <f aca="false">IFERROR(INDEX('CLM &amp; IM Mapping'!$C$2:$C$270,MATCH($A42,'CLM &amp; IM Mapping'!$A$2:$A$270,0)),"Not Mapped")</f>
        <v>Un Mapped</v>
      </c>
      <c r="D42" s="64" t="n">
        <f aca="false">IFERROR(INDEX(Shrinkage!$P$2:$P$260,MATCH($A42,Shrinkage!$D$2:$D$260,0)),IFERROR(INDEX(Shrinkage!$P$2:$P$260,MATCH(SUBSTITUTE($A42," SS","  SS"),Shrinkage!$D$2:$D$260,0)),"NA"))</f>
        <v>54093</v>
      </c>
      <c r="E42" s="65" t="n">
        <f aca="false">IFERROR(INDEX('Inventory Hygiene'!$I$3:$I$254,MATCH($A42,'Inventory Hygiene'!$B$3:$B$254,0)),IFERROR(INDEX('Inventory Hygiene'!$I$3:$I$254,MATCH(SUBSTITUTE($A42," SS","  SS"),'Inventory Hygiene'!$B$3:$B$254,0)),"NA"))</f>
        <v>0.23</v>
      </c>
      <c r="F42" s="64" t="n">
        <f aca="false">IFERROR(INDEX('Bad Bins'!$K$3:$K$253,MATCH($A42,'Bad Bins'!$B$3:$B$253,0)),IFERROR(INDEX('Bad Bins'!$K$3:$K$253,MATCH(SUBSTITUTE($A42," SS","  SS"),'Bad Bins'!$B$3:$B$253,0)),"NA"))</f>
        <v>577</v>
      </c>
      <c r="G42" s="64" t="str">
        <f aca="false">IFERROR(INDEX('RSTO &gt; 48hrs'!$H$2:$H$134,MATCH($A42,'RSTO &gt; 48hrs'!$B$2:$B$134,0)),IFERROR(INDEX('RSTO &gt; 48hrs'!$H$2:$H$134,MATCH(SUBSTITUTE($A42," SS","  SS"),'RSTO &gt; 48hrs'!$B$2:$B$134,0)),"NA"))</f>
        <v>NA</v>
      </c>
      <c r="H42" s="64" t="n">
        <f aca="false">IFERROR(INDEX('Recirculation &gt; 24 hrs'!$K$3:$K$151,MATCH($A42,'Recirculation &gt; 24 hrs'!$B$3:$B$151,0)),IFERROR(INDEX('Recirculation &gt; 24 hrs'!$K$3:$K$151,MATCH(SUBSTITUTE($A42," SS","  SS"),'Recirculation &gt; 24 hrs'!$B$3:$B$151,0)),"NA"))</f>
        <v>1496</v>
      </c>
      <c r="I42" s="64" t="n">
        <f aca="false">IFERROR(INDEX('Pending Putaway'!$E$2:$E$1537,MATCH($A42,'Pending Putaway'!$B$2:$B$1537,0)),IFERROR(INDEX('Pending Putaway'!$E$2:$E$1537,MATCH(SUBSTITUTE($A42," SS","  SS"),'Pending Putaway'!$B$2:$B$1537,0)),"NA"))</f>
        <v>3</v>
      </c>
      <c r="J42" s="64" t="n">
        <f aca="false">IFERROR(INDEX('Pending Putaway'!$L$2:$L$1537,MATCH($A42,'Pending Putaway'!$B$2:$B$1537,0)),IFERROR(INDEX('Pending Putaway'!$L$2:$L$1537,MATCH(SUBSTITUTE($A42," SS","  SS"),'Pending Putaway'!$B$2:$B$1537,0)),"NA"))</f>
        <v>3</v>
      </c>
    </row>
    <row r="43" customFormat="false" ht="15" hidden="false" customHeight="false" outlineLevel="0" collapsed="false">
      <c r="A43" s="63" t="s">
        <v>38</v>
      </c>
      <c r="B43" s="63" t="str">
        <f aca="false">IFERROR(INDEX('CLM &amp; IM Mapping'!$B$2:$B$270,MATCH($A43,'CLM &amp; IM Mapping'!$A$2:$A$270,0)),"Not Mapped")</f>
        <v>Saddam Hussain</v>
      </c>
      <c r="C43" s="63" t="str">
        <f aca="false">IFERROR(INDEX('CLM &amp; IM Mapping'!$C$2:$C$270,MATCH($A43,'CLM &amp; IM Mapping'!$A$2:$A$270,0)),"Not Mapped")</f>
        <v>Un Mapped</v>
      </c>
      <c r="D43" s="64" t="n">
        <f aca="false">IFERROR(INDEX(Shrinkage!$P$2:$P$260,MATCH($A43,Shrinkage!$D$2:$D$260,0)),IFERROR(INDEX(Shrinkage!$P$2:$P$260,MATCH(SUBSTITUTE($A43," SS","  SS"),Shrinkage!$D$2:$D$260,0)),"NA"))</f>
        <v>39440</v>
      </c>
      <c r="E43" s="65" t="n">
        <f aca="false">IFERROR(INDEX('Inventory Hygiene'!$I$3:$I$254,MATCH($A43,'Inventory Hygiene'!$B$3:$B$254,0)),IFERROR(INDEX('Inventory Hygiene'!$I$3:$I$254,MATCH(SUBSTITUTE($A43," SS","  SS"),'Inventory Hygiene'!$B$3:$B$254,0)),"NA"))</f>
        <v>0.32</v>
      </c>
      <c r="F43" s="64" t="n">
        <f aca="false">IFERROR(INDEX('Bad Bins'!$K$3:$K$253,MATCH($A43,'Bad Bins'!$B$3:$B$253,0)),IFERROR(INDEX('Bad Bins'!$K$3:$K$253,MATCH(SUBSTITUTE($A43," SS","  SS"),'Bad Bins'!$B$3:$B$253,0)),"NA"))</f>
        <v>94</v>
      </c>
      <c r="G43" s="64" t="n">
        <f aca="false">IFERROR(INDEX('RSTO &gt; 48hrs'!$H$2:$H$134,MATCH($A43,'RSTO &gt; 48hrs'!$B$2:$B$134,0)),IFERROR(INDEX('RSTO &gt; 48hrs'!$H$2:$H$134,MATCH(SUBSTITUTE($A43," SS","  SS"),'RSTO &gt; 48hrs'!$B$2:$B$134,0)),"NA"))</f>
        <v>3</v>
      </c>
      <c r="H43" s="64" t="str">
        <f aca="false">IFERROR(INDEX('Recirculation &gt; 24 hrs'!$K$3:$K$151,MATCH($A43,'Recirculation &gt; 24 hrs'!$B$3:$B$151,0)),IFERROR(INDEX('Recirculation &gt; 24 hrs'!$K$3:$K$151,MATCH(SUBSTITUTE($A43," SS","  SS"),'Recirculation &gt; 24 hrs'!$B$3:$B$151,0)),"NA"))</f>
        <v>NA</v>
      </c>
      <c r="I43" s="64" t="n">
        <f aca="false">IFERROR(INDEX('Pending Putaway'!$E$2:$E$1537,MATCH($A43,'Pending Putaway'!$B$2:$B$1537,0)),IFERROR(INDEX('Pending Putaway'!$E$2:$E$1537,MATCH(SUBSTITUTE($A43," SS","  SS"),'Pending Putaway'!$B$2:$B$1537,0)),"NA"))</f>
        <v>677</v>
      </c>
      <c r="J43" s="64" t="n">
        <f aca="false">IFERROR(INDEX('Pending Putaway'!$L$2:$L$1537,MATCH($A43,'Pending Putaway'!$B$2:$B$1537,0)),IFERROR(INDEX('Pending Putaway'!$L$2:$L$1537,MATCH(SUBSTITUTE($A43," SS","  SS"),'Pending Putaway'!$B$2:$B$1537,0)),"NA"))</f>
        <v>0</v>
      </c>
    </row>
    <row r="44" customFormat="false" ht="15" hidden="false" customHeight="false" outlineLevel="0" collapsed="false">
      <c r="A44" s="63" t="s">
        <v>102</v>
      </c>
      <c r="B44" s="63" t="str">
        <f aca="false">IFERROR(INDEX('CLM &amp; IM Mapping'!$B$2:$B$270,MATCH($A44,'CLM &amp; IM Mapping'!$A$2:$A$270,0)),"Not Mapped")</f>
        <v>Saddam Hussain</v>
      </c>
      <c r="C44" s="63" t="str">
        <f aca="false">IFERROR(INDEX('CLM &amp; IM Mapping'!$C$2:$C$270,MATCH($A44,'CLM &amp; IM Mapping'!$A$2:$A$270,0)),"Not Mapped")</f>
        <v>Un Mapped</v>
      </c>
      <c r="D44" s="64" t="n">
        <f aca="false">IFERROR(INDEX(Shrinkage!$P$2:$P$260,MATCH($A44,Shrinkage!$D$2:$D$260,0)),IFERROR(INDEX(Shrinkage!$P$2:$P$260,MATCH(SUBSTITUTE($A44," SS","  SS"),Shrinkage!$D$2:$D$260,0)),"NA"))</f>
        <v>-1062</v>
      </c>
      <c r="E44" s="65" t="n">
        <f aca="false">IFERROR(INDEX('Inventory Hygiene'!$I$3:$I$254,MATCH($A44,'Inventory Hygiene'!$B$3:$B$254,0)),IFERROR(INDEX('Inventory Hygiene'!$I$3:$I$254,MATCH(SUBSTITUTE($A44," SS","  SS"),'Inventory Hygiene'!$B$3:$B$254,0)),"NA"))</f>
        <v>0.64</v>
      </c>
      <c r="F44" s="64" t="n">
        <f aca="false">IFERROR(INDEX('Bad Bins'!$K$3:$K$253,MATCH($A44,'Bad Bins'!$B$3:$B$253,0)),IFERROR(INDEX('Bad Bins'!$K$3:$K$253,MATCH(SUBSTITUTE($A44," SS","  SS"),'Bad Bins'!$B$3:$B$253,0)),"NA"))</f>
        <v>304</v>
      </c>
      <c r="G44" s="64" t="str">
        <f aca="false">IFERROR(INDEX('RSTO &gt; 48hrs'!$H$2:$H$134,MATCH($A44,'RSTO &gt; 48hrs'!$B$2:$B$134,0)),IFERROR(INDEX('RSTO &gt; 48hrs'!$H$2:$H$134,MATCH(SUBSTITUTE($A44," SS","  SS"),'RSTO &gt; 48hrs'!$B$2:$B$134,0)),"NA"))</f>
        <v>NA</v>
      </c>
      <c r="H44" s="64" t="str">
        <f aca="false">IFERROR(INDEX('Recirculation &gt; 24 hrs'!$K$3:$K$151,MATCH($A44,'Recirculation &gt; 24 hrs'!$B$3:$B$151,0)),IFERROR(INDEX('Recirculation &gt; 24 hrs'!$K$3:$K$151,MATCH(SUBSTITUTE($A44," SS","  SS"),'Recirculation &gt; 24 hrs'!$B$3:$B$151,0)),"NA"))</f>
        <v>NA</v>
      </c>
      <c r="I44" s="64" t="n">
        <f aca="false">IFERROR(INDEX('Pending Putaway'!$E$2:$E$1537,MATCH($A44,'Pending Putaway'!$B$2:$B$1537,0)),IFERROR(INDEX('Pending Putaway'!$E$2:$E$1537,MATCH(SUBSTITUTE($A44," SS","  SS"),'Pending Putaway'!$B$2:$B$1537,0)),"NA"))</f>
        <v>374</v>
      </c>
      <c r="J44" s="64" t="n">
        <f aca="false">IFERROR(INDEX('Pending Putaway'!$L$2:$L$1537,MATCH($A44,'Pending Putaway'!$B$2:$B$1537,0)),IFERROR(INDEX('Pending Putaway'!$L$2:$L$1537,MATCH(SUBSTITUTE($A44," SS","  SS"),'Pending Putaway'!$B$2:$B$1537,0)),"NA"))</f>
        <v>0</v>
      </c>
    </row>
    <row r="45" customFormat="false" ht="15" hidden="false" customHeight="false" outlineLevel="0" collapsed="false">
      <c r="A45" s="63" t="s">
        <v>222</v>
      </c>
      <c r="B45" s="63" t="str">
        <f aca="false">IFERROR(INDEX('CLM &amp; IM Mapping'!$B$2:$B$270,MATCH($A45,'CLM &amp; IM Mapping'!$A$2:$A$270,0)),"Not Mapped")</f>
        <v>Sundaresh S</v>
      </c>
      <c r="C45" s="63" t="str">
        <f aca="false">IFERROR(INDEX('CLM &amp; IM Mapping'!$C$2:$C$270,MATCH($A45,'CLM &amp; IM Mapping'!$A$2:$A$270,0)),"Not Mapped")</f>
        <v>Un Mapped</v>
      </c>
      <c r="D45" s="64" t="n">
        <f aca="false">IFERROR(INDEX(Shrinkage!$P$2:$P$260,MATCH($A45,Shrinkage!$D$2:$D$260,0)),IFERROR(INDEX(Shrinkage!$P$2:$P$260,MATCH(SUBSTITUTE($A45," SS","  SS"),Shrinkage!$D$2:$D$260,0)),"NA"))</f>
        <v>7336</v>
      </c>
      <c r="E45" s="65" t="n">
        <f aca="false">IFERROR(INDEX('Inventory Hygiene'!$I$3:$I$254,MATCH($A45,'Inventory Hygiene'!$B$3:$B$254,0)),IFERROR(INDEX('Inventory Hygiene'!$I$3:$I$254,MATCH(SUBSTITUTE($A45," SS","  SS"),'Inventory Hygiene'!$B$3:$B$254,0)),"NA"))</f>
        <v>0.82</v>
      </c>
      <c r="F45" s="64" t="n">
        <f aca="false">IFERROR(INDEX('Bad Bins'!$K$3:$K$253,MATCH($A45,'Bad Bins'!$B$3:$B$253,0)),IFERROR(INDEX('Bad Bins'!$K$3:$K$253,MATCH(SUBSTITUTE($A45," SS","  SS"),'Bad Bins'!$B$3:$B$253,0)),"NA"))</f>
        <v>109</v>
      </c>
      <c r="G45" s="64" t="str">
        <f aca="false">IFERROR(INDEX('RSTO &gt; 48hrs'!$H$2:$H$134,MATCH($A45,'RSTO &gt; 48hrs'!$B$2:$B$134,0)),IFERROR(INDEX('RSTO &gt; 48hrs'!$H$2:$H$134,MATCH(SUBSTITUTE($A45," SS","  SS"),'RSTO &gt; 48hrs'!$B$2:$B$134,0)),"NA"))</f>
        <v>NA</v>
      </c>
      <c r="H45" s="64" t="n">
        <f aca="false">IFERROR(INDEX('Recirculation &gt; 24 hrs'!$K$3:$K$151,MATCH($A45,'Recirculation &gt; 24 hrs'!$B$3:$B$151,0)),IFERROR(INDEX('Recirculation &gt; 24 hrs'!$K$3:$K$151,MATCH(SUBSTITUTE($A45," SS","  SS"),'Recirculation &gt; 24 hrs'!$B$3:$B$151,0)),"NA"))</f>
        <v>2</v>
      </c>
      <c r="I45" s="64" t="n">
        <f aca="false">IFERROR(INDEX('Pending Putaway'!$E$2:$E$1537,MATCH($A45,'Pending Putaway'!$B$2:$B$1537,0)),IFERROR(INDEX('Pending Putaway'!$E$2:$E$1537,MATCH(SUBSTITUTE($A45," SS","  SS"),'Pending Putaway'!$B$2:$B$1537,0)),"NA"))</f>
        <v>3516</v>
      </c>
      <c r="J45" s="64" t="n">
        <f aca="false">IFERROR(INDEX('Pending Putaway'!$L$2:$L$1537,MATCH($A45,'Pending Putaway'!$B$2:$B$1537,0)),IFERROR(INDEX('Pending Putaway'!$L$2:$L$1537,MATCH(SUBSTITUTE($A45," SS","  SS"),'Pending Putaway'!$B$2:$B$1537,0)),"NA"))</f>
        <v>21</v>
      </c>
    </row>
    <row r="46" customFormat="false" ht="15" hidden="false" customHeight="false" outlineLevel="0" collapsed="false">
      <c r="A46" s="63" t="s">
        <v>125</v>
      </c>
      <c r="B46" s="63" t="str">
        <f aca="false">IFERROR(INDEX('CLM &amp; IM Mapping'!$B$2:$B$270,MATCH($A46,'CLM &amp; IM Mapping'!$A$2:$A$270,0)),"Not Mapped")</f>
        <v>Sundaresh S</v>
      </c>
      <c r="C46" s="63" t="str">
        <f aca="false">IFERROR(INDEX('CLM &amp; IM Mapping'!$C$2:$C$270,MATCH($A46,'CLM &amp; IM Mapping'!$A$2:$A$270,0)),"Not Mapped")</f>
        <v>Un Mapped</v>
      </c>
      <c r="D46" s="64" t="n">
        <f aca="false">IFERROR(INDEX(Shrinkage!$P$2:$P$260,MATCH($A46,Shrinkage!$D$2:$D$260,0)),IFERROR(INDEX(Shrinkage!$P$2:$P$260,MATCH(SUBSTITUTE($A46," SS","  SS"),Shrinkage!$D$2:$D$260,0)),"NA"))</f>
        <v>42783</v>
      </c>
      <c r="E46" s="65" t="n">
        <f aca="false">IFERROR(INDEX('Inventory Hygiene'!$I$3:$I$254,MATCH($A46,'Inventory Hygiene'!$B$3:$B$254,0)),IFERROR(INDEX('Inventory Hygiene'!$I$3:$I$254,MATCH(SUBSTITUTE($A46," SS","  SS"),'Inventory Hygiene'!$B$3:$B$254,0)),"NA"))</f>
        <v>0.29</v>
      </c>
      <c r="F46" s="64" t="n">
        <f aca="false">IFERROR(INDEX('Bad Bins'!$K$3:$K$253,MATCH($A46,'Bad Bins'!$B$3:$B$253,0)),IFERROR(INDEX('Bad Bins'!$K$3:$K$253,MATCH(SUBSTITUTE($A46," SS","  SS"),'Bad Bins'!$B$3:$B$253,0)),"NA"))</f>
        <v>401</v>
      </c>
      <c r="G46" s="64" t="n">
        <f aca="false">IFERROR(INDEX('RSTO &gt; 48hrs'!$H$2:$H$134,MATCH($A46,'RSTO &gt; 48hrs'!$B$2:$B$134,0)),IFERROR(INDEX('RSTO &gt; 48hrs'!$H$2:$H$134,MATCH(SUBSTITUTE($A46," SS","  SS"),'RSTO &gt; 48hrs'!$B$2:$B$134,0)),"NA"))</f>
        <v>13</v>
      </c>
      <c r="H46" s="64" t="str">
        <f aca="false">IFERROR(INDEX('Recirculation &gt; 24 hrs'!$K$3:$K$151,MATCH($A46,'Recirculation &gt; 24 hrs'!$B$3:$B$151,0)),IFERROR(INDEX('Recirculation &gt; 24 hrs'!$K$3:$K$151,MATCH(SUBSTITUTE($A46," SS","  SS"),'Recirculation &gt; 24 hrs'!$B$3:$B$151,0)),"NA"))</f>
        <v>NA</v>
      </c>
      <c r="I46" s="64" t="n">
        <f aca="false">IFERROR(INDEX('Pending Putaway'!$E$2:$E$1537,MATCH($A46,'Pending Putaway'!$B$2:$B$1537,0)),IFERROR(INDEX('Pending Putaway'!$E$2:$E$1537,MATCH(SUBSTITUTE($A46," SS","  SS"),'Pending Putaway'!$B$2:$B$1537,0)),"NA"))</f>
        <v>5704</v>
      </c>
      <c r="J46" s="64" t="n">
        <f aca="false">IFERROR(INDEX('Pending Putaway'!$L$2:$L$1537,MATCH($A46,'Pending Putaway'!$B$2:$B$1537,0)),IFERROR(INDEX('Pending Putaway'!$L$2:$L$1537,MATCH(SUBSTITUTE($A46," SS","  SS"),'Pending Putaway'!$B$2:$B$1537,0)),"NA"))</f>
        <v>0</v>
      </c>
    </row>
    <row r="47" customFormat="false" ht="15" hidden="false" customHeight="false" outlineLevel="0" collapsed="false">
      <c r="A47" s="63" t="s">
        <v>248</v>
      </c>
      <c r="B47" s="63" t="str">
        <f aca="false">IFERROR(INDEX('CLM &amp; IM Mapping'!$B$2:$B$270,MATCH($A47,'CLM &amp; IM Mapping'!$A$2:$A$270,0)),"Not Mapped")</f>
        <v>Sundaresh S</v>
      </c>
      <c r="C47" s="63" t="str">
        <f aca="false">IFERROR(INDEX('CLM &amp; IM Mapping'!$C$2:$C$270,MATCH($A47,'CLM &amp; IM Mapping'!$A$2:$A$270,0)),"Not Mapped")</f>
        <v>Un Mapped</v>
      </c>
      <c r="D47" s="64" t="n">
        <f aca="false">IFERROR(INDEX(Shrinkage!$P$2:$P$260,MATCH($A47,Shrinkage!$D$2:$D$260,0)),IFERROR(INDEX(Shrinkage!$P$2:$P$260,MATCH(SUBSTITUTE($A47," SS","  SS"),Shrinkage!$D$2:$D$260,0)),"NA"))</f>
        <v>-11330</v>
      </c>
      <c r="E47" s="65" t="n">
        <f aca="false">IFERROR(INDEX('Inventory Hygiene'!$I$3:$I$254,MATCH($A47,'Inventory Hygiene'!$B$3:$B$254,0)),IFERROR(INDEX('Inventory Hygiene'!$I$3:$I$254,MATCH(SUBSTITUTE($A47," SS","  SS"),'Inventory Hygiene'!$B$3:$B$254,0)),"NA"))</f>
        <v>0.36</v>
      </c>
      <c r="F47" s="64" t="n">
        <f aca="false">IFERROR(INDEX('Bad Bins'!$K$3:$K$253,MATCH($A47,'Bad Bins'!$B$3:$B$253,0)),IFERROR(INDEX('Bad Bins'!$K$3:$K$253,MATCH(SUBSTITUTE($A47," SS","  SS"),'Bad Bins'!$B$3:$B$253,0)),"NA"))</f>
        <v>197</v>
      </c>
      <c r="G47" s="64" t="n">
        <f aca="false">IFERROR(INDEX('RSTO &gt; 48hrs'!$H$2:$H$134,MATCH($A47,'RSTO &gt; 48hrs'!$B$2:$B$134,0)),IFERROR(INDEX('RSTO &gt; 48hrs'!$H$2:$H$134,MATCH(SUBSTITUTE($A47," SS","  SS"),'RSTO &gt; 48hrs'!$B$2:$B$134,0)),"NA"))</f>
        <v>127</v>
      </c>
      <c r="H47" s="64" t="n">
        <f aca="false">IFERROR(INDEX('Recirculation &gt; 24 hrs'!$K$3:$K$151,MATCH($A47,'Recirculation &gt; 24 hrs'!$B$3:$B$151,0)),IFERROR(INDEX('Recirculation &gt; 24 hrs'!$K$3:$K$151,MATCH(SUBSTITUTE($A47," SS","  SS"),'Recirculation &gt; 24 hrs'!$B$3:$B$151,0)),"NA"))</f>
        <v>5</v>
      </c>
      <c r="I47" s="64" t="n">
        <f aca="false">IFERROR(INDEX('Pending Putaway'!$E$2:$E$1537,MATCH($A47,'Pending Putaway'!$B$2:$B$1537,0)),IFERROR(INDEX('Pending Putaway'!$E$2:$E$1537,MATCH(SUBSTITUTE($A47," SS","  SS"),'Pending Putaway'!$B$2:$B$1537,0)),"NA"))</f>
        <v>2985</v>
      </c>
      <c r="J47" s="64" t="n">
        <f aca="false">IFERROR(INDEX('Pending Putaway'!$L$2:$L$1537,MATCH($A47,'Pending Putaway'!$B$2:$B$1537,0)),IFERROR(INDEX('Pending Putaway'!$L$2:$L$1537,MATCH(SUBSTITUTE($A47," SS","  SS"),'Pending Putaway'!$B$2:$B$1537,0)),"NA"))</f>
        <v>199</v>
      </c>
    </row>
    <row r="48" customFormat="false" ht="15" hidden="false" customHeight="false" outlineLevel="0" collapsed="false">
      <c r="A48" s="63" t="s">
        <v>181</v>
      </c>
      <c r="B48" s="63" t="str">
        <f aca="false">IFERROR(INDEX('CLM &amp; IM Mapping'!$B$2:$B$270,MATCH($A48,'CLM &amp; IM Mapping'!$A$2:$A$270,0)),"Not Mapped")</f>
        <v>Sundaresh S</v>
      </c>
      <c r="C48" s="63" t="str">
        <f aca="false">IFERROR(INDEX('CLM &amp; IM Mapping'!$C$2:$C$270,MATCH($A48,'CLM &amp; IM Mapping'!$A$2:$A$270,0)),"Not Mapped")</f>
        <v>Un Mapped</v>
      </c>
      <c r="D48" s="64" t="n">
        <f aca="false">IFERROR(INDEX(Shrinkage!$P$2:$P$260,MATCH($A48,Shrinkage!$D$2:$D$260,0)),IFERROR(INDEX(Shrinkage!$P$2:$P$260,MATCH(SUBSTITUTE($A48," SS","  SS"),Shrinkage!$D$2:$D$260,0)),"NA"))</f>
        <v>-31262</v>
      </c>
      <c r="E48" s="65" t="n">
        <f aca="false">IFERROR(INDEX('Inventory Hygiene'!$I$3:$I$254,MATCH($A48,'Inventory Hygiene'!$B$3:$B$254,0)),IFERROR(INDEX('Inventory Hygiene'!$I$3:$I$254,MATCH(SUBSTITUTE($A48," SS","  SS"),'Inventory Hygiene'!$B$3:$B$254,0)),"NA"))</f>
        <v>0.36</v>
      </c>
      <c r="F48" s="64" t="n">
        <f aca="false">IFERROR(INDEX('Bad Bins'!$K$3:$K$253,MATCH($A48,'Bad Bins'!$B$3:$B$253,0)),IFERROR(INDEX('Bad Bins'!$K$3:$K$253,MATCH(SUBSTITUTE($A48," SS","  SS"),'Bad Bins'!$B$3:$B$253,0)),"NA"))</f>
        <v>158</v>
      </c>
      <c r="G48" s="64" t="str">
        <f aca="false">IFERROR(INDEX('RSTO &gt; 48hrs'!$H$2:$H$134,MATCH($A48,'RSTO &gt; 48hrs'!$B$2:$B$134,0)),IFERROR(INDEX('RSTO &gt; 48hrs'!$H$2:$H$134,MATCH(SUBSTITUTE($A48," SS","  SS"),'RSTO &gt; 48hrs'!$B$2:$B$134,0)),"NA"))</f>
        <v>NA</v>
      </c>
      <c r="H48" s="64" t="str">
        <f aca="false">IFERROR(INDEX('Recirculation &gt; 24 hrs'!$K$3:$K$151,MATCH($A48,'Recirculation &gt; 24 hrs'!$B$3:$B$151,0)),IFERROR(INDEX('Recirculation &gt; 24 hrs'!$K$3:$K$151,MATCH(SUBSTITUTE($A48," SS","  SS"),'Recirculation &gt; 24 hrs'!$B$3:$B$151,0)),"NA"))</f>
        <v>NA</v>
      </c>
      <c r="I48" s="64" t="n">
        <f aca="false">IFERROR(INDEX('Pending Putaway'!$E$2:$E$1537,MATCH($A48,'Pending Putaway'!$B$2:$B$1537,0)),IFERROR(INDEX('Pending Putaway'!$E$2:$E$1537,MATCH(SUBSTITUTE($A48," SS","  SS"),'Pending Putaway'!$B$2:$B$1537,0)),"NA"))</f>
        <v>2148</v>
      </c>
      <c r="J48" s="64" t="n">
        <f aca="false">IFERROR(INDEX('Pending Putaway'!$L$2:$L$1537,MATCH($A48,'Pending Putaway'!$B$2:$B$1537,0)),IFERROR(INDEX('Pending Putaway'!$L$2:$L$1537,MATCH(SUBSTITUTE($A48," SS","  SS"),'Pending Putaway'!$B$2:$B$1537,0)),"NA"))</f>
        <v>2148</v>
      </c>
    </row>
    <row r="49" customFormat="false" ht="15" hidden="false" customHeight="false" outlineLevel="0" collapsed="false">
      <c r="A49" s="63" t="s">
        <v>200</v>
      </c>
      <c r="B49" s="63" t="str">
        <f aca="false">IFERROR(INDEX('CLM &amp; IM Mapping'!$B$2:$B$270,MATCH($A49,'CLM &amp; IM Mapping'!$A$2:$A$270,0)),"Not Mapped")</f>
        <v>Sundaresh S</v>
      </c>
      <c r="C49" s="63" t="str">
        <f aca="false">IFERROR(INDEX('CLM &amp; IM Mapping'!$C$2:$C$270,MATCH($A49,'CLM &amp; IM Mapping'!$A$2:$A$270,0)),"Not Mapped")</f>
        <v>Un Mapped</v>
      </c>
      <c r="D49" s="64" t="n">
        <f aca="false">IFERROR(INDEX(Shrinkage!$P$2:$P$260,MATCH($A49,Shrinkage!$D$2:$D$260,0)),IFERROR(INDEX(Shrinkage!$P$2:$P$260,MATCH(SUBSTITUTE($A49," SS","  SS"),Shrinkage!$D$2:$D$260,0)),"NA"))</f>
        <v>14674</v>
      </c>
      <c r="E49" s="65" t="n">
        <f aca="false">IFERROR(INDEX('Inventory Hygiene'!$I$3:$I$254,MATCH($A49,'Inventory Hygiene'!$B$3:$B$254,0)),IFERROR(INDEX('Inventory Hygiene'!$I$3:$I$254,MATCH(SUBSTITUTE($A49," SS","  SS"),'Inventory Hygiene'!$B$3:$B$254,0)),"NA"))</f>
        <v>0.6</v>
      </c>
      <c r="F49" s="64" t="n">
        <f aca="false">IFERROR(INDEX('Bad Bins'!$K$3:$K$253,MATCH($A49,'Bad Bins'!$B$3:$B$253,0)),IFERROR(INDEX('Bad Bins'!$K$3:$K$253,MATCH(SUBSTITUTE($A49," SS","  SS"),'Bad Bins'!$B$3:$B$253,0)),"NA"))</f>
        <v>253</v>
      </c>
      <c r="G49" s="64" t="str">
        <f aca="false">IFERROR(INDEX('RSTO &gt; 48hrs'!$H$2:$H$134,MATCH($A49,'RSTO &gt; 48hrs'!$B$2:$B$134,0)),IFERROR(INDEX('RSTO &gt; 48hrs'!$H$2:$H$134,MATCH(SUBSTITUTE($A49," SS","  SS"),'RSTO &gt; 48hrs'!$B$2:$B$134,0)),"NA"))</f>
        <v>NA</v>
      </c>
      <c r="H49" s="64" t="str">
        <f aca="false">IFERROR(INDEX('Recirculation &gt; 24 hrs'!$K$3:$K$151,MATCH($A49,'Recirculation &gt; 24 hrs'!$B$3:$B$151,0)),IFERROR(INDEX('Recirculation &gt; 24 hrs'!$K$3:$K$151,MATCH(SUBSTITUTE($A49," SS","  SS"),'Recirculation &gt; 24 hrs'!$B$3:$B$151,0)),"NA"))</f>
        <v>NA</v>
      </c>
      <c r="I49" s="64" t="n">
        <f aca="false">IFERROR(INDEX('Pending Putaway'!$E$2:$E$1537,MATCH($A49,'Pending Putaway'!$B$2:$B$1537,0)),IFERROR(INDEX('Pending Putaway'!$E$2:$E$1537,MATCH(SUBSTITUTE($A49," SS","  SS"),'Pending Putaway'!$B$2:$B$1537,0)),"NA"))</f>
        <v>2736</v>
      </c>
      <c r="J49" s="64" t="n">
        <f aca="false">IFERROR(INDEX('Pending Putaway'!$L$2:$L$1537,MATCH($A49,'Pending Putaway'!$B$2:$B$1537,0)),IFERROR(INDEX('Pending Putaway'!$L$2:$L$1537,MATCH(SUBSTITUTE($A49," SS","  SS"),'Pending Putaway'!$B$2:$B$1537,0)),"NA"))</f>
        <v>56</v>
      </c>
    </row>
    <row r="50" customFormat="false" ht="15" hidden="false" customHeight="false" outlineLevel="0" collapsed="false">
      <c r="A50" s="63" t="s">
        <v>25</v>
      </c>
      <c r="B50" s="63" t="str">
        <f aca="false">IFERROR(INDEX('CLM &amp; IM Mapping'!$B$2:$B$270,MATCH($A50,'CLM &amp; IM Mapping'!$A$2:$A$270,0)),"Not Mapped")</f>
        <v>Sundaresh S</v>
      </c>
      <c r="C50" s="63" t="str">
        <f aca="false">IFERROR(INDEX('CLM &amp; IM Mapping'!$C$2:$C$270,MATCH($A50,'CLM &amp; IM Mapping'!$A$2:$A$270,0)),"Not Mapped")</f>
        <v>Un Mapped</v>
      </c>
      <c r="D50" s="64" t="n">
        <f aca="false">IFERROR(INDEX(Shrinkage!$P$2:$P$260,MATCH($A50,Shrinkage!$D$2:$D$260,0)),IFERROR(INDEX(Shrinkage!$P$2:$P$260,MATCH(SUBSTITUTE($A50," SS","  SS"),Shrinkage!$D$2:$D$260,0)),"NA"))</f>
        <v>-11098</v>
      </c>
      <c r="E50" s="65" t="n">
        <f aca="false">IFERROR(INDEX('Inventory Hygiene'!$I$3:$I$254,MATCH($A50,'Inventory Hygiene'!$B$3:$B$254,0)),IFERROR(INDEX('Inventory Hygiene'!$I$3:$I$254,MATCH(SUBSTITUTE($A50," SS","  SS"),'Inventory Hygiene'!$B$3:$B$254,0)),"NA"))</f>
        <v>0.66</v>
      </c>
      <c r="F50" s="64" t="n">
        <f aca="false">IFERROR(INDEX('Bad Bins'!$K$3:$K$253,MATCH($A50,'Bad Bins'!$B$3:$B$253,0)),IFERROR(INDEX('Bad Bins'!$K$3:$K$253,MATCH(SUBSTITUTE($A50," SS","  SS"),'Bad Bins'!$B$3:$B$253,0)),"NA"))</f>
        <v>122</v>
      </c>
      <c r="G50" s="64" t="n">
        <f aca="false">IFERROR(INDEX('RSTO &gt; 48hrs'!$H$2:$H$134,MATCH($A50,'RSTO &gt; 48hrs'!$B$2:$B$134,0)),IFERROR(INDEX('RSTO &gt; 48hrs'!$H$2:$H$134,MATCH(SUBSTITUTE($A50," SS","  SS"),'RSTO &gt; 48hrs'!$B$2:$B$134,0)),"NA"))</f>
        <v>13</v>
      </c>
      <c r="H50" s="64" t="n">
        <f aca="false">IFERROR(INDEX('Recirculation &gt; 24 hrs'!$K$3:$K$151,MATCH($A50,'Recirculation &gt; 24 hrs'!$B$3:$B$151,0)),IFERROR(INDEX('Recirculation &gt; 24 hrs'!$K$3:$K$151,MATCH(SUBSTITUTE($A50," SS","  SS"),'Recirculation &gt; 24 hrs'!$B$3:$B$151,0)),"NA"))</f>
        <v>7</v>
      </c>
      <c r="I50" s="64" t="n">
        <f aca="false">IFERROR(INDEX('Pending Putaway'!$E$2:$E$1537,MATCH($A50,'Pending Putaway'!$B$2:$B$1537,0)),IFERROR(INDEX('Pending Putaway'!$E$2:$E$1537,MATCH(SUBSTITUTE($A50," SS","  SS"),'Pending Putaway'!$B$2:$B$1537,0)),"NA"))</f>
        <v>1621</v>
      </c>
      <c r="J50" s="64" t="n">
        <f aca="false">IFERROR(INDEX('Pending Putaway'!$L$2:$L$1537,MATCH($A50,'Pending Putaway'!$B$2:$B$1537,0)),IFERROR(INDEX('Pending Putaway'!$L$2:$L$1537,MATCH(SUBSTITUTE($A50," SS","  SS"),'Pending Putaway'!$B$2:$B$1537,0)),"NA"))</f>
        <v>1607</v>
      </c>
    </row>
    <row r="51" customFormat="false" ht="15" hidden="false" customHeight="false" outlineLevel="0" collapsed="false">
      <c r="A51" s="63" t="s">
        <v>232</v>
      </c>
      <c r="B51" s="63" t="str">
        <f aca="false">IFERROR(INDEX('CLM &amp; IM Mapping'!$B$2:$B$270,MATCH($A51,'CLM &amp; IM Mapping'!$A$2:$A$270,0)),"Not Mapped")</f>
        <v>Sundaresh S</v>
      </c>
      <c r="C51" s="63" t="str">
        <f aca="false">IFERROR(INDEX('CLM &amp; IM Mapping'!$C$2:$C$270,MATCH($A51,'CLM &amp; IM Mapping'!$A$2:$A$270,0)),"Not Mapped")</f>
        <v>Un Mapped</v>
      </c>
      <c r="D51" s="64" t="n">
        <f aca="false">IFERROR(INDEX(Shrinkage!$P$2:$P$260,MATCH($A51,Shrinkage!$D$2:$D$260,0)),IFERROR(INDEX(Shrinkage!$P$2:$P$260,MATCH(SUBSTITUTE($A51," SS","  SS"),Shrinkage!$D$2:$D$260,0)),"NA"))</f>
        <v>-37396</v>
      </c>
      <c r="E51" s="65" t="n">
        <f aca="false">IFERROR(INDEX('Inventory Hygiene'!$I$3:$I$254,MATCH($A51,'Inventory Hygiene'!$B$3:$B$254,0)),IFERROR(INDEX('Inventory Hygiene'!$I$3:$I$254,MATCH(SUBSTITUTE($A51," SS","  SS"),'Inventory Hygiene'!$B$3:$B$254,0)),"NA"))</f>
        <v>0.93</v>
      </c>
      <c r="F51" s="64" t="n">
        <f aca="false">IFERROR(INDEX('Bad Bins'!$K$3:$K$253,MATCH($A51,'Bad Bins'!$B$3:$B$253,0)),IFERROR(INDEX('Bad Bins'!$K$3:$K$253,MATCH(SUBSTITUTE($A51," SS","  SS"),'Bad Bins'!$B$3:$B$253,0)),"NA"))</f>
        <v>91</v>
      </c>
      <c r="G51" s="64" t="n">
        <f aca="false">IFERROR(INDEX('RSTO &gt; 48hrs'!$H$2:$H$134,MATCH($A51,'RSTO &gt; 48hrs'!$B$2:$B$134,0)),IFERROR(INDEX('RSTO &gt; 48hrs'!$H$2:$H$134,MATCH(SUBSTITUTE($A51," SS","  SS"),'RSTO &gt; 48hrs'!$B$2:$B$134,0)),"NA"))</f>
        <v>91</v>
      </c>
      <c r="H51" s="64" t="n">
        <f aca="false">IFERROR(INDEX('Recirculation &gt; 24 hrs'!$K$3:$K$151,MATCH($A51,'Recirculation &gt; 24 hrs'!$B$3:$B$151,0)),IFERROR(INDEX('Recirculation &gt; 24 hrs'!$K$3:$K$151,MATCH(SUBSTITUTE($A51," SS","  SS"),'Recirculation &gt; 24 hrs'!$B$3:$B$151,0)),"NA"))</f>
        <v>7</v>
      </c>
      <c r="I51" s="64" t="n">
        <f aca="false">IFERROR(INDEX('Pending Putaway'!$E$2:$E$1537,MATCH($A51,'Pending Putaway'!$B$2:$B$1537,0)),IFERROR(INDEX('Pending Putaway'!$E$2:$E$1537,MATCH(SUBSTITUTE($A51," SS","  SS"),'Pending Putaway'!$B$2:$B$1537,0)),"NA"))</f>
        <v>876</v>
      </c>
      <c r="J51" s="64" t="n">
        <f aca="false">IFERROR(INDEX('Pending Putaway'!$L$2:$L$1537,MATCH($A51,'Pending Putaway'!$B$2:$B$1537,0)),IFERROR(INDEX('Pending Putaway'!$L$2:$L$1537,MATCH(SUBSTITUTE($A51," SS","  SS"),'Pending Putaway'!$B$2:$B$1537,0)),"NA"))</f>
        <v>528</v>
      </c>
    </row>
    <row r="52" customFormat="false" ht="15" hidden="false" customHeight="false" outlineLevel="0" collapsed="false">
      <c r="A52" s="63" t="s">
        <v>121</v>
      </c>
      <c r="B52" s="63" t="str">
        <f aca="false">IFERROR(INDEX('CLM &amp; IM Mapping'!$B$2:$B$270,MATCH($A52,'CLM &amp; IM Mapping'!$A$2:$A$270,0)),"Not Mapped")</f>
        <v>Sundaresh S</v>
      </c>
      <c r="C52" s="63" t="str">
        <f aca="false">IFERROR(INDEX('CLM &amp; IM Mapping'!$C$2:$C$270,MATCH($A52,'CLM &amp; IM Mapping'!$A$2:$A$270,0)),"Not Mapped")</f>
        <v>Un Mapped</v>
      </c>
      <c r="D52" s="64" t="n">
        <f aca="false">IFERROR(INDEX(Shrinkage!$P$2:$P$260,MATCH($A52,Shrinkage!$D$2:$D$260,0)),IFERROR(INDEX(Shrinkage!$P$2:$P$260,MATCH(SUBSTITUTE($A52," SS","  SS"),Shrinkage!$D$2:$D$260,0)),"NA"))</f>
        <v>37095</v>
      </c>
      <c r="E52" s="65" t="n">
        <f aca="false">IFERROR(INDEX('Inventory Hygiene'!$I$3:$I$254,MATCH($A52,'Inventory Hygiene'!$B$3:$B$254,0)),IFERROR(INDEX('Inventory Hygiene'!$I$3:$I$254,MATCH(SUBSTITUTE($A52," SS","  SS"),'Inventory Hygiene'!$B$3:$B$254,0)),"NA"))</f>
        <v>0.39</v>
      </c>
      <c r="F52" s="64" t="n">
        <f aca="false">IFERROR(INDEX('Bad Bins'!$K$3:$K$253,MATCH($A52,'Bad Bins'!$B$3:$B$253,0)),IFERROR(INDEX('Bad Bins'!$K$3:$K$253,MATCH(SUBSTITUTE($A52," SS","  SS"),'Bad Bins'!$B$3:$B$253,0)),"NA"))</f>
        <v>122</v>
      </c>
      <c r="G52" s="64" t="n">
        <f aca="false">IFERROR(INDEX('RSTO &gt; 48hrs'!$H$2:$H$134,MATCH($A52,'RSTO &gt; 48hrs'!$B$2:$B$134,0)),IFERROR(INDEX('RSTO &gt; 48hrs'!$H$2:$H$134,MATCH(SUBSTITUTE($A52," SS","  SS"),'RSTO &gt; 48hrs'!$B$2:$B$134,0)),"NA"))</f>
        <v>9</v>
      </c>
      <c r="H52" s="64" t="str">
        <f aca="false">IFERROR(INDEX('Recirculation &gt; 24 hrs'!$K$3:$K$151,MATCH($A52,'Recirculation &gt; 24 hrs'!$B$3:$B$151,0)),IFERROR(INDEX('Recirculation &gt; 24 hrs'!$K$3:$K$151,MATCH(SUBSTITUTE($A52," SS","  SS"),'Recirculation &gt; 24 hrs'!$B$3:$B$151,0)),"NA"))</f>
        <v>NA</v>
      </c>
      <c r="I52" s="64" t="n">
        <f aca="false">IFERROR(INDEX('Pending Putaway'!$E$2:$E$1537,MATCH($A52,'Pending Putaway'!$B$2:$B$1537,0)),IFERROR(INDEX('Pending Putaway'!$E$2:$E$1537,MATCH(SUBSTITUTE($A52," SS","  SS"),'Pending Putaway'!$B$2:$B$1537,0)),"NA"))</f>
        <v>4436</v>
      </c>
      <c r="J52" s="64" t="n">
        <f aca="false">IFERROR(INDEX('Pending Putaway'!$L$2:$L$1537,MATCH($A52,'Pending Putaway'!$B$2:$B$1537,0)),IFERROR(INDEX('Pending Putaway'!$L$2:$L$1537,MATCH(SUBSTITUTE($A52," SS","  SS"),'Pending Putaway'!$B$2:$B$1537,0)),"NA"))</f>
        <v>475</v>
      </c>
    </row>
    <row r="53" customFormat="false" ht="15" hidden="false" customHeight="false" outlineLevel="0" collapsed="false">
      <c r="A53" s="63" t="s">
        <v>311</v>
      </c>
      <c r="B53" s="63" t="str">
        <f aca="false">IFERROR(INDEX('CLM &amp; IM Mapping'!$B$2:$B$270,MATCH($A53,'CLM &amp; IM Mapping'!$A$2:$A$270,0)),"Not Mapped")</f>
        <v>Sundaresh S</v>
      </c>
      <c r="C53" s="63" t="str">
        <f aca="false">IFERROR(INDEX('CLM &amp; IM Mapping'!$C$2:$C$270,MATCH($A53,'CLM &amp; IM Mapping'!$A$2:$A$270,0)),"Not Mapped")</f>
        <v>Un Mapped</v>
      </c>
      <c r="D53" s="64" t="str">
        <f aca="false">IFERROR(INDEX(Shrinkage!$P$2:$P$260,MATCH($A53,Shrinkage!$D$2:$D$260,0)),IFERROR(INDEX(Shrinkage!$P$2:$P$260,MATCH(SUBSTITUTE($A53," SS","  SS"),Shrinkage!$D$2:$D$260,0)),"NA"))</f>
        <v>NA</v>
      </c>
      <c r="E53" s="65" t="str">
        <f aca="false">IFERROR(INDEX('Inventory Hygiene'!$I$3:$I$254,MATCH($A53,'Inventory Hygiene'!$B$3:$B$254,0)),IFERROR(INDEX('Inventory Hygiene'!$I$3:$I$254,MATCH(SUBSTITUTE($A53," SS","  SS"),'Inventory Hygiene'!$B$3:$B$254,0)),"NA"))</f>
        <v>NA</v>
      </c>
      <c r="F53" s="64" t="str">
        <f aca="false">IFERROR(INDEX('Bad Bins'!$K$3:$K$253,MATCH($A53,'Bad Bins'!$B$3:$B$253,0)),IFERROR(INDEX('Bad Bins'!$K$3:$K$253,MATCH(SUBSTITUTE($A53," SS","  SS"),'Bad Bins'!$B$3:$B$253,0)),"NA"))</f>
        <v>NA</v>
      </c>
      <c r="G53" s="64" t="str">
        <f aca="false">IFERROR(INDEX('RSTO &gt; 48hrs'!$H$2:$H$134,MATCH($A53,'RSTO &gt; 48hrs'!$B$2:$B$134,0)),IFERROR(INDEX('RSTO &gt; 48hrs'!$H$2:$H$134,MATCH(SUBSTITUTE($A53," SS","  SS"),'RSTO &gt; 48hrs'!$B$2:$B$134,0)),"NA"))</f>
        <v>NA</v>
      </c>
      <c r="H53" s="64" t="str">
        <f aca="false">IFERROR(INDEX('Recirculation &gt; 24 hrs'!$K$3:$K$151,MATCH($A53,'Recirculation &gt; 24 hrs'!$B$3:$B$151,0)),IFERROR(INDEX('Recirculation &gt; 24 hrs'!$K$3:$K$151,MATCH(SUBSTITUTE($A53," SS","  SS"),'Recirculation &gt; 24 hrs'!$B$3:$B$151,0)),"NA"))</f>
        <v>NA</v>
      </c>
      <c r="I53" s="64" t="str">
        <f aca="false">IFERROR(INDEX('Pending Putaway'!$E$2:$E$1537,MATCH($A53,'Pending Putaway'!$B$2:$B$1537,0)),IFERROR(INDEX('Pending Putaway'!$E$2:$E$1537,MATCH(SUBSTITUTE($A53," SS","  SS"),'Pending Putaway'!$B$2:$B$1537,0)),"NA"))</f>
        <v>NA</v>
      </c>
      <c r="J53" s="64" t="str">
        <f aca="false">IFERROR(INDEX('Pending Putaway'!$L$2:$L$1537,MATCH($A53,'Pending Putaway'!$B$2:$B$1537,0)),IFERROR(INDEX('Pending Putaway'!$L$2:$L$1537,MATCH(SUBSTITUTE($A53," SS","  SS"),'Pending Putaway'!$B$2:$B$1537,0)),"NA"))</f>
        <v>NA</v>
      </c>
    </row>
    <row r="54" customFormat="false" ht="15" hidden="false" customHeight="false" outlineLevel="0" collapsed="false">
      <c r="A54" s="63" t="s">
        <v>81</v>
      </c>
      <c r="B54" s="63" t="str">
        <f aca="false">IFERROR(INDEX('CLM &amp; IM Mapping'!$B$2:$B$270,MATCH($A54,'CLM &amp; IM Mapping'!$A$2:$A$270,0)),"Not Mapped")</f>
        <v>Sundaresh S</v>
      </c>
      <c r="C54" s="63" t="str">
        <f aca="false">IFERROR(INDEX('CLM &amp; IM Mapping'!$C$2:$C$270,MATCH($A54,'CLM &amp; IM Mapping'!$A$2:$A$270,0)),"Not Mapped")</f>
        <v>Un Mapped</v>
      </c>
      <c r="D54" s="64" t="n">
        <f aca="false">IFERROR(INDEX(Shrinkage!$P$2:$P$260,MATCH($A54,Shrinkage!$D$2:$D$260,0)),IFERROR(INDEX(Shrinkage!$P$2:$P$260,MATCH(SUBSTITUTE($A54," SS","  SS"),Shrinkage!$D$2:$D$260,0)),"NA"))</f>
        <v>-1276</v>
      </c>
      <c r="E54" s="65" t="n">
        <f aca="false">IFERROR(INDEX('Inventory Hygiene'!$I$3:$I$254,MATCH($A54,'Inventory Hygiene'!$B$3:$B$254,0)),IFERROR(INDEX('Inventory Hygiene'!$I$3:$I$254,MATCH(SUBSTITUTE($A54," SS","  SS"),'Inventory Hygiene'!$B$3:$B$254,0)),"NA"))</f>
        <v>0.94</v>
      </c>
      <c r="F54" s="64" t="n">
        <f aca="false">IFERROR(INDEX('Bad Bins'!$K$3:$K$253,MATCH($A54,'Bad Bins'!$B$3:$B$253,0)),IFERROR(INDEX('Bad Bins'!$K$3:$K$253,MATCH(SUBSTITUTE($A54," SS","  SS"),'Bad Bins'!$B$3:$B$253,0)),"NA"))</f>
        <v>59</v>
      </c>
      <c r="G54" s="64" t="n">
        <f aca="false">IFERROR(INDEX('RSTO &gt; 48hrs'!$H$2:$H$134,MATCH($A54,'RSTO &gt; 48hrs'!$B$2:$B$134,0)),IFERROR(INDEX('RSTO &gt; 48hrs'!$H$2:$H$134,MATCH(SUBSTITUTE($A54," SS","  SS"),'RSTO &gt; 48hrs'!$B$2:$B$134,0)),"NA"))</f>
        <v>20</v>
      </c>
      <c r="H54" s="64" t="n">
        <f aca="false">IFERROR(INDEX('Recirculation &gt; 24 hrs'!$K$3:$K$151,MATCH($A54,'Recirculation &gt; 24 hrs'!$B$3:$B$151,0)),IFERROR(INDEX('Recirculation &gt; 24 hrs'!$K$3:$K$151,MATCH(SUBSTITUTE($A54," SS","  SS"),'Recirculation &gt; 24 hrs'!$B$3:$B$151,0)),"NA"))</f>
        <v>6</v>
      </c>
      <c r="I54" s="64" t="n">
        <f aca="false">IFERROR(INDEX('Pending Putaway'!$E$2:$E$1537,MATCH($A54,'Pending Putaway'!$B$2:$B$1537,0)),IFERROR(INDEX('Pending Putaway'!$E$2:$E$1537,MATCH(SUBSTITUTE($A54," SS","  SS"),'Pending Putaway'!$B$2:$B$1537,0)),"NA"))</f>
        <v>2342</v>
      </c>
      <c r="J54" s="64" t="n">
        <f aca="false">IFERROR(INDEX('Pending Putaway'!$L$2:$L$1537,MATCH($A54,'Pending Putaway'!$B$2:$B$1537,0)),IFERROR(INDEX('Pending Putaway'!$L$2:$L$1537,MATCH(SUBSTITUTE($A54," SS","  SS"),'Pending Putaway'!$B$2:$B$1537,0)),"NA"))</f>
        <v>2342</v>
      </c>
    </row>
    <row r="55" customFormat="false" ht="15" hidden="false" customHeight="false" outlineLevel="0" collapsed="false">
      <c r="A55" s="63" t="s">
        <v>166</v>
      </c>
      <c r="B55" s="63" t="str">
        <f aca="false">IFERROR(INDEX('CLM &amp; IM Mapping'!$B$2:$B$270,MATCH($A55,'CLM &amp; IM Mapping'!$A$2:$A$270,0)),"Not Mapped")</f>
        <v>Sundaresh S</v>
      </c>
      <c r="C55" s="63" t="str">
        <f aca="false">IFERROR(INDEX('CLM &amp; IM Mapping'!$C$2:$C$270,MATCH($A55,'CLM &amp; IM Mapping'!$A$2:$A$270,0)),"Not Mapped")</f>
        <v>Un Mapped</v>
      </c>
      <c r="D55" s="64" t="n">
        <f aca="false">IFERROR(INDEX(Shrinkage!$P$2:$P$260,MATCH($A55,Shrinkage!$D$2:$D$260,0)),IFERROR(INDEX(Shrinkage!$P$2:$P$260,MATCH(SUBSTITUTE($A55," SS","  SS"),Shrinkage!$D$2:$D$260,0)),"NA"))</f>
        <v>-6307</v>
      </c>
      <c r="E55" s="65" t="n">
        <f aca="false">IFERROR(INDEX('Inventory Hygiene'!$I$3:$I$254,MATCH($A55,'Inventory Hygiene'!$B$3:$B$254,0)),IFERROR(INDEX('Inventory Hygiene'!$I$3:$I$254,MATCH(SUBSTITUTE($A55," SS","  SS"),'Inventory Hygiene'!$B$3:$B$254,0)),"NA"))</f>
        <v>0.49</v>
      </c>
      <c r="F55" s="64" t="n">
        <f aca="false">IFERROR(INDEX('Bad Bins'!$K$3:$K$253,MATCH($A55,'Bad Bins'!$B$3:$B$253,0)),IFERROR(INDEX('Bad Bins'!$K$3:$K$253,MATCH(SUBSTITUTE($A55," SS","  SS"),'Bad Bins'!$B$3:$B$253,0)),"NA"))</f>
        <v>73</v>
      </c>
      <c r="G55" s="64" t="str">
        <f aca="false">IFERROR(INDEX('RSTO &gt; 48hrs'!$H$2:$H$134,MATCH($A55,'RSTO &gt; 48hrs'!$B$2:$B$134,0)),IFERROR(INDEX('RSTO &gt; 48hrs'!$H$2:$H$134,MATCH(SUBSTITUTE($A55," SS","  SS"),'RSTO &gt; 48hrs'!$B$2:$B$134,0)),"NA"))</f>
        <v>NA</v>
      </c>
      <c r="H55" s="64" t="n">
        <f aca="false">IFERROR(INDEX('Recirculation &gt; 24 hrs'!$K$3:$K$151,MATCH($A55,'Recirculation &gt; 24 hrs'!$B$3:$B$151,0)),IFERROR(INDEX('Recirculation &gt; 24 hrs'!$K$3:$K$151,MATCH(SUBSTITUTE($A55," SS","  SS"),'Recirculation &gt; 24 hrs'!$B$3:$B$151,0)),"NA"))</f>
        <v>1</v>
      </c>
      <c r="I55" s="64" t="n">
        <f aca="false">IFERROR(INDEX('Pending Putaway'!$E$2:$E$1537,MATCH($A55,'Pending Putaway'!$B$2:$B$1537,0)),IFERROR(INDEX('Pending Putaway'!$E$2:$E$1537,MATCH(SUBSTITUTE($A55," SS","  SS"),'Pending Putaway'!$B$2:$B$1537,0)),"NA"))</f>
        <v>520</v>
      </c>
      <c r="J55" s="64" t="n">
        <f aca="false">IFERROR(INDEX('Pending Putaway'!$L$2:$L$1537,MATCH($A55,'Pending Putaway'!$B$2:$B$1537,0)),IFERROR(INDEX('Pending Putaway'!$L$2:$L$1537,MATCH(SUBSTITUTE($A55," SS","  SS"),'Pending Putaway'!$B$2:$B$1537,0)),"NA"))</f>
        <v>0</v>
      </c>
    </row>
    <row r="56" customFormat="false" ht="15" hidden="false" customHeight="false" outlineLevel="0" collapsed="false">
      <c r="A56" s="63" t="s">
        <v>62</v>
      </c>
      <c r="B56" s="63" t="str">
        <f aca="false">IFERROR(INDEX('CLM &amp; IM Mapping'!$B$2:$B$270,MATCH($A56,'CLM &amp; IM Mapping'!$A$2:$A$270,0)),"Not Mapped")</f>
        <v>Sundaresh S</v>
      </c>
      <c r="C56" s="63" t="str">
        <f aca="false">IFERROR(INDEX('CLM &amp; IM Mapping'!$C$2:$C$270,MATCH($A56,'CLM &amp; IM Mapping'!$A$2:$A$270,0)),"Not Mapped")</f>
        <v>Un Mapped</v>
      </c>
      <c r="D56" s="64" t="n">
        <f aca="false">IFERROR(INDEX(Shrinkage!$P$2:$P$260,MATCH($A56,Shrinkage!$D$2:$D$260,0)),IFERROR(INDEX(Shrinkage!$P$2:$P$260,MATCH(SUBSTITUTE($A56," SS","  SS"),Shrinkage!$D$2:$D$260,0)),"NA"))</f>
        <v>-23232</v>
      </c>
      <c r="E56" s="65" t="n">
        <f aca="false">IFERROR(INDEX('Inventory Hygiene'!$I$3:$I$254,MATCH($A56,'Inventory Hygiene'!$B$3:$B$254,0)),IFERROR(INDEX('Inventory Hygiene'!$I$3:$I$254,MATCH(SUBSTITUTE($A56," SS","  SS"),'Inventory Hygiene'!$B$3:$B$254,0)),"NA"))</f>
        <v>0.83</v>
      </c>
      <c r="F56" s="64" t="n">
        <f aca="false">IFERROR(INDEX('Bad Bins'!$K$3:$K$253,MATCH($A56,'Bad Bins'!$B$3:$B$253,0)),IFERROR(INDEX('Bad Bins'!$K$3:$K$253,MATCH(SUBSTITUTE($A56," SS","  SS"),'Bad Bins'!$B$3:$B$253,0)),"NA"))</f>
        <v>66</v>
      </c>
      <c r="G56" s="64" t="str">
        <f aca="false">IFERROR(INDEX('RSTO &gt; 48hrs'!$H$2:$H$134,MATCH($A56,'RSTO &gt; 48hrs'!$B$2:$B$134,0)),IFERROR(INDEX('RSTO &gt; 48hrs'!$H$2:$H$134,MATCH(SUBSTITUTE($A56," SS","  SS"),'RSTO &gt; 48hrs'!$B$2:$B$134,0)),"NA"))</f>
        <v>NA</v>
      </c>
      <c r="H56" s="64" t="n">
        <f aca="false">IFERROR(INDEX('Recirculation &gt; 24 hrs'!$K$3:$K$151,MATCH($A56,'Recirculation &gt; 24 hrs'!$B$3:$B$151,0)),IFERROR(INDEX('Recirculation &gt; 24 hrs'!$K$3:$K$151,MATCH(SUBSTITUTE($A56," SS","  SS"),'Recirculation &gt; 24 hrs'!$B$3:$B$151,0)),"NA"))</f>
        <v>43</v>
      </c>
      <c r="I56" s="64" t="n">
        <f aca="false">IFERROR(INDEX('Pending Putaway'!$E$2:$E$1537,MATCH($A56,'Pending Putaway'!$B$2:$B$1537,0)),IFERROR(INDEX('Pending Putaway'!$E$2:$E$1537,MATCH(SUBSTITUTE($A56," SS","  SS"),'Pending Putaway'!$B$2:$B$1537,0)),"NA"))</f>
        <v>317</v>
      </c>
      <c r="J56" s="64" t="n">
        <f aca="false">IFERROR(INDEX('Pending Putaway'!$L$2:$L$1537,MATCH($A56,'Pending Putaway'!$B$2:$B$1537,0)),IFERROR(INDEX('Pending Putaway'!$L$2:$L$1537,MATCH(SUBSTITUTE($A56," SS","  SS"),'Pending Putaway'!$B$2:$B$1537,0)),"NA"))</f>
        <v>126</v>
      </c>
    </row>
    <row r="57" customFormat="false" ht="15" hidden="false" customHeight="false" outlineLevel="0" collapsed="false">
      <c r="A57" s="63" t="s">
        <v>114</v>
      </c>
      <c r="B57" s="63" t="str">
        <f aca="false">IFERROR(INDEX('CLM &amp; IM Mapping'!$B$2:$B$270,MATCH($A57,'CLM &amp; IM Mapping'!$A$2:$A$270,0)),"Not Mapped")</f>
        <v>Akshay P</v>
      </c>
      <c r="C57" s="63" t="str">
        <f aca="false">IFERROR(INDEX('CLM &amp; IM Mapping'!$C$2:$C$270,MATCH($A57,'CLM &amp; IM Mapping'!$A$2:$A$270,0)),"Not Mapped")</f>
        <v>Srittam Dhal</v>
      </c>
      <c r="D57" s="64" t="n">
        <f aca="false">IFERROR(INDEX(Shrinkage!$P$2:$P$260,MATCH($A57,Shrinkage!$D$2:$D$260,0)),IFERROR(INDEX(Shrinkage!$P$2:$P$260,MATCH(SUBSTITUTE($A57," SS","  SS"),Shrinkage!$D$2:$D$260,0)),"NA"))</f>
        <v>21552</v>
      </c>
      <c r="E57" s="65" t="n">
        <f aca="false">IFERROR(INDEX('Inventory Hygiene'!$I$3:$I$254,MATCH($A57,'Inventory Hygiene'!$B$3:$B$254,0)),IFERROR(INDEX('Inventory Hygiene'!$I$3:$I$254,MATCH(SUBSTITUTE($A57," SS","  SS"),'Inventory Hygiene'!$B$3:$B$254,0)),"NA"))</f>
        <v>0.4</v>
      </c>
      <c r="F57" s="64" t="n">
        <f aca="false">IFERROR(INDEX('Bad Bins'!$K$3:$K$253,MATCH($A57,'Bad Bins'!$B$3:$B$253,0)),IFERROR(INDEX('Bad Bins'!$K$3:$K$253,MATCH(SUBSTITUTE($A57," SS","  SS"),'Bad Bins'!$B$3:$B$253,0)),"NA"))</f>
        <v>178</v>
      </c>
      <c r="G57" s="64" t="n">
        <f aca="false">IFERROR(INDEX('RSTO &gt; 48hrs'!$H$2:$H$134,MATCH($A57,'RSTO &gt; 48hrs'!$B$2:$B$134,0)),IFERROR(INDEX('RSTO &gt; 48hrs'!$H$2:$H$134,MATCH(SUBSTITUTE($A57," SS","  SS"),'RSTO &gt; 48hrs'!$B$2:$B$134,0)),"NA"))</f>
        <v>100</v>
      </c>
      <c r="H57" s="64" t="n">
        <f aca="false">IFERROR(INDEX('Recirculation &gt; 24 hrs'!$K$3:$K$151,MATCH($A57,'Recirculation &gt; 24 hrs'!$B$3:$B$151,0)),IFERROR(INDEX('Recirculation &gt; 24 hrs'!$K$3:$K$151,MATCH(SUBSTITUTE($A57," SS","  SS"),'Recirculation &gt; 24 hrs'!$B$3:$B$151,0)),"NA"))</f>
        <v>236</v>
      </c>
      <c r="I57" s="64" t="n">
        <f aca="false">IFERROR(INDEX('Pending Putaway'!$E$2:$E$1537,MATCH($A57,'Pending Putaway'!$B$2:$B$1537,0)),IFERROR(INDEX('Pending Putaway'!$E$2:$E$1537,MATCH(SUBSTITUTE($A57," SS","  SS"),'Pending Putaway'!$B$2:$B$1537,0)),"NA"))</f>
        <v>6194</v>
      </c>
      <c r="J57" s="64" t="n">
        <f aca="false">IFERROR(INDEX('Pending Putaway'!$L$2:$L$1537,MATCH($A57,'Pending Putaway'!$B$2:$B$1537,0)),IFERROR(INDEX('Pending Putaway'!$L$2:$L$1537,MATCH(SUBSTITUTE($A57," SS","  SS"),'Pending Putaway'!$B$2:$B$1537,0)),"NA"))</f>
        <v>3999</v>
      </c>
    </row>
    <row r="58" customFormat="false" ht="15" hidden="false" customHeight="false" outlineLevel="0" collapsed="false">
      <c r="A58" s="63" t="s">
        <v>75</v>
      </c>
      <c r="B58" s="63" t="str">
        <f aca="false">IFERROR(INDEX('CLM &amp; IM Mapping'!$B$2:$B$270,MATCH($A58,'CLM &amp; IM Mapping'!$A$2:$A$270,0)),"Not Mapped")</f>
        <v>Akshay P</v>
      </c>
      <c r="C58" s="63" t="str">
        <f aca="false">IFERROR(INDEX('CLM &amp; IM Mapping'!$C$2:$C$270,MATCH($A58,'CLM &amp; IM Mapping'!$A$2:$A$270,0)),"Not Mapped")</f>
        <v>Srittam Dhal</v>
      </c>
      <c r="D58" s="64" t="n">
        <f aca="false">IFERROR(INDEX(Shrinkage!$P$2:$P$260,MATCH($A58,Shrinkage!$D$2:$D$260,0)),IFERROR(INDEX(Shrinkage!$P$2:$P$260,MATCH(SUBSTITUTE($A58," SS","  SS"),Shrinkage!$D$2:$D$260,0)),"NA"))</f>
        <v>11641</v>
      </c>
      <c r="E58" s="65" t="n">
        <f aca="false">IFERROR(INDEX('Inventory Hygiene'!$I$3:$I$254,MATCH($A58,'Inventory Hygiene'!$B$3:$B$254,0)),IFERROR(INDEX('Inventory Hygiene'!$I$3:$I$254,MATCH(SUBSTITUTE($A58," SS","  SS"),'Inventory Hygiene'!$B$3:$B$254,0)),"NA"))</f>
        <v>0.83</v>
      </c>
      <c r="F58" s="64" t="n">
        <f aca="false">IFERROR(INDEX('Bad Bins'!$K$3:$K$253,MATCH($A58,'Bad Bins'!$B$3:$B$253,0)),IFERROR(INDEX('Bad Bins'!$K$3:$K$253,MATCH(SUBSTITUTE($A58," SS","  SS"),'Bad Bins'!$B$3:$B$253,0)),"NA"))</f>
        <v>93</v>
      </c>
      <c r="G58" s="64" t="n">
        <f aca="false">IFERROR(INDEX('RSTO &gt; 48hrs'!$H$2:$H$134,MATCH($A58,'RSTO &gt; 48hrs'!$B$2:$B$134,0)),IFERROR(INDEX('RSTO &gt; 48hrs'!$H$2:$H$134,MATCH(SUBSTITUTE($A58," SS","  SS"),'RSTO &gt; 48hrs'!$B$2:$B$134,0)),"NA"))</f>
        <v>3</v>
      </c>
      <c r="H58" s="64" t="n">
        <f aca="false">IFERROR(INDEX('Recirculation &gt; 24 hrs'!$K$3:$K$151,MATCH($A58,'Recirculation &gt; 24 hrs'!$B$3:$B$151,0)),IFERROR(INDEX('Recirculation &gt; 24 hrs'!$K$3:$K$151,MATCH(SUBSTITUTE($A58," SS","  SS"),'Recirculation &gt; 24 hrs'!$B$3:$B$151,0)),"NA"))</f>
        <v>19</v>
      </c>
      <c r="I58" s="64" t="n">
        <f aca="false">IFERROR(INDEX('Pending Putaway'!$E$2:$E$1537,MATCH($A58,'Pending Putaway'!$B$2:$B$1537,0)),IFERROR(INDEX('Pending Putaway'!$E$2:$E$1537,MATCH(SUBSTITUTE($A58," SS","  SS"),'Pending Putaway'!$B$2:$B$1537,0)),"NA"))</f>
        <v>26</v>
      </c>
      <c r="J58" s="64" t="n">
        <f aca="false">IFERROR(INDEX('Pending Putaway'!$L$2:$L$1537,MATCH($A58,'Pending Putaway'!$B$2:$B$1537,0)),IFERROR(INDEX('Pending Putaway'!$L$2:$L$1537,MATCH(SUBSTITUTE($A58," SS","  SS"),'Pending Putaway'!$B$2:$B$1537,0)),"NA"))</f>
        <v>9</v>
      </c>
    </row>
    <row r="59" customFormat="false" ht="15" hidden="false" customHeight="false" outlineLevel="0" collapsed="false">
      <c r="A59" s="63" t="s">
        <v>165</v>
      </c>
      <c r="B59" s="63" t="str">
        <f aca="false">IFERROR(INDEX('CLM &amp; IM Mapping'!$B$2:$B$270,MATCH($A59,'CLM &amp; IM Mapping'!$A$2:$A$270,0)),"Not Mapped")</f>
        <v>Akshay P</v>
      </c>
      <c r="C59" s="63" t="str">
        <f aca="false">IFERROR(INDEX('CLM &amp; IM Mapping'!$C$2:$C$270,MATCH($A59,'CLM &amp; IM Mapping'!$A$2:$A$270,0)),"Not Mapped")</f>
        <v>Srittam Dhal</v>
      </c>
      <c r="D59" s="64" t="n">
        <f aca="false">IFERROR(INDEX(Shrinkage!$P$2:$P$260,MATCH($A59,Shrinkage!$D$2:$D$260,0)),IFERROR(INDEX(Shrinkage!$P$2:$P$260,MATCH(SUBSTITUTE($A59," SS","  SS"),Shrinkage!$D$2:$D$260,0)),"NA"))</f>
        <v>-1929</v>
      </c>
      <c r="E59" s="65" t="n">
        <f aca="false">IFERROR(INDEX('Inventory Hygiene'!$I$3:$I$254,MATCH($A59,'Inventory Hygiene'!$B$3:$B$254,0)),IFERROR(INDEX('Inventory Hygiene'!$I$3:$I$254,MATCH(SUBSTITUTE($A59," SS","  SS"),'Inventory Hygiene'!$B$3:$B$254,0)),"NA"))</f>
        <v>0.57</v>
      </c>
      <c r="F59" s="64" t="n">
        <f aca="false">IFERROR(INDEX('Bad Bins'!$K$3:$K$253,MATCH($A59,'Bad Bins'!$B$3:$B$253,0)),IFERROR(INDEX('Bad Bins'!$K$3:$K$253,MATCH(SUBSTITUTE($A59," SS","  SS"),'Bad Bins'!$B$3:$B$253,0)),"NA"))</f>
        <v>170</v>
      </c>
      <c r="G59" s="64" t="n">
        <f aca="false">IFERROR(INDEX('RSTO &gt; 48hrs'!$H$2:$H$134,MATCH($A59,'RSTO &gt; 48hrs'!$B$2:$B$134,0)),IFERROR(INDEX('RSTO &gt; 48hrs'!$H$2:$H$134,MATCH(SUBSTITUTE($A59," SS","  SS"),'RSTO &gt; 48hrs'!$B$2:$B$134,0)),"NA"))</f>
        <v>53</v>
      </c>
      <c r="H59" s="64" t="n">
        <f aca="false">IFERROR(INDEX('Recirculation &gt; 24 hrs'!$K$3:$K$151,MATCH($A59,'Recirculation &gt; 24 hrs'!$B$3:$B$151,0)),IFERROR(INDEX('Recirculation &gt; 24 hrs'!$K$3:$K$151,MATCH(SUBSTITUTE($A59," SS","  SS"),'Recirculation &gt; 24 hrs'!$B$3:$B$151,0)),"NA"))</f>
        <v>2</v>
      </c>
      <c r="I59" s="64" t="n">
        <f aca="false">IFERROR(INDEX('Pending Putaway'!$E$2:$E$1537,MATCH($A59,'Pending Putaway'!$B$2:$B$1537,0)),IFERROR(INDEX('Pending Putaway'!$E$2:$E$1537,MATCH(SUBSTITUTE($A59," SS","  SS"),'Pending Putaway'!$B$2:$B$1537,0)),"NA"))</f>
        <v>2021</v>
      </c>
      <c r="J59" s="64" t="n">
        <f aca="false">IFERROR(INDEX('Pending Putaway'!$L$2:$L$1537,MATCH($A59,'Pending Putaway'!$B$2:$B$1537,0)),IFERROR(INDEX('Pending Putaway'!$L$2:$L$1537,MATCH(SUBSTITUTE($A59," SS","  SS"),'Pending Putaway'!$B$2:$B$1537,0)),"NA"))</f>
        <v>127</v>
      </c>
    </row>
    <row r="60" customFormat="false" ht="15" hidden="false" customHeight="false" outlineLevel="0" collapsed="false">
      <c r="A60" s="63" t="s">
        <v>79</v>
      </c>
      <c r="B60" s="63" t="str">
        <f aca="false">IFERROR(INDEX('CLM &amp; IM Mapping'!$B$2:$B$270,MATCH($A60,'CLM &amp; IM Mapping'!$A$2:$A$270,0)),"Not Mapped")</f>
        <v>Akshay P</v>
      </c>
      <c r="C60" s="63" t="str">
        <f aca="false">IFERROR(INDEX('CLM &amp; IM Mapping'!$C$2:$C$270,MATCH($A60,'CLM &amp; IM Mapping'!$A$2:$A$270,0)),"Not Mapped")</f>
        <v>Srittam Dhal</v>
      </c>
      <c r="D60" s="64" t="n">
        <f aca="false">IFERROR(INDEX(Shrinkage!$P$2:$P$260,MATCH($A60,Shrinkage!$D$2:$D$260,0)),IFERROR(INDEX(Shrinkage!$P$2:$P$260,MATCH(SUBSTITUTE($A60," SS","  SS"),Shrinkage!$D$2:$D$260,0)),"NA"))</f>
        <v>0</v>
      </c>
      <c r="E60" s="65" t="n">
        <f aca="false">IFERROR(INDEX('Inventory Hygiene'!$I$3:$I$254,MATCH($A60,'Inventory Hygiene'!$B$3:$B$254,0)),IFERROR(INDEX('Inventory Hygiene'!$I$3:$I$254,MATCH(SUBSTITUTE($A60," SS","  SS"),'Inventory Hygiene'!$B$3:$B$254,0)),"NA"))</f>
        <v>0</v>
      </c>
      <c r="F60" s="64" t="str">
        <f aca="false">IFERROR(INDEX('Bad Bins'!$K$3:$K$253,MATCH($A60,'Bad Bins'!$B$3:$B$253,0)),IFERROR(INDEX('Bad Bins'!$K$3:$K$253,MATCH(SUBSTITUTE($A60," SS","  SS"),'Bad Bins'!$B$3:$B$253,0)),"NA"))</f>
        <v>NA</v>
      </c>
      <c r="G60" s="64" t="str">
        <f aca="false">IFERROR(INDEX('RSTO &gt; 48hrs'!$H$2:$H$134,MATCH($A60,'RSTO &gt; 48hrs'!$B$2:$B$134,0)),IFERROR(INDEX('RSTO &gt; 48hrs'!$H$2:$H$134,MATCH(SUBSTITUTE($A60," SS","  SS"),'RSTO &gt; 48hrs'!$B$2:$B$134,0)),"NA"))</f>
        <v>NA</v>
      </c>
      <c r="H60" s="64" t="n">
        <f aca="false">IFERROR(INDEX('Recirculation &gt; 24 hrs'!$K$3:$K$151,MATCH($A60,'Recirculation &gt; 24 hrs'!$B$3:$B$151,0)),IFERROR(INDEX('Recirculation &gt; 24 hrs'!$K$3:$K$151,MATCH(SUBSTITUTE($A60," SS","  SS"),'Recirculation &gt; 24 hrs'!$B$3:$B$151,0)),"NA"))</f>
        <v>135</v>
      </c>
      <c r="I60" s="64" t="n">
        <f aca="false">IFERROR(INDEX('Pending Putaway'!$E$2:$E$1537,MATCH($A60,'Pending Putaway'!$B$2:$B$1537,0)),IFERROR(INDEX('Pending Putaway'!$E$2:$E$1537,MATCH(SUBSTITUTE($A60," SS","  SS"),'Pending Putaway'!$B$2:$B$1537,0)),"NA"))</f>
        <v>0</v>
      </c>
      <c r="J60" s="64" t="n">
        <f aca="false">IFERROR(INDEX('Pending Putaway'!$L$2:$L$1537,MATCH($A60,'Pending Putaway'!$B$2:$B$1537,0)),IFERROR(INDEX('Pending Putaway'!$L$2:$L$1537,MATCH(SUBSTITUTE($A60," SS","  SS"),'Pending Putaway'!$B$2:$B$1537,0)),"NA"))</f>
        <v>0</v>
      </c>
    </row>
    <row r="61" customFormat="false" ht="15" hidden="false" customHeight="false" outlineLevel="0" collapsed="false">
      <c r="A61" s="63" t="s">
        <v>124</v>
      </c>
      <c r="B61" s="63" t="str">
        <f aca="false">IFERROR(INDEX('CLM &amp; IM Mapping'!$B$2:$B$270,MATCH($A61,'CLM &amp; IM Mapping'!$A$2:$A$270,0)),"Not Mapped")</f>
        <v>Akshay P</v>
      </c>
      <c r="C61" s="63" t="str">
        <f aca="false">IFERROR(INDEX('CLM &amp; IM Mapping'!$C$2:$C$270,MATCH($A61,'CLM &amp; IM Mapping'!$A$2:$A$270,0)),"Not Mapped")</f>
        <v>Srittam Dhal</v>
      </c>
      <c r="D61" s="64" t="n">
        <f aca="false">IFERROR(INDEX(Shrinkage!$P$2:$P$260,MATCH($A61,Shrinkage!$D$2:$D$260,0)),IFERROR(INDEX(Shrinkage!$P$2:$P$260,MATCH(SUBSTITUTE($A61," SS","  SS"),Shrinkage!$D$2:$D$260,0)),"NA"))</f>
        <v>29179</v>
      </c>
      <c r="E61" s="65" t="n">
        <f aca="false">IFERROR(INDEX('Inventory Hygiene'!$I$3:$I$254,MATCH($A61,'Inventory Hygiene'!$B$3:$B$254,0)),IFERROR(INDEX('Inventory Hygiene'!$I$3:$I$254,MATCH(SUBSTITUTE($A61," SS","  SS"),'Inventory Hygiene'!$B$3:$B$254,0)),"NA"))</f>
        <v>0.31</v>
      </c>
      <c r="F61" s="64" t="n">
        <f aca="false">IFERROR(INDEX('Bad Bins'!$K$3:$K$253,MATCH($A61,'Bad Bins'!$B$3:$B$253,0)),IFERROR(INDEX('Bad Bins'!$K$3:$K$253,MATCH(SUBSTITUTE($A61," SS","  SS"),'Bad Bins'!$B$3:$B$253,0)),"NA"))</f>
        <v>347</v>
      </c>
      <c r="G61" s="64" t="n">
        <f aca="false">IFERROR(INDEX('RSTO &gt; 48hrs'!$H$2:$H$134,MATCH($A61,'RSTO &gt; 48hrs'!$B$2:$B$134,0)),IFERROR(INDEX('RSTO &gt; 48hrs'!$H$2:$H$134,MATCH(SUBSTITUTE($A61," SS","  SS"),'RSTO &gt; 48hrs'!$B$2:$B$134,0)),"NA"))</f>
        <v>422</v>
      </c>
      <c r="H61" s="64" t="n">
        <f aca="false">IFERROR(INDEX('Recirculation &gt; 24 hrs'!$K$3:$K$151,MATCH($A61,'Recirculation &gt; 24 hrs'!$B$3:$B$151,0)),IFERROR(INDEX('Recirculation &gt; 24 hrs'!$K$3:$K$151,MATCH(SUBSTITUTE($A61," SS","  SS"),'Recirculation &gt; 24 hrs'!$B$3:$B$151,0)),"NA"))</f>
        <v>10</v>
      </c>
      <c r="I61" s="64" t="n">
        <f aca="false">IFERROR(INDEX('Pending Putaway'!$E$2:$E$1537,MATCH($A61,'Pending Putaway'!$B$2:$B$1537,0)),IFERROR(INDEX('Pending Putaway'!$E$2:$E$1537,MATCH(SUBSTITUTE($A61," SS","  SS"),'Pending Putaway'!$B$2:$B$1537,0)),"NA"))</f>
        <v>4262</v>
      </c>
      <c r="J61" s="64" t="n">
        <f aca="false">IFERROR(INDEX('Pending Putaway'!$L$2:$L$1537,MATCH($A61,'Pending Putaway'!$B$2:$B$1537,0)),IFERROR(INDEX('Pending Putaway'!$L$2:$L$1537,MATCH(SUBSTITUTE($A61," SS","  SS"),'Pending Putaway'!$B$2:$B$1537,0)),"NA"))</f>
        <v>3277</v>
      </c>
    </row>
    <row r="62" customFormat="false" ht="15" hidden="false" customHeight="false" outlineLevel="0" collapsed="false">
      <c r="A62" s="63" t="s">
        <v>64</v>
      </c>
      <c r="B62" s="63" t="str">
        <f aca="false">IFERROR(INDEX('CLM &amp; IM Mapping'!$B$2:$B$270,MATCH($A62,'CLM &amp; IM Mapping'!$A$2:$A$270,0)),"Not Mapped")</f>
        <v>Akshay P</v>
      </c>
      <c r="C62" s="63" t="str">
        <f aca="false">IFERROR(INDEX('CLM &amp; IM Mapping'!$C$2:$C$270,MATCH($A62,'CLM &amp; IM Mapping'!$A$2:$A$270,0)),"Not Mapped")</f>
        <v>Srittam Dhal</v>
      </c>
      <c r="D62" s="64" t="n">
        <f aca="false">IFERROR(INDEX(Shrinkage!$P$2:$P$260,MATCH($A62,Shrinkage!$D$2:$D$260,0)),IFERROR(INDEX(Shrinkage!$P$2:$P$260,MATCH(SUBSTITUTE($A62," SS","  SS"),Shrinkage!$D$2:$D$260,0)),"NA"))</f>
        <v>15130</v>
      </c>
      <c r="E62" s="65" t="n">
        <f aca="false">IFERROR(INDEX('Inventory Hygiene'!$I$3:$I$254,MATCH($A62,'Inventory Hygiene'!$B$3:$B$254,0)),IFERROR(INDEX('Inventory Hygiene'!$I$3:$I$254,MATCH(SUBSTITUTE($A62," SS","  SS"),'Inventory Hygiene'!$B$3:$B$254,0)),"NA"))</f>
        <v>0.64</v>
      </c>
      <c r="F62" s="64" t="n">
        <f aca="false">IFERROR(INDEX('Bad Bins'!$K$3:$K$253,MATCH($A62,'Bad Bins'!$B$3:$B$253,0)),IFERROR(INDEX('Bad Bins'!$K$3:$K$253,MATCH(SUBSTITUTE($A62," SS","  SS"),'Bad Bins'!$B$3:$B$253,0)),"NA"))</f>
        <v>198</v>
      </c>
      <c r="G62" s="64" t="str">
        <f aca="false">IFERROR(INDEX('RSTO &gt; 48hrs'!$H$2:$H$134,MATCH($A62,'RSTO &gt; 48hrs'!$B$2:$B$134,0)),IFERROR(INDEX('RSTO &gt; 48hrs'!$H$2:$H$134,MATCH(SUBSTITUTE($A62," SS","  SS"),'RSTO &gt; 48hrs'!$B$2:$B$134,0)),"NA"))</f>
        <v>NA</v>
      </c>
      <c r="H62" s="64" t="n">
        <f aca="false">IFERROR(INDEX('Recirculation &gt; 24 hrs'!$K$3:$K$151,MATCH($A62,'Recirculation &gt; 24 hrs'!$B$3:$B$151,0)),IFERROR(INDEX('Recirculation &gt; 24 hrs'!$K$3:$K$151,MATCH(SUBSTITUTE($A62," SS","  SS"),'Recirculation &gt; 24 hrs'!$B$3:$B$151,0)),"NA"))</f>
        <v>1</v>
      </c>
      <c r="I62" s="64" t="n">
        <f aca="false">IFERROR(INDEX('Pending Putaway'!$E$2:$E$1537,MATCH($A62,'Pending Putaway'!$B$2:$B$1537,0)),IFERROR(INDEX('Pending Putaway'!$E$2:$E$1537,MATCH(SUBSTITUTE($A62," SS","  SS"),'Pending Putaway'!$B$2:$B$1537,0)),"NA"))</f>
        <v>357</v>
      </c>
      <c r="J62" s="64" t="n">
        <f aca="false">IFERROR(INDEX('Pending Putaway'!$L$2:$L$1537,MATCH($A62,'Pending Putaway'!$B$2:$B$1537,0)),IFERROR(INDEX('Pending Putaway'!$L$2:$L$1537,MATCH(SUBSTITUTE($A62," SS","  SS"),'Pending Putaway'!$B$2:$B$1537,0)),"NA"))</f>
        <v>357</v>
      </c>
    </row>
    <row r="63" customFormat="false" ht="15" hidden="false" customHeight="false" outlineLevel="0" collapsed="false">
      <c r="A63" s="63" t="s">
        <v>50</v>
      </c>
      <c r="B63" s="63" t="str">
        <f aca="false">IFERROR(INDEX('CLM &amp; IM Mapping'!$B$2:$B$270,MATCH($A63,'CLM &amp; IM Mapping'!$A$2:$A$270,0)),"Not Mapped")</f>
        <v>Akshay P</v>
      </c>
      <c r="C63" s="63" t="str">
        <f aca="false">IFERROR(INDEX('CLM &amp; IM Mapping'!$C$2:$C$270,MATCH($A63,'CLM &amp; IM Mapping'!$A$2:$A$270,0)),"Not Mapped")</f>
        <v>Srittam Dhal</v>
      </c>
      <c r="D63" s="64" t="n">
        <f aca="false">IFERROR(INDEX(Shrinkage!$P$2:$P$260,MATCH($A63,Shrinkage!$D$2:$D$260,0)),IFERROR(INDEX(Shrinkage!$P$2:$P$260,MATCH(SUBSTITUTE($A63," SS","  SS"),Shrinkage!$D$2:$D$260,0)),"NA"))</f>
        <v>-11059</v>
      </c>
      <c r="E63" s="65" t="n">
        <f aca="false">IFERROR(INDEX('Inventory Hygiene'!$I$3:$I$254,MATCH($A63,'Inventory Hygiene'!$B$3:$B$254,0)),IFERROR(INDEX('Inventory Hygiene'!$I$3:$I$254,MATCH(SUBSTITUTE($A63," SS","  SS"),'Inventory Hygiene'!$B$3:$B$254,0)),"NA"))</f>
        <v>0.93</v>
      </c>
      <c r="F63" s="64" t="n">
        <f aca="false">IFERROR(INDEX('Bad Bins'!$K$3:$K$253,MATCH($A63,'Bad Bins'!$B$3:$B$253,0)),IFERROR(INDEX('Bad Bins'!$K$3:$K$253,MATCH(SUBSTITUTE($A63," SS","  SS"),'Bad Bins'!$B$3:$B$253,0)),"NA"))</f>
        <v>6</v>
      </c>
      <c r="G63" s="64" t="str">
        <f aca="false">IFERROR(INDEX('RSTO &gt; 48hrs'!$H$2:$H$134,MATCH($A63,'RSTO &gt; 48hrs'!$B$2:$B$134,0)),IFERROR(INDEX('RSTO &gt; 48hrs'!$H$2:$H$134,MATCH(SUBSTITUTE($A63," SS","  SS"),'RSTO &gt; 48hrs'!$B$2:$B$134,0)),"NA"))</f>
        <v>NA</v>
      </c>
      <c r="H63" s="64" t="str">
        <f aca="false">IFERROR(INDEX('Recirculation &gt; 24 hrs'!$K$3:$K$151,MATCH($A63,'Recirculation &gt; 24 hrs'!$B$3:$B$151,0)),IFERROR(INDEX('Recirculation &gt; 24 hrs'!$K$3:$K$151,MATCH(SUBSTITUTE($A63," SS","  SS"),'Recirculation &gt; 24 hrs'!$B$3:$B$151,0)),"NA"))</f>
        <v>NA</v>
      </c>
      <c r="I63" s="64" t="n">
        <f aca="false">IFERROR(INDEX('Pending Putaway'!$E$2:$E$1537,MATCH($A63,'Pending Putaway'!$B$2:$B$1537,0)),IFERROR(INDEX('Pending Putaway'!$E$2:$E$1537,MATCH(SUBSTITUTE($A63," SS","  SS"),'Pending Putaway'!$B$2:$B$1537,0)),"NA"))</f>
        <v>0</v>
      </c>
      <c r="J63" s="64" t="n">
        <f aca="false">IFERROR(INDEX('Pending Putaway'!$L$2:$L$1537,MATCH($A63,'Pending Putaway'!$B$2:$B$1537,0)),IFERROR(INDEX('Pending Putaway'!$L$2:$L$1537,MATCH(SUBSTITUTE($A63," SS","  SS"),'Pending Putaway'!$B$2:$B$1537,0)),"NA"))</f>
        <v>0</v>
      </c>
    </row>
    <row r="64" customFormat="false" ht="15" hidden="false" customHeight="false" outlineLevel="0" collapsed="false">
      <c r="A64" s="63" t="s">
        <v>155</v>
      </c>
      <c r="B64" s="63" t="str">
        <f aca="false">IFERROR(INDEX('CLM &amp; IM Mapping'!$B$2:$B$270,MATCH($A64,'CLM &amp; IM Mapping'!$A$2:$A$270,0)),"Not Mapped")</f>
        <v>Akshay P</v>
      </c>
      <c r="C64" s="63" t="str">
        <f aca="false">IFERROR(INDEX('CLM &amp; IM Mapping'!$C$2:$C$270,MATCH($A64,'CLM &amp; IM Mapping'!$A$2:$A$270,0)),"Not Mapped")</f>
        <v>Srittam Dhal</v>
      </c>
      <c r="D64" s="64" t="n">
        <f aca="false">IFERROR(INDEX(Shrinkage!$P$2:$P$260,MATCH($A64,Shrinkage!$D$2:$D$260,0)),IFERROR(INDEX(Shrinkage!$P$2:$P$260,MATCH(SUBSTITUTE($A64," SS","  SS"),Shrinkage!$D$2:$D$260,0)),"NA"))</f>
        <v>2332</v>
      </c>
      <c r="E64" s="65" t="n">
        <f aca="false">IFERROR(INDEX('Inventory Hygiene'!$I$3:$I$254,MATCH($A64,'Inventory Hygiene'!$B$3:$B$254,0)),IFERROR(INDEX('Inventory Hygiene'!$I$3:$I$254,MATCH(SUBSTITUTE($A64," SS","  SS"),'Inventory Hygiene'!$B$3:$B$254,0)),"NA"))</f>
        <v>0.59</v>
      </c>
      <c r="F64" s="64" t="n">
        <f aca="false">IFERROR(INDEX('Bad Bins'!$K$3:$K$253,MATCH($A64,'Bad Bins'!$B$3:$B$253,0)),IFERROR(INDEX('Bad Bins'!$K$3:$K$253,MATCH(SUBSTITUTE($A64," SS","  SS"),'Bad Bins'!$B$3:$B$253,0)),"NA"))</f>
        <v>23</v>
      </c>
      <c r="G64" s="64" t="str">
        <f aca="false">IFERROR(INDEX('RSTO &gt; 48hrs'!$H$2:$H$134,MATCH($A64,'RSTO &gt; 48hrs'!$B$2:$B$134,0)),IFERROR(INDEX('RSTO &gt; 48hrs'!$H$2:$H$134,MATCH(SUBSTITUTE($A64," SS","  SS"),'RSTO &gt; 48hrs'!$B$2:$B$134,0)),"NA"))</f>
        <v>NA</v>
      </c>
      <c r="H64" s="64" t="n">
        <f aca="false">IFERROR(INDEX('Recirculation &gt; 24 hrs'!$K$3:$K$151,MATCH($A64,'Recirculation &gt; 24 hrs'!$B$3:$B$151,0)),IFERROR(INDEX('Recirculation &gt; 24 hrs'!$K$3:$K$151,MATCH(SUBSTITUTE($A64," SS","  SS"),'Recirculation &gt; 24 hrs'!$B$3:$B$151,0)),"NA"))</f>
        <v>12</v>
      </c>
      <c r="I64" s="64" t="n">
        <f aca="false">IFERROR(INDEX('Pending Putaway'!$E$2:$E$1537,MATCH($A64,'Pending Putaway'!$B$2:$B$1537,0)),IFERROR(INDEX('Pending Putaway'!$E$2:$E$1537,MATCH(SUBSTITUTE($A64," SS","  SS"),'Pending Putaway'!$B$2:$B$1537,0)),"NA"))</f>
        <v>0</v>
      </c>
      <c r="J64" s="64" t="n">
        <f aca="false">IFERROR(INDEX('Pending Putaway'!$L$2:$L$1537,MATCH($A64,'Pending Putaway'!$B$2:$B$1537,0)),IFERROR(INDEX('Pending Putaway'!$L$2:$L$1537,MATCH(SUBSTITUTE($A64," SS","  SS"),'Pending Putaway'!$B$2:$B$1537,0)),"NA"))</f>
        <v>0</v>
      </c>
    </row>
    <row r="65" customFormat="false" ht="15" hidden="false" customHeight="false" outlineLevel="0" collapsed="false">
      <c r="A65" s="63" t="s">
        <v>187</v>
      </c>
      <c r="B65" s="63" t="str">
        <f aca="false">IFERROR(INDEX('CLM &amp; IM Mapping'!$B$2:$B$270,MATCH($A65,'CLM &amp; IM Mapping'!$A$2:$A$270,0)),"Not Mapped")</f>
        <v>Akshay P</v>
      </c>
      <c r="C65" s="63" t="str">
        <f aca="false">IFERROR(INDEX('CLM &amp; IM Mapping'!$C$2:$C$270,MATCH($A65,'CLM &amp; IM Mapping'!$A$2:$A$270,0)),"Not Mapped")</f>
        <v>Srittam Dhal</v>
      </c>
      <c r="D65" s="64" t="n">
        <f aca="false">IFERROR(INDEX(Shrinkage!$P$2:$P$260,MATCH($A65,Shrinkage!$D$2:$D$260,0)),IFERROR(INDEX(Shrinkage!$P$2:$P$260,MATCH(SUBSTITUTE($A65," SS","  SS"),Shrinkage!$D$2:$D$260,0)),"NA"))</f>
        <v>33311</v>
      </c>
      <c r="E65" s="65" t="n">
        <f aca="false">IFERROR(INDEX('Inventory Hygiene'!$I$3:$I$254,MATCH($A65,'Inventory Hygiene'!$B$3:$B$254,0)),IFERROR(INDEX('Inventory Hygiene'!$I$3:$I$254,MATCH(SUBSTITUTE($A65," SS","  SS"),'Inventory Hygiene'!$B$3:$B$254,0)),"NA"))</f>
        <v>0.49</v>
      </c>
      <c r="F65" s="64" t="n">
        <f aca="false">IFERROR(INDEX('Bad Bins'!$K$3:$K$253,MATCH($A65,'Bad Bins'!$B$3:$B$253,0)),IFERROR(INDEX('Bad Bins'!$K$3:$K$253,MATCH(SUBSTITUTE($A65," SS","  SS"),'Bad Bins'!$B$3:$B$253,0)),"NA"))</f>
        <v>307</v>
      </c>
      <c r="G65" s="64" t="n">
        <f aca="false">IFERROR(INDEX('RSTO &gt; 48hrs'!$H$2:$H$134,MATCH($A65,'RSTO &gt; 48hrs'!$B$2:$B$134,0)),IFERROR(INDEX('RSTO &gt; 48hrs'!$H$2:$H$134,MATCH(SUBSTITUTE($A65," SS","  SS"),'RSTO &gt; 48hrs'!$B$2:$B$134,0)),"NA"))</f>
        <v>707</v>
      </c>
      <c r="H65" s="64" t="n">
        <f aca="false">IFERROR(INDEX('Recirculation &gt; 24 hrs'!$K$3:$K$151,MATCH($A65,'Recirculation &gt; 24 hrs'!$B$3:$B$151,0)),IFERROR(INDEX('Recirculation &gt; 24 hrs'!$K$3:$K$151,MATCH(SUBSTITUTE($A65," SS","  SS"),'Recirculation &gt; 24 hrs'!$B$3:$B$151,0)),"NA"))</f>
        <v>2</v>
      </c>
      <c r="I65" s="64" t="n">
        <f aca="false">IFERROR(INDEX('Pending Putaway'!$E$2:$E$1537,MATCH($A65,'Pending Putaway'!$B$2:$B$1537,0)),IFERROR(INDEX('Pending Putaway'!$E$2:$E$1537,MATCH(SUBSTITUTE($A65," SS","  SS"),'Pending Putaway'!$B$2:$B$1537,0)),"NA"))</f>
        <v>6844</v>
      </c>
      <c r="J65" s="64" t="n">
        <f aca="false">IFERROR(INDEX('Pending Putaway'!$L$2:$L$1537,MATCH($A65,'Pending Putaway'!$B$2:$B$1537,0)),IFERROR(INDEX('Pending Putaway'!$L$2:$L$1537,MATCH(SUBSTITUTE($A65," SS","  SS"),'Pending Putaway'!$B$2:$B$1537,0)),"NA"))</f>
        <v>1235</v>
      </c>
    </row>
    <row r="66" customFormat="false" ht="15" hidden="false" customHeight="false" outlineLevel="0" collapsed="false">
      <c r="A66" s="63" t="s">
        <v>252</v>
      </c>
      <c r="B66" s="63" t="str">
        <f aca="false">IFERROR(INDEX('CLM &amp; IM Mapping'!$B$2:$B$270,MATCH($A66,'CLM &amp; IM Mapping'!$A$2:$A$270,0)),"Not Mapped")</f>
        <v>Akshay P</v>
      </c>
      <c r="C66" s="63" t="str">
        <f aca="false">IFERROR(INDEX('CLM &amp; IM Mapping'!$C$2:$C$270,MATCH($A66,'CLM &amp; IM Mapping'!$A$2:$A$270,0)),"Not Mapped")</f>
        <v>Srittam Dhal</v>
      </c>
      <c r="D66" s="64" t="n">
        <f aca="false">IFERROR(INDEX(Shrinkage!$P$2:$P$260,MATCH($A66,Shrinkage!$D$2:$D$260,0)),IFERROR(INDEX(Shrinkage!$P$2:$P$260,MATCH(SUBSTITUTE($A66," SS","  SS"),Shrinkage!$D$2:$D$260,0)),"NA"))</f>
        <v>-2984</v>
      </c>
      <c r="E66" s="65" t="n">
        <f aca="false">IFERROR(INDEX('Inventory Hygiene'!$I$3:$I$254,MATCH($A66,'Inventory Hygiene'!$B$3:$B$254,0)),IFERROR(INDEX('Inventory Hygiene'!$I$3:$I$254,MATCH(SUBSTITUTE($A66," SS","  SS"),'Inventory Hygiene'!$B$3:$B$254,0)),"NA"))</f>
        <v>0.83</v>
      </c>
      <c r="F66" s="64" t="n">
        <f aca="false">IFERROR(INDEX('Bad Bins'!$K$3:$K$253,MATCH($A66,'Bad Bins'!$B$3:$B$253,0)),IFERROR(INDEX('Bad Bins'!$K$3:$K$253,MATCH(SUBSTITUTE($A66," SS","  SS"),'Bad Bins'!$B$3:$B$253,0)),"NA"))</f>
        <v>42</v>
      </c>
      <c r="G66" s="64" t="str">
        <f aca="false">IFERROR(INDEX('RSTO &gt; 48hrs'!$H$2:$H$134,MATCH($A66,'RSTO &gt; 48hrs'!$B$2:$B$134,0)),IFERROR(INDEX('RSTO &gt; 48hrs'!$H$2:$H$134,MATCH(SUBSTITUTE($A66," SS","  SS"),'RSTO &gt; 48hrs'!$B$2:$B$134,0)),"NA"))</f>
        <v>NA</v>
      </c>
      <c r="H66" s="64" t="n">
        <f aca="false">IFERROR(INDEX('Recirculation &gt; 24 hrs'!$K$3:$K$151,MATCH($A66,'Recirculation &gt; 24 hrs'!$B$3:$B$151,0)),IFERROR(INDEX('Recirculation &gt; 24 hrs'!$K$3:$K$151,MATCH(SUBSTITUTE($A66," SS","  SS"),'Recirculation &gt; 24 hrs'!$B$3:$B$151,0)),"NA"))</f>
        <v>9</v>
      </c>
      <c r="I66" s="64" t="n">
        <f aca="false">IFERROR(INDEX('Pending Putaway'!$E$2:$E$1537,MATCH($A66,'Pending Putaway'!$B$2:$B$1537,0)),IFERROR(INDEX('Pending Putaway'!$E$2:$E$1537,MATCH(SUBSTITUTE($A66," SS","  SS"),'Pending Putaway'!$B$2:$B$1537,0)),"NA"))</f>
        <v>0</v>
      </c>
      <c r="J66" s="64" t="n">
        <f aca="false">IFERROR(INDEX('Pending Putaway'!$L$2:$L$1537,MATCH($A66,'Pending Putaway'!$B$2:$B$1537,0)),IFERROR(INDEX('Pending Putaway'!$L$2:$L$1537,MATCH(SUBSTITUTE($A66," SS","  SS"),'Pending Putaway'!$B$2:$B$1537,0)),"NA"))</f>
        <v>0</v>
      </c>
    </row>
    <row r="67" customFormat="false" ht="15" hidden="false" customHeight="false" outlineLevel="0" collapsed="false">
      <c r="A67" s="63" t="s">
        <v>249</v>
      </c>
      <c r="B67" s="63" t="str">
        <f aca="false">IFERROR(INDEX('CLM &amp; IM Mapping'!$B$2:$B$270,MATCH($A67,'CLM &amp; IM Mapping'!$A$2:$A$270,0)),"Not Mapped")</f>
        <v>Manoj Kj</v>
      </c>
      <c r="C67" s="63" t="str">
        <f aca="false">IFERROR(INDEX('CLM &amp; IM Mapping'!$C$2:$C$270,MATCH($A67,'CLM &amp; IM Mapping'!$A$2:$A$270,0)),"Not Mapped")</f>
        <v>Srittam Dhal</v>
      </c>
      <c r="D67" s="64" t="n">
        <f aca="false">IFERROR(INDEX(Shrinkage!$P$2:$P$260,MATCH($A67,Shrinkage!$D$2:$D$260,0)),IFERROR(INDEX(Shrinkage!$P$2:$P$260,MATCH(SUBSTITUTE($A67," SS","  SS"),Shrinkage!$D$2:$D$260,0)),"NA"))</f>
        <v>-6139</v>
      </c>
      <c r="E67" s="65" t="n">
        <f aca="false">IFERROR(INDEX('Inventory Hygiene'!$I$3:$I$254,MATCH($A67,'Inventory Hygiene'!$B$3:$B$254,0)),IFERROR(INDEX('Inventory Hygiene'!$I$3:$I$254,MATCH(SUBSTITUTE($A67," SS","  SS"),'Inventory Hygiene'!$B$3:$B$254,0)),"NA"))</f>
        <v>0.95</v>
      </c>
      <c r="F67" s="64" t="n">
        <f aca="false">IFERROR(INDEX('Bad Bins'!$K$3:$K$253,MATCH($A67,'Bad Bins'!$B$3:$B$253,0)),IFERROR(INDEX('Bad Bins'!$K$3:$K$253,MATCH(SUBSTITUTE($A67," SS","  SS"),'Bad Bins'!$B$3:$B$253,0)),"NA"))</f>
        <v>279</v>
      </c>
      <c r="G67" s="64" t="str">
        <f aca="false">IFERROR(INDEX('RSTO &gt; 48hrs'!$H$2:$H$134,MATCH($A67,'RSTO &gt; 48hrs'!$B$2:$B$134,0)),IFERROR(INDEX('RSTO &gt; 48hrs'!$H$2:$H$134,MATCH(SUBSTITUTE($A67," SS","  SS"),'RSTO &gt; 48hrs'!$B$2:$B$134,0)),"NA"))</f>
        <v>NA</v>
      </c>
      <c r="H67" s="64" t="n">
        <f aca="false">IFERROR(INDEX('Recirculation &gt; 24 hrs'!$K$3:$K$151,MATCH($A67,'Recirculation &gt; 24 hrs'!$B$3:$B$151,0)),IFERROR(INDEX('Recirculation &gt; 24 hrs'!$K$3:$K$151,MATCH(SUBSTITUTE($A67," SS","  SS"),'Recirculation &gt; 24 hrs'!$B$3:$B$151,0)),"NA"))</f>
        <v>1</v>
      </c>
      <c r="I67" s="64" t="n">
        <f aca="false">IFERROR(INDEX('Pending Putaway'!$E$2:$E$1537,MATCH($A67,'Pending Putaway'!$B$2:$B$1537,0)),IFERROR(INDEX('Pending Putaway'!$E$2:$E$1537,MATCH(SUBSTITUTE($A67," SS","  SS"),'Pending Putaway'!$B$2:$B$1537,0)),"NA"))</f>
        <v>2868</v>
      </c>
      <c r="J67" s="64" t="n">
        <f aca="false">IFERROR(INDEX('Pending Putaway'!$L$2:$L$1537,MATCH($A67,'Pending Putaway'!$B$2:$B$1537,0)),IFERROR(INDEX('Pending Putaway'!$L$2:$L$1537,MATCH(SUBSTITUTE($A67," SS","  SS"),'Pending Putaway'!$B$2:$B$1537,0)),"NA"))</f>
        <v>0</v>
      </c>
    </row>
    <row r="68" customFormat="false" ht="15" hidden="false" customHeight="false" outlineLevel="0" collapsed="false">
      <c r="A68" s="63" t="s">
        <v>150</v>
      </c>
      <c r="B68" s="63" t="str">
        <f aca="false">IFERROR(INDEX('CLM &amp; IM Mapping'!$B$2:$B$270,MATCH($A68,'CLM &amp; IM Mapping'!$A$2:$A$270,0)),"Not Mapped")</f>
        <v>Manoj Kj</v>
      </c>
      <c r="C68" s="63" t="str">
        <f aca="false">IFERROR(INDEX('CLM &amp; IM Mapping'!$C$2:$C$270,MATCH($A68,'CLM &amp; IM Mapping'!$A$2:$A$270,0)),"Not Mapped")</f>
        <v>Srittam Dhal</v>
      </c>
      <c r="D68" s="64" t="n">
        <f aca="false">IFERROR(INDEX(Shrinkage!$P$2:$P$260,MATCH($A68,Shrinkage!$D$2:$D$260,0)),IFERROR(INDEX(Shrinkage!$P$2:$P$260,MATCH(SUBSTITUTE($A68," SS","  SS"),Shrinkage!$D$2:$D$260,0)),"NA"))</f>
        <v>-21339</v>
      </c>
      <c r="E68" s="65" t="n">
        <f aca="false">IFERROR(INDEX('Inventory Hygiene'!$I$3:$I$254,MATCH($A68,'Inventory Hygiene'!$B$3:$B$254,0)),IFERROR(INDEX('Inventory Hygiene'!$I$3:$I$254,MATCH(SUBSTITUTE($A68," SS","  SS"),'Inventory Hygiene'!$B$3:$B$254,0)),"NA"))</f>
        <v>0.9</v>
      </c>
      <c r="F68" s="64" t="n">
        <f aca="false">IFERROR(INDEX('Bad Bins'!$K$3:$K$253,MATCH($A68,'Bad Bins'!$B$3:$B$253,0)),IFERROR(INDEX('Bad Bins'!$K$3:$K$253,MATCH(SUBSTITUTE($A68," SS","  SS"),'Bad Bins'!$B$3:$B$253,0)),"NA"))</f>
        <v>13</v>
      </c>
      <c r="G68" s="64" t="n">
        <f aca="false">IFERROR(INDEX('RSTO &gt; 48hrs'!$H$2:$H$134,MATCH($A68,'RSTO &gt; 48hrs'!$B$2:$B$134,0)),IFERROR(INDEX('RSTO &gt; 48hrs'!$H$2:$H$134,MATCH(SUBSTITUTE($A68," SS","  SS"),'RSTO &gt; 48hrs'!$B$2:$B$134,0)),"NA"))</f>
        <v>3</v>
      </c>
      <c r="H68" s="64" t="n">
        <f aca="false">IFERROR(INDEX('Recirculation &gt; 24 hrs'!$K$3:$K$151,MATCH($A68,'Recirculation &gt; 24 hrs'!$B$3:$B$151,0)),IFERROR(INDEX('Recirculation &gt; 24 hrs'!$K$3:$K$151,MATCH(SUBSTITUTE($A68," SS","  SS"),'Recirculation &gt; 24 hrs'!$B$3:$B$151,0)),"NA"))</f>
        <v>1</v>
      </c>
      <c r="I68" s="64" t="n">
        <f aca="false">IFERROR(INDEX('Pending Putaway'!$E$2:$E$1537,MATCH($A68,'Pending Putaway'!$B$2:$B$1537,0)),IFERROR(INDEX('Pending Putaway'!$E$2:$E$1537,MATCH(SUBSTITUTE($A68," SS","  SS"),'Pending Putaway'!$B$2:$B$1537,0)),"NA"))</f>
        <v>0</v>
      </c>
      <c r="J68" s="64" t="n">
        <f aca="false">IFERROR(INDEX('Pending Putaway'!$L$2:$L$1537,MATCH($A68,'Pending Putaway'!$B$2:$B$1537,0)),IFERROR(INDEX('Pending Putaway'!$L$2:$L$1537,MATCH(SUBSTITUTE($A68," SS","  SS"),'Pending Putaway'!$B$2:$B$1537,0)),"NA"))</f>
        <v>0</v>
      </c>
    </row>
    <row r="69" customFormat="false" ht="15" hidden="false" customHeight="false" outlineLevel="0" collapsed="false">
      <c r="A69" s="63" t="s">
        <v>91</v>
      </c>
      <c r="B69" s="63" t="str">
        <f aca="false">IFERROR(INDEX('CLM &amp; IM Mapping'!$B$2:$B$270,MATCH($A69,'CLM &amp; IM Mapping'!$A$2:$A$270,0)),"Not Mapped")</f>
        <v>Manoj Kj</v>
      </c>
      <c r="C69" s="63" t="str">
        <f aca="false">IFERROR(INDEX('CLM &amp; IM Mapping'!$C$2:$C$270,MATCH($A69,'CLM &amp; IM Mapping'!$A$2:$A$270,0)),"Not Mapped")</f>
        <v>Srittam Dhal</v>
      </c>
      <c r="D69" s="64" t="n">
        <f aca="false">IFERROR(INDEX(Shrinkage!$P$2:$P$260,MATCH($A69,Shrinkage!$D$2:$D$260,0)),IFERROR(INDEX(Shrinkage!$P$2:$P$260,MATCH(SUBSTITUTE($A69," SS","  SS"),Shrinkage!$D$2:$D$260,0)),"NA"))</f>
        <v>16461</v>
      </c>
      <c r="E69" s="65" t="n">
        <f aca="false">IFERROR(INDEX('Inventory Hygiene'!$I$3:$I$254,MATCH($A69,'Inventory Hygiene'!$B$3:$B$254,0)),IFERROR(INDEX('Inventory Hygiene'!$I$3:$I$254,MATCH(SUBSTITUTE($A69," SS","  SS"),'Inventory Hygiene'!$B$3:$B$254,0)),"NA"))</f>
        <v>0.01</v>
      </c>
      <c r="F69" s="64" t="n">
        <f aca="false">IFERROR(INDEX('Bad Bins'!$K$3:$K$253,MATCH($A69,'Bad Bins'!$B$3:$B$253,0)),IFERROR(INDEX('Bad Bins'!$K$3:$K$253,MATCH(SUBSTITUTE($A69," SS","  SS"),'Bad Bins'!$B$3:$B$253,0)),"NA"))</f>
        <v>79</v>
      </c>
      <c r="G69" s="64" t="n">
        <f aca="false">IFERROR(INDEX('RSTO &gt; 48hrs'!$H$2:$H$134,MATCH($A69,'RSTO &gt; 48hrs'!$B$2:$B$134,0)),IFERROR(INDEX('RSTO &gt; 48hrs'!$H$2:$H$134,MATCH(SUBSTITUTE($A69," SS","  SS"),'RSTO &gt; 48hrs'!$B$2:$B$134,0)),"NA"))</f>
        <v>882</v>
      </c>
      <c r="H69" s="64" t="n">
        <f aca="false">IFERROR(INDEX('Recirculation &gt; 24 hrs'!$K$3:$K$151,MATCH($A69,'Recirculation &gt; 24 hrs'!$B$3:$B$151,0)),IFERROR(INDEX('Recirculation &gt; 24 hrs'!$K$3:$K$151,MATCH(SUBSTITUTE($A69," SS","  SS"),'Recirculation &gt; 24 hrs'!$B$3:$B$151,0)),"NA"))</f>
        <v>1</v>
      </c>
      <c r="I69" s="64" t="n">
        <f aca="false">IFERROR(INDEX('Pending Putaway'!$E$2:$E$1537,MATCH($A69,'Pending Putaway'!$B$2:$B$1537,0)),IFERROR(INDEX('Pending Putaway'!$E$2:$E$1537,MATCH(SUBSTITUTE($A69," SS","  SS"),'Pending Putaway'!$B$2:$B$1537,0)),"NA"))</f>
        <v>0</v>
      </c>
      <c r="J69" s="64" t="n">
        <f aca="false">IFERROR(INDEX('Pending Putaway'!$L$2:$L$1537,MATCH($A69,'Pending Putaway'!$B$2:$B$1537,0)),IFERROR(INDEX('Pending Putaway'!$L$2:$L$1537,MATCH(SUBSTITUTE($A69," SS","  SS"),'Pending Putaway'!$B$2:$B$1537,0)),"NA"))</f>
        <v>0</v>
      </c>
    </row>
    <row r="70" customFormat="false" ht="15" hidden="false" customHeight="false" outlineLevel="0" collapsed="false">
      <c r="A70" s="63" t="s">
        <v>154</v>
      </c>
      <c r="B70" s="63" t="str">
        <f aca="false">IFERROR(INDEX('CLM &amp; IM Mapping'!$B$2:$B$270,MATCH($A70,'CLM &amp; IM Mapping'!$A$2:$A$270,0)),"Not Mapped")</f>
        <v>Manoj Kj</v>
      </c>
      <c r="C70" s="63" t="str">
        <f aca="false">IFERROR(INDEX('CLM &amp; IM Mapping'!$C$2:$C$270,MATCH($A70,'CLM &amp; IM Mapping'!$A$2:$A$270,0)),"Not Mapped")</f>
        <v>Srittam Dhal</v>
      </c>
      <c r="D70" s="64" t="n">
        <f aca="false">IFERROR(INDEX(Shrinkage!$P$2:$P$260,MATCH($A70,Shrinkage!$D$2:$D$260,0)),IFERROR(INDEX(Shrinkage!$P$2:$P$260,MATCH(SUBSTITUTE($A70," SS","  SS"),Shrinkage!$D$2:$D$260,0)),"NA"))</f>
        <v>6512</v>
      </c>
      <c r="E70" s="65" t="n">
        <f aca="false">IFERROR(INDEX('Inventory Hygiene'!$I$3:$I$254,MATCH($A70,'Inventory Hygiene'!$B$3:$B$254,0)),IFERROR(INDEX('Inventory Hygiene'!$I$3:$I$254,MATCH(SUBSTITUTE($A70," SS","  SS"),'Inventory Hygiene'!$B$3:$B$254,0)),"NA"))</f>
        <v>0.95</v>
      </c>
      <c r="F70" s="64" t="n">
        <f aca="false">IFERROR(INDEX('Bad Bins'!$K$3:$K$253,MATCH($A70,'Bad Bins'!$B$3:$B$253,0)),IFERROR(INDEX('Bad Bins'!$K$3:$K$253,MATCH(SUBSTITUTE($A70," SS","  SS"),'Bad Bins'!$B$3:$B$253,0)),"NA"))</f>
        <v>90</v>
      </c>
      <c r="G70" s="64" t="str">
        <f aca="false">IFERROR(INDEX('RSTO &gt; 48hrs'!$H$2:$H$134,MATCH($A70,'RSTO &gt; 48hrs'!$B$2:$B$134,0)),IFERROR(INDEX('RSTO &gt; 48hrs'!$H$2:$H$134,MATCH(SUBSTITUTE($A70," SS","  SS"),'RSTO &gt; 48hrs'!$B$2:$B$134,0)),"NA"))</f>
        <v>NA</v>
      </c>
      <c r="H70" s="64" t="n">
        <f aca="false">IFERROR(INDEX('Recirculation &gt; 24 hrs'!$K$3:$K$151,MATCH($A70,'Recirculation &gt; 24 hrs'!$B$3:$B$151,0)),IFERROR(INDEX('Recirculation &gt; 24 hrs'!$K$3:$K$151,MATCH(SUBSTITUTE($A70," SS","  SS"),'Recirculation &gt; 24 hrs'!$B$3:$B$151,0)),"NA"))</f>
        <v>1463</v>
      </c>
      <c r="I70" s="64" t="n">
        <f aca="false">IFERROR(INDEX('Pending Putaway'!$E$2:$E$1537,MATCH($A70,'Pending Putaway'!$B$2:$B$1537,0)),IFERROR(INDEX('Pending Putaway'!$E$2:$E$1537,MATCH(SUBSTITUTE($A70," SS","  SS"),'Pending Putaway'!$B$2:$B$1537,0)),"NA"))</f>
        <v>1951</v>
      </c>
      <c r="J70" s="64" t="n">
        <f aca="false">IFERROR(INDEX('Pending Putaway'!$L$2:$L$1537,MATCH($A70,'Pending Putaway'!$B$2:$B$1537,0)),IFERROR(INDEX('Pending Putaway'!$L$2:$L$1537,MATCH(SUBSTITUTE($A70," SS","  SS"),'Pending Putaway'!$B$2:$B$1537,0)),"NA"))</f>
        <v>0</v>
      </c>
    </row>
    <row r="71" customFormat="false" ht="15" hidden="false" customHeight="false" outlineLevel="0" collapsed="false">
      <c r="A71" s="63" t="s">
        <v>54</v>
      </c>
      <c r="B71" s="63" t="str">
        <f aca="false">IFERROR(INDEX('CLM &amp; IM Mapping'!$B$2:$B$270,MATCH($A71,'CLM &amp; IM Mapping'!$A$2:$A$270,0)),"Not Mapped")</f>
        <v>Manoj Kj</v>
      </c>
      <c r="C71" s="63" t="str">
        <f aca="false">IFERROR(INDEX('CLM &amp; IM Mapping'!$C$2:$C$270,MATCH($A71,'CLM &amp; IM Mapping'!$A$2:$A$270,0)),"Not Mapped")</f>
        <v>Srittam Dhal</v>
      </c>
      <c r="D71" s="64" t="n">
        <f aca="false">IFERROR(INDEX(Shrinkage!$P$2:$P$260,MATCH($A71,Shrinkage!$D$2:$D$260,0)),IFERROR(INDEX(Shrinkage!$P$2:$P$260,MATCH(SUBSTITUTE($A71," SS","  SS"),Shrinkage!$D$2:$D$260,0)),"NA"))</f>
        <v>4392</v>
      </c>
      <c r="E71" s="65" t="n">
        <f aca="false">IFERROR(INDEX('Inventory Hygiene'!$I$3:$I$254,MATCH($A71,'Inventory Hygiene'!$B$3:$B$254,0)),IFERROR(INDEX('Inventory Hygiene'!$I$3:$I$254,MATCH(SUBSTITUTE($A71," SS","  SS"),'Inventory Hygiene'!$B$3:$B$254,0)),"NA"))</f>
        <v>0.86</v>
      </c>
      <c r="F71" s="64" t="n">
        <f aca="false">IFERROR(INDEX('Bad Bins'!$K$3:$K$253,MATCH($A71,'Bad Bins'!$B$3:$B$253,0)),IFERROR(INDEX('Bad Bins'!$K$3:$K$253,MATCH(SUBSTITUTE($A71," SS","  SS"),'Bad Bins'!$B$3:$B$253,0)),"NA"))</f>
        <v>79</v>
      </c>
      <c r="G71" s="64" t="str">
        <f aca="false">IFERROR(INDEX('RSTO &gt; 48hrs'!$H$2:$H$134,MATCH($A71,'RSTO &gt; 48hrs'!$B$2:$B$134,0)),IFERROR(INDEX('RSTO &gt; 48hrs'!$H$2:$H$134,MATCH(SUBSTITUTE($A71," SS","  SS"),'RSTO &gt; 48hrs'!$B$2:$B$134,0)),"NA"))</f>
        <v>NA</v>
      </c>
      <c r="H71" s="64" t="n">
        <f aca="false">IFERROR(INDEX('Recirculation &gt; 24 hrs'!$K$3:$K$151,MATCH($A71,'Recirculation &gt; 24 hrs'!$B$3:$B$151,0)),IFERROR(INDEX('Recirculation &gt; 24 hrs'!$K$3:$K$151,MATCH(SUBSTITUTE($A71," SS","  SS"),'Recirculation &gt; 24 hrs'!$B$3:$B$151,0)),"NA"))</f>
        <v>1</v>
      </c>
      <c r="I71" s="64" t="n">
        <f aca="false">IFERROR(INDEX('Pending Putaway'!$E$2:$E$1537,MATCH($A71,'Pending Putaway'!$B$2:$B$1537,0)),IFERROR(INDEX('Pending Putaway'!$E$2:$E$1537,MATCH(SUBSTITUTE($A71," SS","  SS"),'Pending Putaway'!$B$2:$B$1537,0)),"NA"))</f>
        <v>0</v>
      </c>
      <c r="J71" s="64" t="n">
        <f aca="false">IFERROR(INDEX('Pending Putaway'!$L$2:$L$1537,MATCH($A71,'Pending Putaway'!$B$2:$B$1537,0)),IFERROR(INDEX('Pending Putaway'!$L$2:$L$1537,MATCH(SUBSTITUTE($A71," SS","  SS"),'Pending Putaway'!$B$2:$B$1537,0)),"NA"))</f>
        <v>0</v>
      </c>
    </row>
    <row r="72" customFormat="false" ht="15" hidden="false" customHeight="false" outlineLevel="0" collapsed="false">
      <c r="A72" s="63" t="s">
        <v>71</v>
      </c>
      <c r="B72" s="63" t="str">
        <f aca="false">IFERROR(INDEX('CLM &amp; IM Mapping'!$B$2:$B$270,MATCH($A72,'CLM &amp; IM Mapping'!$A$2:$A$270,0)),"Not Mapped")</f>
        <v>Manoj Kj</v>
      </c>
      <c r="C72" s="63" t="str">
        <f aca="false">IFERROR(INDEX('CLM &amp; IM Mapping'!$C$2:$C$270,MATCH($A72,'CLM &amp; IM Mapping'!$A$2:$A$270,0)),"Not Mapped")</f>
        <v>Srittam Dhal</v>
      </c>
      <c r="D72" s="64" t="n">
        <f aca="false">IFERROR(INDEX(Shrinkage!$P$2:$P$260,MATCH($A72,Shrinkage!$D$2:$D$260,0)),IFERROR(INDEX(Shrinkage!$P$2:$P$260,MATCH(SUBSTITUTE($A72," SS","  SS"),Shrinkage!$D$2:$D$260,0)),"NA"))</f>
        <v>110703</v>
      </c>
      <c r="E72" s="65" t="str">
        <f aca="false">IFERROR(INDEX('Inventory Hygiene'!$I$3:$I$254,MATCH($A72,'Inventory Hygiene'!$B$3:$B$254,0)),IFERROR(INDEX('Inventory Hygiene'!$I$3:$I$254,MATCH(SUBSTITUTE($A72," SS","  SS"),'Inventory Hygiene'!$B$3:$B$254,0)),"NA"))</f>
        <v>NA</v>
      </c>
      <c r="F72" s="64" t="str">
        <f aca="false">IFERROR(INDEX('Bad Bins'!$K$3:$K$253,MATCH($A72,'Bad Bins'!$B$3:$B$253,0)),IFERROR(INDEX('Bad Bins'!$K$3:$K$253,MATCH(SUBSTITUTE($A72," SS","  SS"),'Bad Bins'!$B$3:$B$253,0)),"NA"))</f>
        <v>NA</v>
      </c>
      <c r="G72" s="64" t="n">
        <f aca="false">IFERROR(INDEX('RSTO &gt; 48hrs'!$H$2:$H$134,MATCH($A72,'RSTO &gt; 48hrs'!$B$2:$B$134,0)),IFERROR(INDEX('RSTO &gt; 48hrs'!$H$2:$H$134,MATCH(SUBSTITUTE($A72," SS","  SS"),'RSTO &gt; 48hrs'!$B$2:$B$134,0)),"NA"))</f>
        <v>516</v>
      </c>
      <c r="H72" s="64" t="n">
        <f aca="false">IFERROR(INDEX('Recirculation &gt; 24 hrs'!$K$3:$K$151,MATCH($A72,'Recirculation &gt; 24 hrs'!$B$3:$B$151,0)),IFERROR(INDEX('Recirculation &gt; 24 hrs'!$K$3:$K$151,MATCH(SUBSTITUTE($A72," SS","  SS"),'Recirculation &gt; 24 hrs'!$B$3:$B$151,0)),"NA"))</f>
        <v>79</v>
      </c>
      <c r="I72" s="64" t="n">
        <f aca="false">IFERROR(INDEX('Pending Putaway'!$E$2:$E$1537,MATCH($A72,'Pending Putaway'!$B$2:$B$1537,0)),IFERROR(INDEX('Pending Putaway'!$E$2:$E$1537,MATCH(SUBSTITUTE($A72," SS","  SS"),'Pending Putaway'!$B$2:$B$1537,0)),"NA"))</f>
        <v>0</v>
      </c>
      <c r="J72" s="64" t="n">
        <f aca="false">IFERROR(INDEX('Pending Putaway'!$L$2:$L$1537,MATCH($A72,'Pending Putaway'!$B$2:$B$1537,0)),IFERROR(INDEX('Pending Putaway'!$L$2:$L$1537,MATCH(SUBSTITUTE($A72," SS","  SS"),'Pending Putaway'!$B$2:$B$1537,0)),"NA"))</f>
        <v>0</v>
      </c>
    </row>
    <row r="73" customFormat="false" ht="15" hidden="false" customHeight="false" outlineLevel="0" collapsed="false">
      <c r="A73" s="63" t="s">
        <v>69</v>
      </c>
      <c r="B73" s="63" t="str">
        <f aca="false">IFERROR(INDEX('CLM &amp; IM Mapping'!$B$2:$B$270,MATCH($A73,'CLM &amp; IM Mapping'!$A$2:$A$270,0)),"Not Mapped")</f>
        <v>Akshay P</v>
      </c>
      <c r="C73" s="63" t="str">
        <f aca="false">IFERROR(INDEX('CLM &amp; IM Mapping'!$C$2:$C$270,MATCH($A73,'CLM &amp; IM Mapping'!$A$2:$A$270,0)),"Not Mapped")</f>
        <v>Srittam Dhal</v>
      </c>
      <c r="D73" s="64" t="n">
        <f aca="false">IFERROR(INDEX(Shrinkage!$P$2:$P$260,MATCH($A73,Shrinkage!$D$2:$D$260,0)),IFERROR(INDEX(Shrinkage!$P$2:$P$260,MATCH(SUBSTITUTE($A73," SS","  SS"),Shrinkage!$D$2:$D$260,0)),"NA"))</f>
        <v>4210</v>
      </c>
      <c r="E73" s="65" t="n">
        <f aca="false">IFERROR(INDEX('Inventory Hygiene'!$I$3:$I$254,MATCH($A73,'Inventory Hygiene'!$B$3:$B$254,0)),IFERROR(INDEX('Inventory Hygiene'!$I$3:$I$254,MATCH(SUBSTITUTE($A73," SS","  SS"),'Inventory Hygiene'!$B$3:$B$254,0)),"NA"))</f>
        <v>0.87</v>
      </c>
      <c r="F73" s="64" t="n">
        <f aca="false">IFERROR(INDEX('Bad Bins'!$K$3:$K$253,MATCH($A73,'Bad Bins'!$B$3:$B$253,0)),IFERROR(INDEX('Bad Bins'!$K$3:$K$253,MATCH(SUBSTITUTE($A73," SS","  SS"),'Bad Bins'!$B$3:$B$253,0)),"NA"))</f>
        <v>109</v>
      </c>
      <c r="G73" s="64" t="n">
        <f aca="false">IFERROR(INDEX('RSTO &gt; 48hrs'!$H$2:$H$134,MATCH($A73,'RSTO &gt; 48hrs'!$B$2:$B$134,0)),IFERROR(INDEX('RSTO &gt; 48hrs'!$H$2:$H$134,MATCH(SUBSTITUTE($A73," SS","  SS"),'RSTO &gt; 48hrs'!$B$2:$B$134,0)),"NA"))</f>
        <v>58</v>
      </c>
      <c r="H73" s="64" t="n">
        <f aca="false">IFERROR(INDEX('Recirculation &gt; 24 hrs'!$K$3:$K$151,MATCH($A73,'Recirculation &gt; 24 hrs'!$B$3:$B$151,0)),IFERROR(INDEX('Recirculation &gt; 24 hrs'!$K$3:$K$151,MATCH(SUBSTITUTE($A73," SS","  SS"),'Recirculation &gt; 24 hrs'!$B$3:$B$151,0)),"NA"))</f>
        <v>5</v>
      </c>
      <c r="I73" s="64" t="n">
        <f aca="false">IFERROR(INDEX('Pending Putaway'!$E$2:$E$1537,MATCH($A73,'Pending Putaway'!$B$2:$B$1537,0)),IFERROR(INDEX('Pending Putaway'!$E$2:$E$1537,MATCH(SUBSTITUTE($A73," SS","  SS"),'Pending Putaway'!$B$2:$B$1537,0)),"NA"))</f>
        <v>1522</v>
      </c>
      <c r="J73" s="64" t="n">
        <f aca="false">IFERROR(INDEX('Pending Putaway'!$L$2:$L$1537,MATCH($A73,'Pending Putaway'!$B$2:$B$1537,0)),IFERROR(INDEX('Pending Putaway'!$L$2:$L$1537,MATCH(SUBSTITUTE($A73," SS","  SS"),'Pending Putaway'!$B$2:$B$1537,0)),"NA"))</f>
        <v>0</v>
      </c>
    </row>
    <row r="74" customFormat="false" ht="15" hidden="false" customHeight="false" outlineLevel="0" collapsed="false">
      <c r="A74" s="63" t="s">
        <v>144</v>
      </c>
      <c r="B74" s="63" t="str">
        <f aca="false">IFERROR(INDEX('CLM &amp; IM Mapping'!$B$2:$B$270,MATCH($A74,'CLM &amp; IM Mapping'!$A$2:$A$270,0)),"Not Mapped")</f>
        <v>Akshay P</v>
      </c>
      <c r="C74" s="63" t="str">
        <f aca="false">IFERROR(INDEX('CLM &amp; IM Mapping'!$C$2:$C$270,MATCH($A74,'CLM &amp; IM Mapping'!$A$2:$A$270,0)),"Not Mapped")</f>
        <v>Srittam Dhal</v>
      </c>
      <c r="D74" s="64" t="n">
        <f aca="false">IFERROR(INDEX(Shrinkage!$P$2:$P$260,MATCH($A74,Shrinkage!$D$2:$D$260,0)),IFERROR(INDEX(Shrinkage!$P$2:$P$260,MATCH(SUBSTITUTE($A74," SS","  SS"),Shrinkage!$D$2:$D$260,0)),"NA"))</f>
        <v>30399</v>
      </c>
      <c r="E74" s="65" t="n">
        <f aca="false">IFERROR(INDEX('Inventory Hygiene'!$I$3:$I$254,MATCH($A74,'Inventory Hygiene'!$B$3:$B$254,0)),IFERROR(INDEX('Inventory Hygiene'!$I$3:$I$254,MATCH(SUBSTITUTE($A74," SS","  SS"),'Inventory Hygiene'!$B$3:$B$254,0)),"NA"))</f>
        <v>0.75</v>
      </c>
      <c r="F74" s="64" t="n">
        <f aca="false">IFERROR(INDEX('Bad Bins'!$K$3:$K$253,MATCH($A74,'Bad Bins'!$B$3:$B$253,0)),IFERROR(INDEX('Bad Bins'!$K$3:$K$253,MATCH(SUBSTITUTE($A74," SS","  SS"),'Bad Bins'!$B$3:$B$253,0)),"NA"))</f>
        <v>177</v>
      </c>
      <c r="G74" s="64" t="str">
        <f aca="false">IFERROR(INDEX('RSTO &gt; 48hrs'!$H$2:$H$134,MATCH($A74,'RSTO &gt; 48hrs'!$B$2:$B$134,0)),IFERROR(INDEX('RSTO &gt; 48hrs'!$H$2:$H$134,MATCH(SUBSTITUTE($A74," SS","  SS"),'RSTO &gt; 48hrs'!$B$2:$B$134,0)),"NA"))</f>
        <v>NA</v>
      </c>
      <c r="H74" s="64" t="n">
        <f aca="false">IFERROR(INDEX('Recirculation &gt; 24 hrs'!$K$3:$K$151,MATCH($A74,'Recirculation &gt; 24 hrs'!$B$3:$B$151,0)),IFERROR(INDEX('Recirculation &gt; 24 hrs'!$K$3:$K$151,MATCH(SUBSTITUTE($A74," SS","  SS"),'Recirculation &gt; 24 hrs'!$B$3:$B$151,0)),"NA"))</f>
        <v>79</v>
      </c>
      <c r="I74" s="64" t="n">
        <f aca="false">IFERROR(INDEX('Pending Putaway'!$E$2:$E$1537,MATCH($A74,'Pending Putaway'!$B$2:$B$1537,0)),IFERROR(INDEX('Pending Putaway'!$E$2:$E$1537,MATCH(SUBSTITUTE($A74," SS","  SS"),'Pending Putaway'!$B$2:$B$1537,0)),"NA"))</f>
        <v>6434</v>
      </c>
      <c r="J74" s="64" t="n">
        <f aca="false">IFERROR(INDEX('Pending Putaway'!$L$2:$L$1537,MATCH($A74,'Pending Putaway'!$B$2:$B$1537,0)),IFERROR(INDEX('Pending Putaway'!$L$2:$L$1537,MATCH(SUBSTITUTE($A74," SS","  SS"),'Pending Putaway'!$B$2:$B$1537,0)),"NA"))</f>
        <v>1770</v>
      </c>
    </row>
    <row r="75" customFormat="false" ht="15" hidden="false" customHeight="false" outlineLevel="0" collapsed="false">
      <c r="A75" s="63" t="s">
        <v>23</v>
      </c>
      <c r="B75" s="63" t="str">
        <f aca="false">IFERROR(INDEX('CLM &amp; IM Mapping'!$B$2:$B$270,MATCH($A75,'CLM &amp; IM Mapping'!$A$2:$A$270,0)),"Not Mapped")</f>
        <v>Akshay P</v>
      </c>
      <c r="C75" s="63" t="str">
        <f aca="false">IFERROR(INDEX('CLM &amp; IM Mapping'!$C$2:$C$270,MATCH($A75,'CLM &amp; IM Mapping'!$A$2:$A$270,0)),"Not Mapped")</f>
        <v>Srittam Dhal</v>
      </c>
      <c r="D75" s="64" t="n">
        <f aca="false">IFERROR(INDEX(Shrinkage!$P$2:$P$260,MATCH($A75,Shrinkage!$D$2:$D$260,0)),IFERROR(INDEX(Shrinkage!$P$2:$P$260,MATCH(SUBSTITUTE($A75," SS","  SS"),Shrinkage!$D$2:$D$260,0)),"NA"))</f>
        <v>7282</v>
      </c>
      <c r="E75" s="65" t="n">
        <f aca="false">IFERROR(INDEX('Inventory Hygiene'!$I$3:$I$254,MATCH($A75,'Inventory Hygiene'!$B$3:$B$254,0)),IFERROR(INDEX('Inventory Hygiene'!$I$3:$I$254,MATCH(SUBSTITUTE($A75," SS","  SS"),'Inventory Hygiene'!$B$3:$B$254,0)),"NA"))</f>
        <v>0.86</v>
      </c>
      <c r="F75" s="64" t="n">
        <f aca="false">IFERROR(INDEX('Bad Bins'!$K$3:$K$253,MATCH($A75,'Bad Bins'!$B$3:$B$253,0)),IFERROR(INDEX('Bad Bins'!$K$3:$K$253,MATCH(SUBSTITUTE($A75," SS","  SS"),'Bad Bins'!$B$3:$B$253,0)),"NA"))</f>
        <v>76</v>
      </c>
      <c r="G75" s="64" t="n">
        <f aca="false">IFERROR(INDEX('RSTO &gt; 48hrs'!$H$2:$H$134,MATCH($A75,'RSTO &gt; 48hrs'!$B$2:$B$134,0)),IFERROR(INDEX('RSTO &gt; 48hrs'!$H$2:$H$134,MATCH(SUBSTITUTE($A75," SS","  SS"),'RSTO &gt; 48hrs'!$B$2:$B$134,0)),"NA"))</f>
        <v>246</v>
      </c>
      <c r="H75" s="64" t="n">
        <f aca="false">IFERROR(INDEX('Recirculation &gt; 24 hrs'!$K$3:$K$151,MATCH($A75,'Recirculation &gt; 24 hrs'!$B$3:$B$151,0)),IFERROR(INDEX('Recirculation &gt; 24 hrs'!$K$3:$K$151,MATCH(SUBSTITUTE($A75," SS","  SS"),'Recirculation &gt; 24 hrs'!$B$3:$B$151,0)),"NA"))</f>
        <v>509</v>
      </c>
      <c r="I75" s="64" t="n">
        <f aca="false">IFERROR(INDEX('Pending Putaway'!$E$2:$E$1537,MATCH($A75,'Pending Putaway'!$B$2:$B$1537,0)),IFERROR(INDEX('Pending Putaway'!$E$2:$E$1537,MATCH(SUBSTITUTE($A75," SS","  SS"),'Pending Putaway'!$B$2:$B$1537,0)),"NA"))</f>
        <v>155</v>
      </c>
      <c r="J75" s="64" t="n">
        <f aca="false">IFERROR(INDEX('Pending Putaway'!$L$2:$L$1537,MATCH($A75,'Pending Putaway'!$B$2:$B$1537,0)),IFERROR(INDEX('Pending Putaway'!$L$2:$L$1537,MATCH(SUBSTITUTE($A75," SS","  SS"),'Pending Putaway'!$B$2:$B$1537,0)),"NA"))</f>
        <v>28</v>
      </c>
    </row>
    <row r="76" customFormat="false" ht="15" hidden="false" customHeight="false" outlineLevel="0" collapsed="false">
      <c r="A76" s="63" t="s">
        <v>109</v>
      </c>
      <c r="B76" s="63" t="str">
        <f aca="false">IFERROR(INDEX('CLM &amp; IM Mapping'!$B$2:$B$270,MATCH($A76,'CLM &amp; IM Mapping'!$A$2:$A$270,0)),"Not Mapped")</f>
        <v>Akshay P</v>
      </c>
      <c r="C76" s="63" t="str">
        <f aca="false">IFERROR(INDEX('CLM &amp; IM Mapping'!$C$2:$C$270,MATCH($A76,'CLM &amp; IM Mapping'!$A$2:$A$270,0)),"Not Mapped")</f>
        <v>Srittam Dhal</v>
      </c>
      <c r="D76" s="64" t="n">
        <f aca="false">IFERROR(INDEX(Shrinkage!$P$2:$P$260,MATCH($A76,Shrinkage!$D$2:$D$260,0)),IFERROR(INDEX(Shrinkage!$P$2:$P$260,MATCH(SUBSTITUTE($A76," SS","  SS"),Shrinkage!$D$2:$D$260,0)),"NA"))</f>
        <v>2287</v>
      </c>
      <c r="E76" s="65" t="n">
        <f aca="false">IFERROR(INDEX('Inventory Hygiene'!$I$3:$I$254,MATCH($A76,'Inventory Hygiene'!$B$3:$B$254,0)),IFERROR(INDEX('Inventory Hygiene'!$I$3:$I$254,MATCH(SUBSTITUTE($A76," SS","  SS"),'Inventory Hygiene'!$B$3:$B$254,0)),"NA"))</f>
        <v>0.59</v>
      </c>
      <c r="F76" s="64" t="n">
        <f aca="false">IFERROR(INDEX('Bad Bins'!$K$3:$K$253,MATCH($A76,'Bad Bins'!$B$3:$B$253,0)),IFERROR(INDEX('Bad Bins'!$K$3:$K$253,MATCH(SUBSTITUTE($A76," SS","  SS"),'Bad Bins'!$B$3:$B$253,0)),"NA"))</f>
        <v>57</v>
      </c>
      <c r="G76" s="64" t="str">
        <f aca="false">IFERROR(INDEX('RSTO &gt; 48hrs'!$H$2:$H$134,MATCH($A76,'RSTO &gt; 48hrs'!$B$2:$B$134,0)),IFERROR(INDEX('RSTO &gt; 48hrs'!$H$2:$H$134,MATCH(SUBSTITUTE($A76," SS","  SS"),'RSTO &gt; 48hrs'!$B$2:$B$134,0)),"NA"))</f>
        <v>NA</v>
      </c>
      <c r="H76" s="64" t="n">
        <f aca="false">IFERROR(INDEX('Recirculation &gt; 24 hrs'!$K$3:$K$151,MATCH($A76,'Recirculation &gt; 24 hrs'!$B$3:$B$151,0)),IFERROR(INDEX('Recirculation &gt; 24 hrs'!$K$3:$K$151,MATCH(SUBSTITUTE($A76," SS","  SS"),'Recirculation &gt; 24 hrs'!$B$3:$B$151,0)),"NA"))</f>
        <v>1</v>
      </c>
      <c r="I76" s="64" t="n">
        <f aca="false">IFERROR(INDEX('Pending Putaway'!$E$2:$E$1537,MATCH($A76,'Pending Putaway'!$B$2:$B$1537,0)),IFERROR(INDEX('Pending Putaway'!$E$2:$E$1537,MATCH(SUBSTITUTE($A76," SS","  SS"),'Pending Putaway'!$B$2:$B$1537,0)),"NA"))</f>
        <v>0</v>
      </c>
      <c r="J76" s="64" t="n">
        <f aca="false">IFERROR(INDEX('Pending Putaway'!$L$2:$L$1537,MATCH($A76,'Pending Putaway'!$B$2:$B$1537,0)),IFERROR(INDEX('Pending Putaway'!$L$2:$L$1537,MATCH(SUBSTITUTE($A76," SS","  SS"),'Pending Putaway'!$B$2:$B$1537,0)),"NA"))</f>
        <v>0</v>
      </c>
    </row>
    <row r="77" customFormat="false" ht="15" hidden="false" customHeight="false" outlineLevel="0" collapsed="false">
      <c r="A77" s="63" t="s">
        <v>59</v>
      </c>
      <c r="B77" s="63" t="str">
        <f aca="false">IFERROR(INDEX('CLM &amp; IM Mapping'!$B$2:$B$270,MATCH($A77,'CLM &amp; IM Mapping'!$A$2:$A$270,0)),"Not Mapped")</f>
        <v>Manoj Kj</v>
      </c>
      <c r="C77" s="63" t="str">
        <f aca="false">IFERROR(INDEX('CLM &amp; IM Mapping'!$C$2:$C$270,MATCH($A77,'CLM &amp; IM Mapping'!$A$2:$A$270,0)),"Not Mapped")</f>
        <v>Srittam Dhal</v>
      </c>
      <c r="D77" s="64" t="n">
        <f aca="false">IFERROR(INDEX(Shrinkage!$P$2:$P$260,MATCH($A77,Shrinkage!$D$2:$D$260,0)),IFERROR(INDEX(Shrinkage!$P$2:$P$260,MATCH(SUBSTITUTE($A77," SS","  SS"),Shrinkage!$D$2:$D$260,0)),"NA"))</f>
        <v>32060</v>
      </c>
      <c r="E77" s="65" t="n">
        <f aca="false">IFERROR(INDEX('Inventory Hygiene'!$I$3:$I$254,MATCH($A77,'Inventory Hygiene'!$B$3:$B$254,0)),IFERROR(INDEX('Inventory Hygiene'!$I$3:$I$254,MATCH(SUBSTITUTE($A77," SS","  SS"),'Inventory Hygiene'!$B$3:$B$254,0)),"NA"))</f>
        <v>0.64</v>
      </c>
      <c r="F77" s="64" t="n">
        <f aca="false">IFERROR(INDEX('Bad Bins'!$K$3:$K$253,MATCH($A77,'Bad Bins'!$B$3:$B$253,0)),IFERROR(INDEX('Bad Bins'!$K$3:$K$253,MATCH(SUBSTITUTE($A77," SS","  SS"),'Bad Bins'!$B$3:$B$253,0)),"NA"))</f>
        <v>140</v>
      </c>
      <c r="G77" s="64" t="n">
        <f aca="false">IFERROR(INDEX('RSTO &gt; 48hrs'!$H$2:$H$134,MATCH($A77,'RSTO &gt; 48hrs'!$B$2:$B$134,0)),IFERROR(INDEX('RSTO &gt; 48hrs'!$H$2:$H$134,MATCH(SUBSTITUTE($A77," SS","  SS"),'RSTO &gt; 48hrs'!$B$2:$B$134,0)),"NA"))</f>
        <v>256</v>
      </c>
      <c r="H77" s="64" t="str">
        <f aca="false">IFERROR(INDEX('Recirculation &gt; 24 hrs'!$K$3:$K$151,MATCH($A77,'Recirculation &gt; 24 hrs'!$B$3:$B$151,0)),IFERROR(INDEX('Recirculation &gt; 24 hrs'!$K$3:$K$151,MATCH(SUBSTITUTE($A77," SS","  SS"),'Recirculation &gt; 24 hrs'!$B$3:$B$151,0)),"NA"))</f>
        <v>NA</v>
      </c>
      <c r="I77" s="64" t="n">
        <f aca="false">IFERROR(INDEX('Pending Putaway'!$E$2:$E$1537,MATCH($A77,'Pending Putaway'!$B$2:$B$1537,0)),IFERROR(INDEX('Pending Putaway'!$E$2:$E$1537,MATCH(SUBSTITUTE($A77," SS","  SS"),'Pending Putaway'!$B$2:$B$1537,0)),"NA"))</f>
        <v>0</v>
      </c>
      <c r="J77" s="64" t="n">
        <f aca="false">IFERROR(INDEX('Pending Putaway'!$L$2:$L$1537,MATCH($A77,'Pending Putaway'!$B$2:$B$1537,0)),IFERROR(INDEX('Pending Putaway'!$L$2:$L$1537,MATCH(SUBSTITUTE($A77," SS","  SS"),'Pending Putaway'!$B$2:$B$1537,0)),"NA"))</f>
        <v>0</v>
      </c>
    </row>
    <row r="78" customFormat="false" ht="15" hidden="false" customHeight="false" outlineLevel="0" collapsed="false">
      <c r="A78" s="63" t="s">
        <v>204</v>
      </c>
      <c r="B78" s="63" t="str">
        <f aca="false">IFERROR(INDEX('CLM &amp; IM Mapping'!$B$2:$B$270,MATCH($A78,'CLM &amp; IM Mapping'!$A$2:$A$270,0)),"Not Mapped")</f>
        <v>Manoj Kj</v>
      </c>
      <c r="C78" s="63" t="str">
        <f aca="false">IFERROR(INDEX('CLM &amp; IM Mapping'!$C$2:$C$270,MATCH($A78,'CLM &amp; IM Mapping'!$A$2:$A$270,0)),"Not Mapped")</f>
        <v>Srittam Dhal</v>
      </c>
      <c r="D78" s="64" t="n">
        <f aca="false">IFERROR(INDEX(Shrinkage!$P$2:$P$260,MATCH($A78,Shrinkage!$D$2:$D$260,0)),IFERROR(INDEX(Shrinkage!$P$2:$P$260,MATCH(SUBSTITUTE($A78," SS","  SS"),Shrinkage!$D$2:$D$260,0)),"NA"))</f>
        <v>-25063</v>
      </c>
      <c r="E78" s="65" t="n">
        <f aca="false">IFERROR(INDEX('Inventory Hygiene'!$I$3:$I$254,MATCH($A78,'Inventory Hygiene'!$B$3:$B$254,0)),IFERROR(INDEX('Inventory Hygiene'!$I$3:$I$254,MATCH(SUBSTITUTE($A78," SS","  SS"),'Inventory Hygiene'!$B$3:$B$254,0)),"NA"))</f>
        <v>0.93</v>
      </c>
      <c r="F78" s="64" t="n">
        <f aca="false">IFERROR(INDEX('Bad Bins'!$K$3:$K$253,MATCH($A78,'Bad Bins'!$B$3:$B$253,0)),IFERROR(INDEX('Bad Bins'!$K$3:$K$253,MATCH(SUBSTITUTE($A78," SS","  SS"),'Bad Bins'!$B$3:$B$253,0)),"NA"))</f>
        <v>186</v>
      </c>
      <c r="G78" s="64" t="str">
        <f aca="false">IFERROR(INDEX('RSTO &gt; 48hrs'!$H$2:$H$134,MATCH($A78,'RSTO &gt; 48hrs'!$B$2:$B$134,0)),IFERROR(INDEX('RSTO &gt; 48hrs'!$H$2:$H$134,MATCH(SUBSTITUTE($A78," SS","  SS"),'RSTO &gt; 48hrs'!$B$2:$B$134,0)),"NA"))</f>
        <v>NA</v>
      </c>
      <c r="H78" s="64" t="n">
        <f aca="false">IFERROR(INDEX('Recirculation &gt; 24 hrs'!$K$3:$K$151,MATCH($A78,'Recirculation &gt; 24 hrs'!$B$3:$B$151,0)),IFERROR(INDEX('Recirculation &gt; 24 hrs'!$K$3:$K$151,MATCH(SUBSTITUTE($A78," SS","  SS"),'Recirculation &gt; 24 hrs'!$B$3:$B$151,0)),"NA"))</f>
        <v>16</v>
      </c>
      <c r="I78" s="64" t="n">
        <f aca="false">IFERROR(INDEX('Pending Putaway'!$E$2:$E$1537,MATCH($A78,'Pending Putaway'!$B$2:$B$1537,0)),IFERROR(INDEX('Pending Putaway'!$E$2:$E$1537,MATCH(SUBSTITUTE($A78," SS","  SS"),'Pending Putaway'!$B$2:$B$1537,0)),"NA"))</f>
        <v>0</v>
      </c>
      <c r="J78" s="64" t="n">
        <f aca="false">IFERROR(INDEX('Pending Putaway'!$L$2:$L$1537,MATCH($A78,'Pending Putaway'!$B$2:$B$1537,0)),IFERROR(INDEX('Pending Putaway'!$L$2:$L$1537,MATCH(SUBSTITUTE($A78," SS","  SS"),'Pending Putaway'!$B$2:$B$1537,0)),"NA"))</f>
        <v>0</v>
      </c>
    </row>
    <row r="79" customFormat="false" ht="15" hidden="false" customHeight="false" outlineLevel="0" collapsed="false">
      <c r="A79" s="63" t="s">
        <v>218</v>
      </c>
      <c r="B79" s="63" t="str">
        <f aca="false">IFERROR(INDEX('CLM &amp; IM Mapping'!$B$2:$B$270,MATCH($A79,'CLM &amp; IM Mapping'!$A$2:$A$270,0)),"Not Mapped")</f>
        <v>Akshay P</v>
      </c>
      <c r="C79" s="63" t="str">
        <f aca="false">IFERROR(INDEX('CLM &amp; IM Mapping'!$C$2:$C$270,MATCH($A79,'CLM &amp; IM Mapping'!$A$2:$A$270,0)),"Not Mapped")</f>
        <v>Srittam Dhal</v>
      </c>
      <c r="D79" s="64" t="n">
        <f aca="false">IFERROR(INDEX(Shrinkage!$P$2:$P$260,MATCH($A79,Shrinkage!$D$2:$D$260,0)),IFERROR(INDEX(Shrinkage!$P$2:$P$260,MATCH(SUBSTITUTE($A79," SS","  SS"),Shrinkage!$D$2:$D$260,0)),"NA"))</f>
        <v>-240</v>
      </c>
      <c r="E79" s="65" t="n">
        <f aca="false">IFERROR(INDEX('Inventory Hygiene'!$I$3:$I$254,MATCH($A79,'Inventory Hygiene'!$B$3:$B$254,0)),IFERROR(INDEX('Inventory Hygiene'!$I$3:$I$254,MATCH(SUBSTITUTE($A79," SS","  SS"),'Inventory Hygiene'!$B$3:$B$254,0)),"NA"))</f>
        <v>0.35</v>
      </c>
      <c r="F79" s="64" t="n">
        <f aca="false">IFERROR(INDEX('Bad Bins'!$K$3:$K$253,MATCH($A79,'Bad Bins'!$B$3:$B$253,0)),IFERROR(INDEX('Bad Bins'!$K$3:$K$253,MATCH(SUBSTITUTE($A79," SS","  SS"),'Bad Bins'!$B$3:$B$253,0)),"NA"))</f>
        <v>157</v>
      </c>
      <c r="G79" s="64" t="n">
        <f aca="false">IFERROR(INDEX('RSTO &gt; 48hrs'!$H$2:$H$134,MATCH($A79,'RSTO &gt; 48hrs'!$B$2:$B$134,0)),IFERROR(INDEX('RSTO &gt; 48hrs'!$H$2:$H$134,MATCH(SUBSTITUTE($A79," SS","  SS"),'RSTO &gt; 48hrs'!$B$2:$B$134,0)),"NA"))</f>
        <v>42</v>
      </c>
      <c r="H79" s="64" t="n">
        <f aca="false">IFERROR(INDEX('Recirculation &gt; 24 hrs'!$K$3:$K$151,MATCH($A79,'Recirculation &gt; 24 hrs'!$B$3:$B$151,0)),IFERROR(INDEX('Recirculation &gt; 24 hrs'!$K$3:$K$151,MATCH(SUBSTITUTE($A79," SS","  SS"),'Recirculation &gt; 24 hrs'!$B$3:$B$151,0)),"NA"))</f>
        <v>1</v>
      </c>
      <c r="I79" s="64" t="n">
        <f aca="false">IFERROR(INDEX('Pending Putaway'!$E$2:$E$1537,MATCH($A79,'Pending Putaway'!$B$2:$B$1537,0)),IFERROR(INDEX('Pending Putaway'!$E$2:$E$1537,MATCH(SUBSTITUTE($A79," SS","  SS"),'Pending Putaway'!$B$2:$B$1537,0)),"NA"))</f>
        <v>752</v>
      </c>
      <c r="J79" s="64" t="n">
        <f aca="false">IFERROR(INDEX('Pending Putaway'!$L$2:$L$1537,MATCH($A79,'Pending Putaway'!$B$2:$B$1537,0)),IFERROR(INDEX('Pending Putaway'!$L$2:$L$1537,MATCH(SUBSTITUTE($A79," SS","  SS"),'Pending Putaway'!$B$2:$B$1537,0)),"NA"))</f>
        <v>752</v>
      </c>
    </row>
    <row r="80" customFormat="false" ht="15" hidden="false" customHeight="false" outlineLevel="0" collapsed="false">
      <c r="A80" s="63" t="s">
        <v>51</v>
      </c>
      <c r="B80" s="63" t="str">
        <f aca="false">IFERROR(INDEX('CLM &amp; IM Mapping'!$B$2:$B$270,MATCH($A80,'CLM &amp; IM Mapping'!$A$2:$A$270,0)),"Not Mapped")</f>
        <v>Arun Raj</v>
      </c>
      <c r="C80" s="63" t="str">
        <f aca="false">IFERROR(INDEX('CLM &amp; IM Mapping'!$C$2:$C$270,MATCH($A80,'CLM &amp; IM Mapping'!$A$2:$A$270,0)),"Not Mapped")</f>
        <v>Simon Manoharan</v>
      </c>
      <c r="D80" s="64" t="n">
        <f aca="false">IFERROR(INDEX(Shrinkage!$P$2:$P$260,MATCH($A80,Shrinkage!$D$2:$D$260,0)),IFERROR(INDEX(Shrinkage!$P$2:$P$260,MATCH(SUBSTITUTE($A80," SS","  SS"),Shrinkage!$D$2:$D$260,0)),"NA"))</f>
        <v>8825</v>
      </c>
      <c r="E80" s="65" t="n">
        <f aca="false">IFERROR(INDEX('Inventory Hygiene'!$I$3:$I$254,MATCH($A80,'Inventory Hygiene'!$B$3:$B$254,0)),IFERROR(INDEX('Inventory Hygiene'!$I$3:$I$254,MATCH(SUBSTITUTE($A80," SS","  SS"),'Inventory Hygiene'!$B$3:$B$254,0)),"NA"))</f>
        <v>0.32</v>
      </c>
      <c r="F80" s="64" t="n">
        <f aca="false">IFERROR(INDEX('Bad Bins'!$K$3:$K$253,MATCH($A80,'Bad Bins'!$B$3:$B$253,0)),IFERROR(INDEX('Bad Bins'!$K$3:$K$253,MATCH(SUBSTITUTE($A80," SS","  SS"),'Bad Bins'!$B$3:$B$253,0)),"NA"))</f>
        <v>0</v>
      </c>
      <c r="G80" s="64" t="n">
        <f aca="false">IFERROR(INDEX('RSTO &gt; 48hrs'!$H$2:$H$134,MATCH($A80,'RSTO &gt; 48hrs'!$B$2:$B$134,0)),IFERROR(INDEX('RSTO &gt; 48hrs'!$H$2:$H$134,MATCH(SUBSTITUTE($A80," SS","  SS"),'RSTO &gt; 48hrs'!$B$2:$B$134,0)),"NA"))</f>
        <v>19</v>
      </c>
      <c r="H80" s="64" t="n">
        <f aca="false">IFERROR(INDEX('Recirculation &gt; 24 hrs'!$K$3:$K$151,MATCH($A80,'Recirculation &gt; 24 hrs'!$B$3:$B$151,0)),IFERROR(INDEX('Recirculation &gt; 24 hrs'!$K$3:$K$151,MATCH(SUBSTITUTE($A80," SS","  SS"),'Recirculation &gt; 24 hrs'!$B$3:$B$151,0)),"NA"))</f>
        <v>298</v>
      </c>
      <c r="I80" s="64" t="n">
        <f aca="false">IFERROR(INDEX('Pending Putaway'!$E$2:$E$1537,MATCH($A80,'Pending Putaway'!$B$2:$B$1537,0)),IFERROR(INDEX('Pending Putaway'!$E$2:$E$1537,MATCH(SUBSTITUTE($A80," SS","  SS"),'Pending Putaway'!$B$2:$B$1537,0)),"NA"))</f>
        <v>0</v>
      </c>
      <c r="J80" s="64" t="n">
        <f aca="false">IFERROR(INDEX('Pending Putaway'!$L$2:$L$1537,MATCH($A80,'Pending Putaway'!$B$2:$B$1537,0)),IFERROR(INDEX('Pending Putaway'!$L$2:$L$1537,MATCH(SUBSTITUTE($A80," SS","  SS"),'Pending Putaway'!$B$2:$B$1537,0)),"NA"))</f>
        <v>0</v>
      </c>
    </row>
    <row r="81" customFormat="false" ht="15" hidden="false" customHeight="false" outlineLevel="0" collapsed="false">
      <c r="A81" s="63" t="s">
        <v>39</v>
      </c>
      <c r="B81" s="63" t="str">
        <f aca="false">IFERROR(INDEX('CLM &amp; IM Mapping'!$B$2:$B$270,MATCH($A81,'CLM &amp; IM Mapping'!$A$2:$A$270,0)),"Not Mapped")</f>
        <v>Arun Raj</v>
      </c>
      <c r="C81" s="63" t="str">
        <f aca="false">IFERROR(INDEX('CLM &amp; IM Mapping'!$C$2:$C$270,MATCH($A81,'CLM &amp; IM Mapping'!$A$2:$A$270,0)),"Not Mapped")</f>
        <v>Simon Manoharan</v>
      </c>
      <c r="D81" s="64" t="n">
        <f aca="false">IFERROR(INDEX(Shrinkage!$P$2:$P$260,MATCH($A81,Shrinkage!$D$2:$D$260,0)),IFERROR(INDEX(Shrinkage!$P$2:$P$260,MATCH(SUBSTITUTE($A81," SS","  SS"),Shrinkage!$D$2:$D$260,0)),"NA"))</f>
        <v>19060</v>
      </c>
      <c r="E81" s="65" t="n">
        <f aca="false">IFERROR(INDEX('Inventory Hygiene'!$I$3:$I$254,MATCH($A81,'Inventory Hygiene'!$B$3:$B$254,0)),IFERROR(INDEX('Inventory Hygiene'!$I$3:$I$254,MATCH(SUBSTITUTE($A81," SS","  SS"),'Inventory Hygiene'!$B$3:$B$254,0)),"NA"))</f>
        <v>0.43</v>
      </c>
      <c r="F81" s="64" t="n">
        <f aca="false">IFERROR(INDEX('Bad Bins'!$K$3:$K$253,MATCH($A81,'Bad Bins'!$B$3:$B$253,0)),IFERROR(INDEX('Bad Bins'!$K$3:$K$253,MATCH(SUBSTITUTE($A81," SS","  SS"),'Bad Bins'!$B$3:$B$253,0)),"NA"))</f>
        <v>33</v>
      </c>
      <c r="G81" s="64" t="n">
        <f aca="false">IFERROR(INDEX('RSTO &gt; 48hrs'!$H$2:$H$134,MATCH($A81,'RSTO &gt; 48hrs'!$B$2:$B$134,0)),IFERROR(INDEX('RSTO &gt; 48hrs'!$H$2:$H$134,MATCH(SUBSTITUTE($A81," SS","  SS"),'RSTO &gt; 48hrs'!$B$2:$B$134,0)),"NA"))</f>
        <v>14</v>
      </c>
      <c r="H81" s="64" t="n">
        <f aca="false">IFERROR(INDEX('Recirculation &gt; 24 hrs'!$K$3:$K$151,MATCH($A81,'Recirculation &gt; 24 hrs'!$B$3:$B$151,0)),IFERROR(INDEX('Recirculation &gt; 24 hrs'!$K$3:$K$151,MATCH(SUBSTITUTE($A81," SS","  SS"),'Recirculation &gt; 24 hrs'!$B$3:$B$151,0)),"NA"))</f>
        <v>416</v>
      </c>
      <c r="I81" s="64" t="n">
        <f aca="false">IFERROR(INDEX('Pending Putaway'!$E$2:$E$1537,MATCH($A81,'Pending Putaway'!$B$2:$B$1537,0)),IFERROR(INDEX('Pending Putaway'!$E$2:$E$1537,MATCH(SUBSTITUTE($A81," SS","  SS"),'Pending Putaway'!$B$2:$B$1537,0)),"NA"))</f>
        <v>2413</v>
      </c>
      <c r="J81" s="64" t="n">
        <f aca="false">IFERROR(INDEX('Pending Putaway'!$L$2:$L$1537,MATCH($A81,'Pending Putaway'!$B$2:$B$1537,0)),IFERROR(INDEX('Pending Putaway'!$L$2:$L$1537,MATCH(SUBSTITUTE($A81," SS","  SS"),'Pending Putaway'!$B$2:$B$1537,0)),"NA"))</f>
        <v>256</v>
      </c>
    </row>
    <row r="82" customFormat="false" ht="15" hidden="false" customHeight="false" outlineLevel="0" collapsed="false">
      <c r="A82" s="63" t="s">
        <v>101</v>
      </c>
      <c r="B82" s="63" t="str">
        <f aca="false">IFERROR(INDEX('CLM &amp; IM Mapping'!$B$2:$B$270,MATCH($A82,'CLM &amp; IM Mapping'!$A$2:$A$270,0)),"Not Mapped")</f>
        <v>Arun Raj</v>
      </c>
      <c r="C82" s="63" t="str">
        <f aca="false">IFERROR(INDEX('CLM &amp; IM Mapping'!$C$2:$C$270,MATCH($A82,'CLM &amp; IM Mapping'!$A$2:$A$270,0)),"Not Mapped")</f>
        <v>Simon Manoharan</v>
      </c>
      <c r="D82" s="64" t="n">
        <f aca="false">IFERROR(INDEX(Shrinkage!$P$2:$P$260,MATCH($A82,Shrinkage!$D$2:$D$260,0)),IFERROR(INDEX(Shrinkage!$P$2:$P$260,MATCH(SUBSTITUTE($A82," SS","  SS"),Shrinkage!$D$2:$D$260,0)),"NA"))</f>
        <v>16049</v>
      </c>
      <c r="E82" s="65" t="n">
        <f aca="false">IFERROR(INDEX('Inventory Hygiene'!$I$3:$I$254,MATCH($A82,'Inventory Hygiene'!$B$3:$B$254,0)),IFERROR(INDEX('Inventory Hygiene'!$I$3:$I$254,MATCH(SUBSTITUTE($A82," SS","  SS"),'Inventory Hygiene'!$B$3:$B$254,0)),"NA"))</f>
        <v>0.3</v>
      </c>
      <c r="F82" s="64" t="n">
        <f aca="false">IFERROR(INDEX('Bad Bins'!$K$3:$K$253,MATCH($A82,'Bad Bins'!$B$3:$B$253,0)),IFERROR(INDEX('Bad Bins'!$K$3:$K$253,MATCH(SUBSTITUTE($A82," SS","  SS"),'Bad Bins'!$B$3:$B$253,0)),"NA"))</f>
        <v>7</v>
      </c>
      <c r="G82" s="64" t="str">
        <f aca="false">IFERROR(INDEX('RSTO &gt; 48hrs'!$H$2:$H$134,MATCH($A82,'RSTO &gt; 48hrs'!$B$2:$B$134,0)),IFERROR(INDEX('RSTO &gt; 48hrs'!$H$2:$H$134,MATCH(SUBSTITUTE($A82," SS","  SS"),'RSTO &gt; 48hrs'!$B$2:$B$134,0)),"NA"))</f>
        <v>NA</v>
      </c>
      <c r="H82" s="64" t="n">
        <f aca="false">IFERROR(INDEX('Recirculation &gt; 24 hrs'!$K$3:$K$151,MATCH($A82,'Recirculation &gt; 24 hrs'!$B$3:$B$151,0)),IFERROR(INDEX('Recirculation &gt; 24 hrs'!$K$3:$K$151,MATCH(SUBSTITUTE($A82," SS","  SS"),'Recirculation &gt; 24 hrs'!$B$3:$B$151,0)),"NA"))</f>
        <v>300</v>
      </c>
      <c r="I82" s="64" t="n">
        <f aca="false">IFERROR(INDEX('Pending Putaway'!$E$2:$E$1537,MATCH($A82,'Pending Putaway'!$B$2:$B$1537,0)),IFERROR(INDEX('Pending Putaway'!$E$2:$E$1537,MATCH(SUBSTITUTE($A82," SS","  SS"),'Pending Putaway'!$B$2:$B$1537,0)),"NA"))</f>
        <v>0</v>
      </c>
      <c r="J82" s="64" t="n">
        <f aca="false">IFERROR(INDEX('Pending Putaway'!$L$2:$L$1537,MATCH($A82,'Pending Putaway'!$B$2:$B$1537,0)),IFERROR(INDEX('Pending Putaway'!$L$2:$L$1537,MATCH(SUBSTITUTE($A82," SS","  SS"),'Pending Putaway'!$B$2:$B$1537,0)),"NA"))</f>
        <v>0</v>
      </c>
    </row>
    <row r="83" customFormat="false" ht="15" hidden="false" customHeight="false" outlineLevel="0" collapsed="false">
      <c r="A83" s="63" t="s">
        <v>131</v>
      </c>
      <c r="B83" s="63" t="str">
        <f aca="false">IFERROR(INDEX('CLM &amp; IM Mapping'!$B$2:$B$270,MATCH($A83,'CLM &amp; IM Mapping'!$A$2:$A$270,0)),"Not Mapped")</f>
        <v>Arun Raj</v>
      </c>
      <c r="C83" s="63" t="str">
        <f aca="false">IFERROR(INDEX('CLM &amp; IM Mapping'!$C$2:$C$270,MATCH($A83,'CLM &amp; IM Mapping'!$A$2:$A$270,0)),"Not Mapped")</f>
        <v>Simon Manoharan</v>
      </c>
      <c r="D83" s="64" t="n">
        <f aca="false">IFERROR(INDEX(Shrinkage!$P$2:$P$260,MATCH($A83,Shrinkage!$D$2:$D$260,0)),IFERROR(INDEX(Shrinkage!$P$2:$P$260,MATCH(SUBSTITUTE($A83," SS","  SS"),Shrinkage!$D$2:$D$260,0)),"NA"))</f>
        <v>0</v>
      </c>
      <c r="E83" s="65" t="n">
        <f aca="false">IFERROR(INDEX('Inventory Hygiene'!$I$3:$I$254,MATCH($A83,'Inventory Hygiene'!$B$3:$B$254,0)),IFERROR(INDEX('Inventory Hygiene'!$I$3:$I$254,MATCH(SUBSTITUTE($A83," SS","  SS"),'Inventory Hygiene'!$B$3:$B$254,0)),"NA"))</f>
        <v>0</v>
      </c>
      <c r="F83" s="64" t="n">
        <f aca="false">IFERROR(INDEX('Bad Bins'!$K$3:$K$253,MATCH($A83,'Bad Bins'!$B$3:$B$253,0)),IFERROR(INDEX('Bad Bins'!$K$3:$K$253,MATCH(SUBSTITUTE($A83," SS","  SS"),'Bad Bins'!$B$3:$B$253,0)),"NA"))</f>
        <v>0</v>
      </c>
      <c r="G83" s="64" t="str">
        <f aca="false">IFERROR(INDEX('RSTO &gt; 48hrs'!$H$2:$H$134,MATCH($A83,'RSTO &gt; 48hrs'!$B$2:$B$134,0)),IFERROR(INDEX('RSTO &gt; 48hrs'!$H$2:$H$134,MATCH(SUBSTITUTE($A83," SS","  SS"),'RSTO &gt; 48hrs'!$B$2:$B$134,0)),"NA"))</f>
        <v>NA</v>
      </c>
      <c r="H83" s="64" t="str">
        <f aca="false">IFERROR(INDEX('Recirculation &gt; 24 hrs'!$K$3:$K$151,MATCH($A83,'Recirculation &gt; 24 hrs'!$B$3:$B$151,0)),IFERROR(INDEX('Recirculation &gt; 24 hrs'!$K$3:$K$151,MATCH(SUBSTITUTE($A83," SS","  SS"),'Recirculation &gt; 24 hrs'!$B$3:$B$151,0)),"NA"))</f>
        <v>NA</v>
      </c>
      <c r="I83" s="64" t="str">
        <f aca="false">IFERROR(INDEX('Pending Putaway'!$E$2:$E$1537,MATCH($A83,'Pending Putaway'!$B$2:$B$1537,0)),IFERROR(INDEX('Pending Putaway'!$E$2:$E$1537,MATCH(SUBSTITUTE($A83," SS","  SS"),'Pending Putaway'!$B$2:$B$1537,0)),"NA"))</f>
        <v>NA</v>
      </c>
      <c r="J83" s="64" t="str">
        <f aca="false">IFERROR(INDEX('Pending Putaway'!$L$2:$L$1537,MATCH($A83,'Pending Putaway'!$B$2:$B$1537,0)),IFERROR(INDEX('Pending Putaway'!$L$2:$L$1537,MATCH(SUBSTITUTE($A83," SS","  SS"),'Pending Putaway'!$B$2:$B$1537,0)),"NA"))</f>
        <v>NA</v>
      </c>
    </row>
    <row r="84" customFormat="false" ht="15" hidden="false" customHeight="false" outlineLevel="0" collapsed="false">
      <c r="A84" s="63" t="s">
        <v>21</v>
      </c>
      <c r="B84" s="63" t="str">
        <f aca="false">IFERROR(INDEX('CLM &amp; IM Mapping'!$B$2:$B$270,MATCH($A84,'CLM &amp; IM Mapping'!$A$2:$A$270,0)),"Not Mapped")</f>
        <v>Arun Raj</v>
      </c>
      <c r="C84" s="63" t="str">
        <f aca="false">IFERROR(INDEX('CLM &amp; IM Mapping'!$C$2:$C$270,MATCH($A84,'CLM &amp; IM Mapping'!$A$2:$A$270,0)),"Not Mapped")</f>
        <v>Simon Manoharan</v>
      </c>
      <c r="D84" s="64" t="n">
        <f aca="false">IFERROR(INDEX(Shrinkage!$P$2:$P$260,MATCH($A84,Shrinkage!$D$2:$D$260,0)),IFERROR(INDEX(Shrinkage!$P$2:$P$260,MATCH(SUBSTITUTE($A84," SS","  SS"),Shrinkage!$D$2:$D$260,0)),"NA"))</f>
        <v>16158</v>
      </c>
      <c r="E84" s="65" t="n">
        <f aca="false">IFERROR(INDEX('Inventory Hygiene'!$I$3:$I$254,MATCH($A84,'Inventory Hygiene'!$B$3:$B$254,0)),IFERROR(INDEX('Inventory Hygiene'!$I$3:$I$254,MATCH(SUBSTITUTE($A84," SS","  SS"),'Inventory Hygiene'!$B$3:$B$254,0)),"NA"))</f>
        <v>0.27</v>
      </c>
      <c r="F84" s="64" t="n">
        <f aca="false">IFERROR(INDEX('Bad Bins'!$K$3:$K$253,MATCH($A84,'Bad Bins'!$B$3:$B$253,0)),IFERROR(INDEX('Bad Bins'!$K$3:$K$253,MATCH(SUBSTITUTE($A84," SS","  SS"),'Bad Bins'!$B$3:$B$253,0)),"NA"))</f>
        <v>18</v>
      </c>
      <c r="G84" s="64" t="n">
        <f aca="false">IFERROR(INDEX('RSTO &gt; 48hrs'!$H$2:$H$134,MATCH($A84,'RSTO &gt; 48hrs'!$B$2:$B$134,0)),IFERROR(INDEX('RSTO &gt; 48hrs'!$H$2:$H$134,MATCH(SUBSTITUTE($A84," SS","  SS"),'RSTO &gt; 48hrs'!$B$2:$B$134,0)),"NA"))</f>
        <v>2</v>
      </c>
      <c r="H84" s="64" t="n">
        <f aca="false">IFERROR(INDEX('Recirculation &gt; 24 hrs'!$K$3:$K$151,MATCH($A84,'Recirculation &gt; 24 hrs'!$B$3:$B$151,0)),IFERROR(INDEX('Recirculation &gt; 24 hrs'!$K$3:$K$151,MATCH(SUBSTITUTE($A84," SS","  SS"),'Recirculation &gt; 24 hrs'!$B$3:$B$151,0)),"NA"))</f>
        <v>299</v>
      </c>
      <c r="I84" s="64" t="n">
        <f aca="false">IFERROR(INDEX('Pending Putaway'!$E$2:$E$1537,MATCH($A84,'Pending Putaway'!$B$2:$B$1537,0)),IFERROR(INDEX('Pending Putaway'!$E$2:$E$1537,MATCH(SUBSTITUTE($A84," SS","  SS"),'Pending Putaway'!$B$2:$B$1537,0)),"NA"))</f>
        <v>339</v>
      </c>
      <c r="J84" s="64" t="n">
        <f aca="false">IFERROR(INDEX('Pending Putaway'!$L$2:$L$1537,MATCH($A84,'Pending Putaway'!$B$2:$B$1537,0)),IFERROR(INDEX('Pending Putaway'!$L$2:$L$1537,MATCH(SUBSTITUTE($A84," SS","  SS"),'Pending Putaway'!$B$2:$B$1537,0)),"NA"))</f>
        <v>0</v>
      </c>
    </row>
    <row r="85" customFormat="false" ht="15" hidden="false" customHeight="false" outlineLevel="0" collapsed="false">
      <c r="A85" s="63" t="s">
        <v>130</v>
      </c>
      <c r="B85" s="63" t="str">
        <f aca="false">IFERROR(INDEX('CLM &amp; IM Mapping'!$B$2:$B$270,MATCH($A85,'CLM &amp; IM Mapping'!$A$2:$A$270,0)),"Not Mapped")</f>
        <v>Arun Raj</v>
      </c>
      <c r="C85" s="63" t="str">
        <f aca="false">IFERROR(INDEX('CLM &amp; IM Mapping'!$C$2:$C$270,MATCH($A85,'CLM &amp; IM Mapping'!$A$2:$A$270,0)),"Not Mapped")</f>
        <v>Simon Manoharan</v>
      </c>
      <c r="D85" s="64" t="n">
        <f aca="false">IFERROR(INDEX(Shrinkage!$P$2:$P$260,MATCH($A85,Shrinkage!$D$2:$D$260,0)),IFERROR(INDEX(Shrinkage!$P$2:$P$260,MATCH(SUBSTITUTE($A85," SS","  SS"),Shrinkage!$D$2:$D$260,0)),"NA"))</f>
        <v>-11397</v>
      </c>
      <c r="E85" s="65" t="n">
        <f aca="false">IFERROR(INDEX('Inventory Hygiene'!$I$3:$I$254,MATCH($A85,'Inventory Hygiene'!$B$3:$B$254,0)),IFERROR(INDEX('Inventory Hygiene'!$I$3:$I$254,MATCH(SUBSTITUTE($A85," SS","  SS"),'Inventory Hygiene'!$B$3:$B$254,0)),"NA"))</f>
        <v>0.36</v>
      </c>
      <c r="F85" s="64" t="n">
        <f aca="false">IFERROR(INDEX('Bad Bins'!$K$3:$K$253,MATCH($A85,'Bad Bins'!$B$3:$B$253,0)),IFERROR(INDEX('Bad Bins'!$K$3:$K$253,MATCH(SUBSTITUTE($A85," SS","  SS"),'Bad Bins'!$B$3:$B$253,0)),"NA"))</f>
        <v>20</v>
      </c>
      <c r="G85" s="64" t="n">
        <f aca="false">IFERROR(INDEX('RSTO &gt; 48hrs'!$H$2:$H$134,MATCH($A85,'RSTO &gt; 48hrs'!$B$2:$B$134,0)),IFERROR(INDEX('RSTO &gt; 48hrs'!$H$2:$H$134,MATCH(SUBSTITUTE($A85," SS","  SS"),'RSTO &gt; 48hrs'!$B$2:$B$134,0)),"NA"))</f>
        <v>35</v>
      </c>
      <c r="H85" s="64" t="n">
        <f aca="false">IFERROR(INDEX('Recirculation &gt; 24 hrs'!$K$3:$K$151,MATCH($A85,'Recirculation &gt; 24 hrs'!$B$3:$B$151,0)),IFERROR(INDEX('Recirculation &gt; 24 hrs'!$K$3:$K$151,MATCH(SUBSTITUTE($A85," SS","  SS"),'Recirculation &gt; 24 hrs'!$B$3:$B$151,0)),"NA"))</f>
        <v>306</v>
      </c>
      <c r="I85" s="64" t="n">
        <f aca="false">IFERROR(INDEX('Pending Putaway'!$E$2:$E$1537,MATCH($A85,'Pending Putaway'!$B$2:$B$1537,0)),IFERROR(INDEX('Pending Putaway'!$E$2:$E$1537,MATCH(SUBSTITUTE($A85," SS","  SS"),'Pending Putaway'!$B$2:$B$1537,0)),"NA"))</f>
        <v>0</v>
      </c>
      <c r="J85" s="64" t="n">
        <f aca="false">IFERROR(INDEX('Pending Putaway'!$L$2:$L$1537,MATCH($A85,'Pending Putaway'!$B$2:$B$1537,0)),IFERROR(INDEX('Pending Putaway'!$L$2:$L$1537,MATCH(SUBSTITUTE($A85," SS","  SS"),'Pending Putaway'!$B$2:$B$1537,0)),"NA"))</f>
        <v>0</v>
      </c>
    </row>
    <row r="86" customFormat="false" ht="15" hidden="false" customHeight="false" outlineLevel="0" collapsed="false">
      <c r="A86" s="63" t="s">
        <v>233</v>
      </c>
      <c r="B86" s="63" t="str">
        <f aca="false">IFERROR(INDEX('CLM &amp; IM Mapping'!$B$2:$B$270,MATCH($A86,'CLM &amp; IM Mapping'!$A$2:$A$270,0)),"Not Mapped")</f>
        <v>Arun Raj</v>
      </c>
      <c r="C86" s="63" t="str">
        <f aca="false">IFERROR(INDEX('CLM &amp; IM Mapping'!$C$2:$C$270,MATCH($A86,'CLM &amp; IM Mapping'!$A$2:$A$270,0)),"Not Mapped")</f>
        <v>Simon Manoharan</v>
      </c>
      <c r="D86" s="64" t="n">
        <f aca="false">IFERROR(INDEX(Shrinkage!$P$2:$P$260,MATCH($A86,Shrinkage!$D$2:$D$260,0)),IFERROR(INDEX(Shrinkage!$P$2:$P$260,MATCH(SUBSTITUTE($A86," SS","  SS"),Shrinkage!$D$2:$D$260,0)),"NA"))</f>
        <v>28651</v>
      </c>
      <c r="E86" s="65" t="n">
        <f aca="false">IFERROR(INDEX('Inventory Hygiene'!$I$3:$I$254,MATCH($A86,'Inventory Hygiene'!$B$3:$B$254,0)),IFERROR(INDEX('Inventory Hygiene'!$I$3:$I$254,MATCH(SUBSTITUTE($A86," SS","  SS"),'Inventory Hygiene'!$B$3:$B$254,0)),"NA"))</f>
        <v>0.21</v>
      </c>
      <c r="F86" s="64" t="n">
        <f aca="false">IFERROR(INDEX('Bad Bins'!$K$3:$K$253,MATCH($A86,'Bad Bins'!$B$3:$B$253,0)),IFERROR(INDEX('Bad Bins'!$K$3:$K$253,MATCH(SUBSTITUTE($A86," SS","  SS"),'Bad Bins'!$B$3:$B$253,0)),"NA"))</f>
        <v>49</v>
      </c>
      <c r="G86" s="64" t="n">
        <f aca="false">IFERROR(INDEX('RSTO &gt; 48hrs'!$H$2:$H$134,MATCH($A86,'RSTO &gt; 48hrs'!$B$2:$B$134,0)),IFERROR(INDEX('RSTO &gt; 48hrs'!$H$2:$H$134,MATCH(SUBSTITUTE($A86," SS","  SS"),'RSTO &gt; 48hrs'!$B$2:$B$134,0)),"NA"))</f>
        <v>26</v>
      </c>
      <c r="H86" s="64" t="n">
        <f aca="false">IFERROR(INDEX('Recirculation &gt; 24 hrs'!$K$3:$K$151,MATCH($A86,'Recirculation &gt; 24 hrs'!$B$3:$B$151,0)),IFERROR(INDEX('Recirculation &gt; 24 hrs'!$K$3:$K$151,MATCH(SUBSTITUTE($A86," SS","  SS"),'Recirculation &gt; 24 hrs'!$B$3:$B$151,0)),"NA"))</f>
        <v>299</v>
      </c>
      <c r="I86" s="64" t="n">
        <f aca="false">IFERROR(INDEX('Pending Putaway'!$E$2:$E$1537,MATCH($A86,'Pending Putaway'!$B$2:$B$1537,0)),IFERROR(INDEX('Pending Putaway'!$E$2:$E$1537,MATCH(SUBSTITUTE($A86," SS","  SS"),'Pending Putaway'!$B$2:$B$1537,0)),"NA"))</f>
        <v>869</v>
      </c>
      <c r="J86" s="64" t="n">
        <f aca="false">IFERROR(INDEX('Pending Putaway'!$L$2:$L$1537,MATCH($A86,'Pending Putaway'!$B$2:$B$1537,0)),IFERROR(INDEX('Pending Putaway'!$L$2:$L$1537,MATCH(SUBSTITUTE($A86," SS","  SS"),'Pending Putaway'!$B$2:$B$1537,0)),"NA"))</f>
        <v>0</v>
      </c>
    </row>
    <row r="87" customFormat="false" ht="15" hidden="false" customHeight="false" outlineLevel="0" collapsed="false">
      <c r="A87" s="63" t="s">
        <v>241</v>
      </c>
      <c r="B87" s="63" t="str">
        <f aca="false">IFERROR(INDEX('CLM &amp; IM Mapping'!$B$2:$B$270,MATCH($A87,'CLM &amp; IM Mapping'!$A$2:$A$270,0)),"Not Mapped")</f>
        <v>Arun Raj</v>
      </c>
      <c r="C87" s="63" t="str">
        <f aca="false">IFERROR(INDEX('CLM &amp; IM Mapping'!$C$2:$C$270,MATCH($A87,'CLM &amp; IM Mapping'!$A$2:$A$270,0)),"Not Mapped")</f>
        <v>Simon Manoharan</v>
      </c>
      <c r="D87" s="64" t="n">
        <f aca="false">IFERROR(INDEX(Shrinkage!$P$2:$P$260,MATCH($A87,Shrinkage!$D$2:$D$260,0)),IFERROR(INDEX(Shrinkage!$P$2:$P$260,MATCH(SUBSTITUTE($A87," SS","  SS"),Shrinkage!$D$2:$D$260,0)),"NA"))</f>
        <v>-1245</v>
      </c>
      <c r="E87" s="65" t="n">
        <f aca="false">IFERROR(INDEX('Inventory Hygiene'!$I$3:$I$254,MATCH($A87,'Inventory Hygiene'!$B$3:$B$254,0)),IFERROR(INDEX('Inventory Hygiene'!$I$3:$I$254,MATCH(SUBSTITUTE($A87," SS","  SS"),'Inventory Hygiene'!$B$3:$B$254,0)),"NA"))</f>
        <v>0.4</v>
      </c>
      <c r="F87" s="64" t="n">
        <f aca="false">IFERROR(INDEX('Bad Bins'!$K$3:$K$253,MATCH($A87,'Bad Bins'!$B$3:$B$253,0)),IFERROR(INDEX('Bad Bins'!$K$3:$K$253,MATCH(SUBSTITUTE($A87," SS","  SS"),'Bad Bins'!$B$3:$B$253,0)),"NA"))</f>
        <v>0</v>
      </c>
      <c r="G87" s="64" t="n">
        <f aca="false">IFERROR(INDEX('RSTO &gt; 48hrs'!$H$2:$H$134,MATCH($A87,'RSTO &gt; 48hrs'!$B$2:$B$134,0)),IFERROR(INDEX('RSTO &gt; 48hrs'!$H$2:$H$134,MATCH(SUBSTITUTE($A87," SS","  SS"),'RSTO &gt; 48hrs'!$B$2:$B$134,0)),"NA"))</f>
        <v>7</v>
      </c>
      <c r="H87" s="64" t="n">
        <f aca="false">IFERROR(INDEX('Recirculation &gt; 24 hrs'!$K$3:$K$151,MATCH($A87,'Recirculation &gt; 24 hrs'!$B$3:$B$151,0)),IFERROR(INDEX('Recirculation &gt; 24 hrs'!$K$3:$K$151,MATCH(SUBSTITUTE($A87," SS","  SS"),'Recirculation &gt; 24 hrs'!$B$3:$B$151,0)),"NA"))</f>
        <v>299</v>
      </c>
      <c r="I87" s="64" t="n">
        <f aca="false">IFERROR(INDEX('Pending Putaway'!$E$2:$E$1537,MATCH($A87,'Pending Putaway'!$B$2:$B$1537,0)),IFERROR(INDEX('Pending Putaway'!$E$2:$E$1537,MATCH(SUBSTITUTE($A87," SS","  SS"),'Pending Putaway'!$B$2:$B$1537,0)),"NA"))</f>
        <v>555</v>
      </c>
      <c r="J87" s="64" t="n">
        <f aca="false">IFERROR(INDEX('Pending Putaway'!$L$2:$L$1537,MATCH($A87,'Pending Putaway'!$B$2:$B$1537,0)),IFERROR(INDEX('Pending Putaway'!$L$2:$L$1537,MATCH(SUBSTITUTE($A87," SS","  SS"),'Pending Putaway'!$B$2:$B$1537,0)),"NA"))</f>
        <v>0</v>
      </c>
    </row>
    <row r="88" customFormat="false" ht="15" hidden="false" customHeight="false" outlineLevel="0" collapsed="false">
      <c r="A88" s="63" t="s">
        <v>112</v>
      </c>
      <c r="B88" s="63" t="str">
        <f aca="false">IFERROR(INDEX('CLM &amp; IM Mapping'!$B$2:$B$270,MATCH($A88,'CLM &amp; IM Mapping'!$A$2:$A$270,0)),"Not Mapped")</f>
        <v>Arun Raj</v>
      </c>
      <c r="C88" s="63" t="str">
        <f aca="false">IFERROR(INDEX('CLM &amp; IM Mapping'!$C$2:$C$270,MATCH($A88,'CLM &amp; IM Mapping'!$A$2:$A$270,0)),"Not Mapped")</f>
        <v>Simon Manoharan</v>
      </c>
      <c r="D88" s="64" t="n">
        <f aca="false">IFERROR(INDEX(Shrinkage!$P$2:$P$260,MATCH($A88,Shrinkage!$D$2:$D$260,0)),IFERROR(INDEX(Shrinkage!$P$2:$P$260,MATCH(SUBSTITUTE($A88," SS","  SS"),Shrinkage!$D$2:$D$260,0)),"NA"))</f>
        <v>1092</v>
      </c>
      <c r="E88" s="65" t="n">
        <f aca="false">IFERROR(INDEX('Inventory Hygiene'!$I$3:$I$254,MATCH($A88,'Inventory Hygiene'!$B$3:$B$254,0)),IFERROR(INDEX('Inventory Hygiene'!$I$3:$I$254,MATCH(SUBSTITUTE($A88," SS","  SS"),'Inventory Hygiene'!$B$3:$B$254,0)),"NA"))</f>
        <v>0.23</v>
      </c>
      <c r="F88" s="64" t="n">
        <f aca="false">IFERROR(INDEX('Bad Bins'!$K$3:$K$253,MATCH($A88,'Bad Bins'!$B$3:$B$253,0)),IFERROR(INDEX('Bad Bins'!$K$3:$K$253,MATCH(SUBSTITUTE($A88," SS","  SS"),'Bad Bins'!$B$3:$B$253,0)),"NA"))</f>
        <v>1</v>
      </c>
      <c r="G88" s="64" t="n">
        <f aca="false">IFERROR(INDEX('RSTO &gt; 48hrs'!$H$2:$H$134,MATCH($A88,'RSTO &gt; 48hrs'!$B$2:$B$134,0)),IFERROR(INDEX('RSTO &gt; 48hrs'!$H$2:$H$134,MATCH(SUBSTITUTE($A88," SS","  SS"),'RSTO &gt; 48hrs'!$B$2:$B$134,0)),"NA"))</f>
        <v>2</v>
      </c>
      <c r="H88" s="64" t="n">
        <f aca="false">IFERROR(INDEX('Recirculation &gt; 24 hrs'!$K$3:$K$151,MATCH($A88,'Recirculation &gt; 24 hrs'!$B$3:$B$151,0)),IFERROR(INDEX('Recirculation &gt; 24 hrs'!$K$3:$K$151,MATCH(SUBSTITUTE($A88," SS","  SS"),'Recirculation &gt; 24 hrs'!$B$3:$B$151,0)),"NA"))</f>
        <v>354</v>
      </c>
      <c r="I88" s="64" t="n">
        <f aca="false">IFERROR(INDEX('Pending Putaway'!$E$2:$E$1537,MATCH($A88,'Pending Putaway'!$B$2:$B$1537,0)),IFERROR(INDEX('Pending Putaway'!$E$2:$E$1537,MATCH(SUBSTITUTE($A88," SS","  SS"),'Pending Putaway'!$B$2:$B$1537,0)),"NA"))</f>
        <v>337</v>
      </c>
      <c r="J88" s="64" t="n">
        <f aca="false">IFERROR(INDEX('Pending Putaway'!$L$2:$L$1537,MATCH($A88,'Pending Putaway'!$B$2:$B$1537,0)),IFERROR(INDEX('Pending Putaway'!$L$2:$L$1537,MATCH(SUBSTITUTE($A88," SS","  SS"),'Pending Putaway'!$B$2:$B$1537,0)),"NA"))</f>
        <v>0</v>
      </c>
    </row>
    <row r="89" customFormat="false" ht="15" hidden="false" customHeight="false" outlineLevel="0" collapsed="false">
      <c r="A89" s="63" t="s">
        <v>265</v>
      </c>
      <c r="B89" s="63" t="str">
        <f aca="false">IFERROR(INDEX('CLM &amp; IM Mapping'!$B$2:$B$270,MATCH($A89,'CLM &amp; IM Mapping'!$A$2:$A$270,0)),"Not Mapped")</f>
        <v>Arun Raj</v>
      </c>
      <c r="C89" s="63" t="str">
        <f aca="false">IFERROR(INDEX('CLM &amp; IM Mapping'!$C$2:$C$270,MATCH($A89,'CLM &amp; IM Mapping'!$A$2:$A$270,0)),"Not Mapped")</f>
        <v>Simon Manoharan</v>
      </c>
      <c r="D89" s="64" t="n">
        <f aca="false">IFERROR(INDEX(Shrinkage!$P$2:$P$260,MATCH($A89,Shrinkage!$D$2:$D$260,0)),IFERROR(INDEX(Shrinkage!$P$2:$P$260,MATCH(SUBSTITUTE($A89," SS","  SS"),Shrinkage!$D$2:$D$260,0)),"NA"))</f>
        <v>-1252</v>
      </c>
      <c r="E89" s="65" t="n">
        <f aca="false">IFERROR(INDEX('Inventory Hygiene'!$I$3:$I$254,MATCH($A89,'Inventory Hygiene'!$B$3:$B$254,0)),IFERROR(INDEX('Inventory Hygiene'!$I$3:$I$254,MATCH(SUBSTITUTE($A89," SS","  SS"),'Inventory Hygiene'!$B$3:$B$254,0)),"NA"))</f>
        <v>0.3</v>
      </c>
      <c r="F89" s="64" t="n">
        <f aca="false">IFERROR(INDEX('Bad Bins'!$K$3:$K$253,MATCH($A89,'Bad Bins'!$B$3:$B$253,0)),IFERROR(INDEX('Bad Bins'!$K$3:$K$253,MATCH(SUBSTITUTE($A89," SS","  SS"),'Bad Bins'!$B$3:$B$253,0)),"NA"))</f>
        <v>23</v>
      </c>
      <c r="G89" s="64" t="n">
        <f aca="false">IFERROR(INDEX('RSTO &gt; 48hrs'!$H$2:$H$134,MATCH($A89,'RSTO &gt; 48hrs'!$B$2:$B$134,0)),IFERROR(INDEX('RSTO &gt; 48hrs'!$H$2:$H$134,MATCH(SUBSTITUTE($A89," SS","  SS"),'RSTO &gt; 48hrs'!$B$2:$B$134,0)),"NA"))</f>
        <v>4</v>
      </c>
      <c r="H89" s="64" t="n">
        <f aca="false">IFERROR(INDEX('Recirculation &gt; 24 hrs'!$K$3:$K$151,MATCH($A89,'Recirculation &gt; 24 hrs'!$B$3:$B$151,0)),IFERROR(INDEX('Recirculation &gt; 24 hrs'!$K$3:$K$151,MATCH(SUBSTITUTE($A89," SS","  SS"),'Recirculation &gt; 24 hrs'!$B$3:$B$151,0)),"NA"))</f>
        <v>418</v>
      </c>
      <c r="I89" s="64" t="n">
        <f aca="false">IFERROR(INDEX('Pending Putaway'!$E$2:$E$1537,MATCH($A89,'Pending Putaway'!$B$2:$B$1537,0)),IFERROR(INDEX('Pending Putaway'!$E$2:$E$1537,MATCH(SUBSTITUTE($A89," SS","  SS"),'Pending Putaway'!$B$2:$B$1537,0)),"NA"))</f>
        <v>403</v>
      </c>
      <c r="J89" s="64" t="n">
        <f aca="false">IFERROR(INDEX('Pending Putaway'!$L$2:$L$1537,MATCH($A89,'Pending Putaway'!$B$2:$B$1537,0)),IFERROR(INDEX('Pending Putaway'!$L$2:$L$1537,MATCH(SUBSTITUTE($A89," SS","  SS"),'Pending Putaway'!$B$2:$B$1537,0)),"NA"))</f>
        <v>0</v>
      </c>
    </row>
    <row r="90" customFormat="false" ht="15" hidden="false" customHeight="false" outlineLevel="0" collapsed="false">
      <c r="A90" s="63" t="s">
        <v>70</v>
      </c>
      <c r="B90" s="63" t="str">
        <f aca="false">IFERROR(INDEX('CLM &amp; IM Mapping'!$B$2:$B$270,MATCH($A90,'CLM &amp; IM Mapping'!$A$2:$A$270,0)),"Not Mapped")</f>
        <v>Arun Raj</v>
      </c>
      <c r="C90" s="63" t="str">
        <f aca="false">IFERROR(INDEX('CLM &amp; IM Mapping'!$C$2:$C$270,MATCH($A90,'CLM &amp; IM Mapping'!$A$2:$A$270,0)),"Not Mapped")</f>
        <v>Simon Manoharan</v>
      </c>
      <c r="D90" s="64" t="n">
        <f aca="false">IFERROR(INDEX(Shrinkage!$P$2:$P$260,MATCH($A90,Shrinkage!$D$2:$D$260,0)),IFERROR(INDEX(Shrinkage!$P$2:$P$260,MATCH(SUBSTITUTE($A90," SS","  SS"),Shrinkage!$D$2:$D$260,0)),"NA"))</f>
        <v>513</v>
      </c>
      <c r="E90" s="65" t="n">
        <f aca="false">IFERROR(INDEX('Inventory Hygiene'!$I$3:$I$254,MATCH($A90,'Inventory Hygiene'!$B$3:$B$254,0)),IFERROR(INDEX('Inventory Hygiene'!$I$3:$I$254,MATCH(SUBSTITUTE($A90," SS","  SS"),'Inventory Hygiene'!$B$3:$B$254,0)),"NA"))</f>
        <v>0.23</v>
      </c>
      <c r="F90" s="64" t="n">
        <f aca="false">IFERROR(INDEX('Bad Bins'!$K$3:$K$253,MATCH($A90,'Bad Bins'!$B$3:$B$253,0)),IFERROR(INDEX('Bad Bins'!$K$3:$K$253,MATCH(SUBSTITUTE($A90," SS","  SS"),'Bad Bins'!$B$3:$B$253,0)),"NA"))</f>
        <v>18</v>
      </c>
      <c r="G90" s="64" t="n">
        <f aca="false">IFERROR(INDEX('RSTO &gt; 48hrs'!$H$2:$H$134,MATCH($A90,'RSTO &gt; 48hrs'!$B$2:$B$134,0)),IFERROR(INDEX('RSTO &gt; 48hrs'!$H$2:$H$134,MATCH(SUBSTITUTE($A90," SS","  SS"),'RSTO &gt; 48hrs'!$B$2:$B$134,0)),"NA"))</f>
        <v>17</v>
      </c>
      <c r="H90" s="64" t="n">
        <f aca="false">IFERROR(INDEX('Recirculation &gt; 24 hrs'!$K$3:$K$151,MATCH($A90,'Recirculation &gt; 24 hrs'!$B$3:$B$151,0)),IFERROR(INDEX('Recirculation &gt; 24 hrs'!$K$3:$K$151,MATCH(SUBSTITUTE($A90," SS","  SS"),'Recirculation &gt; 24 hrs'!$B$3:$B$151,0)),"NA"))</f>
        <v>300</v>
      </c>
      <c r="I90" s="64" t="n">
        <f aca="false">IFERROR(INDEX('Pending Putaway'!$E$2:$E$1537,MATCH($A90,'Pending Putaway'!$B$2:$B$1537,0)),IFERROR(INDEX('Pending Putaway'!$E$2:$E$1537,MATCH(SUBSTITUTE($A90," SS","  SS"),'Pending Putaway'!$B$2:$B$1537,0)),"NA"))</f>
        <v>0</v>
      </c>
      <c r="J90" s="64" t="n">
        <f aca="false">IFERROR(INDEX('Pending Putaway'!$L$2:$L$1537,MATCH($A90,'Pending Putaway'!$B$2:$B$1537,0)),IFERROR(INDEX('Pending Putaway'!$L$2:$L$1537,MATCH(SUBSTITUTE($A90," SS","  SS"),'Pending Putaway'!$B$2:$B$1537,0)),"NA"))</f>
        <v>0</v>
      </c>
    </row>
    <row r="91" customFormat="false" ht="15" hidden="false" customHeight="false" outlineLevel="0" collapsed="false">
      <c r="A91" s="63" t="s">
        <v>268</v>
      </c>
      <c r="B91" s="63" t="str">
        <f aca="false">IFERROR(INDEX('CLM &amp; IM Mapping'!$B$2:$B$270,MATCH($A91,'CLM &amp; IM Mapping'!$A$2:$A$270,0)),"Not Mapped")</f>
        <v>Arun Raj</v>
      </c>
      <c r="C91" s="63" t="str">
        <f aca="false">IFERROR(INDEX('CLM &amp; IM Mapping'!$C$2:$C$270,MATCH($A91,'CLM &amp; IM Mapping'!$A$2:$A$270,0)),"Not Mapped")</f>
        <v>Simon Manoharan</v>
      </c>
      <c r="D91" s="64" t="n">
        <f aca="false">IFERROR(INDEX(Shrinkage!$P$2:$P$260,MATCH($A91,Shrinkage!$D$2:$D$260,0)),IFERROR(INDEX(Shrinkage!$P$2:$P$260,MATCH(SUBSTITUTE($A91," SS","  SS"),Shrinkage!$D$2:$D$260,0)),"NA"))</f>
        <v>11936</v>
      </c>
      <c r="E91" s="65" t="n">
        <f aca="false">IFERROR(INDEX('Inventory Hygiene'!$I$3:$I$254,MATCH($A91,'Inventory Hygiene'!$B$3:$B$254,0)),IFERROR(INDEX('Inventory Hygiene'!$I$3:$I$254,MATCH(SUBSTITUTE($A91," SS","  SS"),'Inventory Hygiene'!$B$3:$B$254,0)),"NA"))</f>
        <v>0.37</v>
      </c>
      <c r="F91" s="64" t="n">
        <f aca="false">IFERROR(INDEX('Bad Bins'!$K$3:$K$253,MATCH($A91,'Bad Bins'!$B$3:$B$253,0)),IFERROR(INDEX('Bad Bins'!$K$3:$K$253,MATCH(SUBSTITUTE($A91," SS","  SS"),'Bad Bins'!$B$3:$B$253,0)),"NA"))</f>
        <v>10</v>
      </c>
      <c r="G91" s="64" t="n">
        <f aca="false">IFERROR(INDEX('RSTO &gt; 48hrs'!$H$2:$H$134,MATCH($A91,'RSTO &gt; 48hrs'!$B$2:$B$134,0)),IFERROR(INDEX('RSTO &gt; 48hrs'!$H$2:$H$134,MATCH(SUBSTITUTE($A91," SS","  SS"),'RSTO &gt; 48hrs'!$B$2:$B$134,0)),"NA"))</f>
        <v>8</v>
      </c>
      <c r="H91" s="64" t="n">
        <f aca="false">IFERROR(INDEX('Recirculation &gt; 24 hrs'!$K$3:$K$151,MATCH($A91,'Recirculation &gt; 24 hrs'!$B$3:$B$151,0)),IFERROR(INDEX('Recirculation &gt; 24 hrs'!$K$3:$K$151,MATCH(SUBSTITUTE($A91," SS","  SS"),'Recirculation &gt; 24 hrs'!$B$3:$B$151,0)),"NA"))</f>
        <v>300</v>
      </c>
      <c r="I91" s="64" t="n">
        <f aca="false">IFERROR(INDEX('Pending Putaway'!$E$2:$E$1537,MATCH($A91,'Pending Putaway'!$B$2:$B$1537,0)),IFERROR(INDEX('Pending Putaway'!$E$2:$E$1537,MATCH(SUBSTITUTE($A91," SS","  SS"),'Pending Putaway'!$B$2:$B$1537,0)),"NA"))</f>
        <v>15</v>
      </c>
      <c r="J91" s="64" t="n">
        <f aca="false">IFERROR(INDEX('Pending Putaway'!$L$2:$L$1537,MATCH($A91,'Pending Putaway'!$B$2:$B$1537,0)),IFERROR(INDEX('Pending Putaway'!$L$2:$L$1537,MATCH(SUBSTITUTE($A91," SS","  SS"),'Pending Putaway'!$B$2:$B$1537,0)),"NA"))</f>
        <v>15</v>
      </c>
    </row>
    <row r="92" customFormat="false" ht="15" hidden="false" customHeight="false" outlineLevel="0" collapsed="false">
      <c r="A92" s="63" t="s">
        <v>157</v>
      </c>
      <c r="B92" s="63" t="str">
        <f aca="false">IFERROR(INDEX('CLM &amp; IM Mapping'!$B$2:$B$270,MATCH($A92,'CLM &amp; IM Mapping'!$A$2:$A$270,0)),"Not Mapped")</f>
        <v>Arun Raj</v>
      </c>
      <c r="C92" s="63" t="str">
        <f aca="false">IFERROR(INDEX('CLM &amp; IM Mapping'!$C$2:$C$270,MATCH($A92,'CLM &amp; IM Mapping'!$A$2:$A$270,0)),"Not Mapped")</f>
        <v>Simon Manoharan</v>
      </c>
      <c r="D92" s="64" t="n">
        <f aca="false">IFERROR(INDEX(Shrinkage!$P$2:$P$260,MATCH($A92,Shrinkage!$D$2:$D$260,0)),IFERROR(INDEX(Shrinkage!$P$2:$P$260,MATCH(SUBSTITUTE($A92," SS","  SS"),Shrinkage!$D$2:$D$260,0)),"NA"))</f>
        <v>38336</v>
      </c>
      <c r="E92" s="65" t="n">
        <f aca="false">IFERROR(INDEX('Inventory Hygiene'!$I$3:$I$254,MATCH($A92,'Inventory Hygiene'!$B$3:$B$254,0)),IFERROR(INDEX('Inventory Hygiene'!$I$3:$I$254,MATCH(SUBSTITUTE($A92," SS","  SS"),'Inventory Hygiene'!$B$3:$B$254,0)),"NA"))</f>
        <v>0.66</v>
      </c>
      <c r="F92" s="64" t="n">
        <f aca="false">IFERROR(INDEX('Bad Bins'!$K$3:$K$253,MATCH($A92,'Bad Bins'!$B$3:$B$253,0)),IFERROR(INDEX('Bad Bins'!$K$3:$K$253,MATCH(SUBSTITUTE($A92," SS","  SS"),'Bad Bins'!$B$3:$B$253,0)),"NA"))</f>
        <v>22</v>
      </c>
      <c r="G92" s="64" t="n">
        <f aca="false">IFERROR(INDEX('RSTO &gt; 48hrs'!$H$2:$H$134,MATCH($A92,'RSTO &gt; 48hrs'!$B$2:$B$134,0)),IFERROR(INDEX('RSTO &gt; 48hrs'!$H$2:$H$134,MATCH(SUBSTITUTE($A92," SS","  SS"),'RSTO &gt; 48hrs'!$B$2:$B$134,0)),"NA"))</f>
        <v>217</v>
      </c>
      <c r="H92" s="64" t="n">
        <f aca="false">IFERROR(INDEX('Recirculation &gt; 24 hrs'!$K$3:$K$151,MATCH($A92,'Recirculation &gt; 24 hrs'!$B$3:$B$151,0)),IFERROR(INDEX('Recirculation &gt; 24 hrs'!$K$3:$K$151,MATCH(SUBSTITUTE($A92," SS","  SS"),'Recirculation &gt; 24 hrs'!$B$3:$B$151,0)),"NA"))</f>
        <v>305</v>
      </c>
      <c r="I92" s="64" t="n">
        <f aca="false">IFERROR(INDEX('Pending Putaway'!$E$2:$E$1537,MATCH($A92,'Pending Putaway'!$B$2:$B$1537,0)),IFERROR(INDEX('Pending Putaway'!$E$2:$E$1537,MATCH(SUBSTITUTE($A92," SS","  SS"),'Pending Putaway'!$B$2:$B$1537,0)),"NA"))</f>
        <v>4802</v>
      </c>
      <c r="J92" s="64" t="n">
        <f aca="false">IFERROR(INDEX('Pending Putaway'!$L$2:$L$1537,MATCH($A92,'Pending Putaway'!$B$2:$B$1537,0)),IFERROR(INDEX('Pending Putaway'!$L$2:$L$1537,MATCH(SUBSTITUTE($A92," SS","  SS"),'Pending Putaway'!$B$2:$B$1537,0)),"NA"))</f>
        <v>103</v>
      </c>
    </row>
    <row r="93" customFormat="false" ht="15" hidden="false" customHeight="false" outlineLevel="0" collapsed="false">
      <c r="A93" s="63" t="s">
        <v>226</v>
      </c>
      <c r="B93" s="63" t="str">
        <f aca="false">IFERROR(INDEX('CLM &amp; IM Mapping'!$B$2:$B$270,MATCH($A93,'CLM &amp; IM Mapping'!$A$2:$A$270,0)),"Not Mapped")</f>
        <v>Arun Raj</v>
      </c>
      <c r="C93" s="63" t="str">
        <f aca="false">IFERROR(INDEX('CLM &amp; IM Mapping'!$C$2:$C$270,MATCH($A93,'CLM &amp; IM Mapping'!$A$2:$A$270,0)),"Not Mapped")</f>
        <v>Simon Manoharan</v>
      </c>
      <c r="D93" s="64" t="n">
        <f aca="false">IFERROR(INDEX(Shrinkage!$P$2:$P$260,MATCH($A93,Shrinkage!$D$2:$D$260,0)),IFERROR(INDEX(Shrinkage!$P$2:$P$260,MATCH(SUBSTITUTE($A93," SS","  SS"),Shrinkage!$D$2:$D$260,0)),"NA"))</f>
        <v>-2443</v>
      </c>
      <c r="E93" s="65" t="n">
        <f aca="false">IFERROR(INDEX('Inventory Hygiene'!$I$3:$I$254,MATCH($A93,'Inventory Hygiene'!$B$3:$B$254,0)),IFERROR(INDEX('Inventory Hygiene'!$I$3:$I$254,MATCH(SUBSTITUTE($A93," SS","  SS"),'Inventory Hygiene'!$B$3:$B$254,0)),"NA"))</f>
        <v>0.33</v>
      </c>
      <c r="F93" s="64" t="n">
        <f aca="false">IFERROR(INDEX('Bad Bins'!$K$3:$K$253,MATCH($A93,'Bad Bins'!$B$3:$B$253,0)),IFERROR(INDEX('Bad Bins'!$K$3:$K$253,MATCH(SUBSTITUTE($A93," SS","  SS"),'Bad Bins'!$B$3:$B$253,0)),"NA"))</f>
        <v>4</v>
      </c>
      <c r="G93" s="64" t="n">
        <f aca="false">IFERROR(INDEX('RSTO &gt; 48hrs'!$H$2:$H$134,MATCH($A93,'RSTO &gt; 48hrs'!$B$2:$B$134,0)),IFERROR(INDEX('RSTO &gt; 48hrs'!$H$2:$H$134,MATCH(SUBSTITUTE($A93," SS","  SS"),'RSTO &gt; 48hrs'!$B$2:$B$134,0)),"NA"))</f>
        <v>113</v>
      </c>
      <c r="H93" s="64" t="n">
        <f aca="false">IFERROR(INDEX('Recirculation &gt; 24 hrs'!$K$3:$K$151,MATCH($A93,'Recirculation &gt; 24 hrs'!$B$3:$B$151,0)),IFERROR(INDEX('Recirculation &gt; 24 hrs'!$K$3:$K$151,MATCH(SUBSTITUTE($A93," SS","  SS"),'Recirculation &gt; 24 hrs'!$B$3:$B$151,0)),"NA"))</f>
        <v>308</v>
      </c>
      <c r="I93" s="64" t="n">
        <f aca="false">IFERROR(INDEX('Pending Putaway'!$E$2:$E$1537,MATCH($A93,'Pending Putaway'!$B$2:$B$1537,0)),IFERROR(INDEX('Pending Putaway'!$E$2:$E$1537,MATCH(SUBSTITUTE($A93," SS","  SS"),'Pending Putaway'!$B$2:$B$1537,0)),"NA"))</f>
        <v>1258</v>
      </c>
      <c r="J93" s="64" t="n">
        <f aca="false">IFERROR(INDEX('Pending Putaway'!$L$2:$L$1537,MATCH($A93,'Pending Putaway'!$B$2:$B$1537,0)),IFERROR(INDEX('Pending Putaway'!$L$2:$L$1537,MATCH(SUBSTITUTE($A93," SS","  SS"),'Pending Putaway'!$B$2:$B$1537,0)),"NA"))</f>
        <v>6</v>
      </c>
    </row>
    <row r="94" customFormat="false" ht="15" hidden="false" customHeight="false" outlineLevel="0" collapsed="false">
      <c r="A94" s="63" t="s">
        <v>184</v>
      </c>
      <c r="B94" s="63" t="str">
        <f aca="false">IFERROR(INDEX('CLM &amp; IM Mapping'!$B$2:$B$270,MATCH($A94,'CLM &amp; IM Mapping'!$A$2:$A$270,0)),"Not Mapped")</f>
        <v>Arun Raj</v>
      </c>
      <c r="C94" s="63" t="str">
        <f aca="false">IFERROR(INDEX('CLM &amp; IM Mapping'!$C$2:$C$270,MATCH($A94,'CLM &amp; IM Mapping'!$A$2:$A$270,0)),"Not Mapped")</f>
        <v>Simon Manoharan</v>
      </c>
      <c r="D94" s="64" t="n">
        <f aca="false">IFERROR(INDEX(Shrinkage!$P$2:$P$260,MATCH($A94,Shrinkage!$D$2:$D$260,0)),IFERROR(INDEX(Shrinkage!$P$2:$P$260,MATCH(SUBSTITUTE($A94," SS","  SS"),Shrinkage!$D$2:$D$260,0)),"NA"))</f>
        <v>155636</v>
      </c>
      <c r="E94" s="65" t="n">
        <f aca="false">IFERROR(INDEX('Inventory Hygiene'!$I$3:$I$254,MATCH($A94,'Inventory Hygiene'!$B$3:$B$254,0)),IFERROR(INDEX('Inventory Hygiene'!$I$3:$I$254,MATCH(SUBSTITUTE($A94," SS","  SS"),'Inventory Hygiene'!$B$3:$B$254,0)),"NA"))</f>
        <v>0.33</v>
      </c>
      <c r="F94" s="64" t="n">
        <f aca="false">IFERROR(INDEX('Bad Bins'!$K$3:$K$253,MATCH($A94,'Bad Bins'!$B$3:$B$253,0)),IFERROR(INDEX('Bad Bins'!$K$3:$K$253,MATCH(SUBSTITUTE($A94," SS","  SS"),'Bad Bins'!$B$3:$B$253,0)),"NA"))</f>
        <v>61</v>
      </c>
      <c r="G94" s="64" t="n">
        <f aca="false">IFERROR(INDEX('RSTO &gt; 48hrs'!$H$2:$H$134,MATCH($A94,'RSTO &gt; 48hrs'!$B$2:$B$134,0)),IFERROR(INDEX('RSTO &gt; 48hrs'!$H$2:$H$134,MATCH(SUBSTITUTE($A94," SS","  SS"),'RSTO &gt; 48hrs'!$B$2:$B$134,0)),"NA"))</f>
        <v>18</v>
      </c>
      <c r="H94" s="64" t="n">
        <f aca="false">IFERROR(INDEX('Recirculation &gt; 24 hrs'!$K$3:$K$151,MATCH($A94,'Recirculation &gt; 24 hrs'!$B$3:$B$151,0)),IFERROR(INDEX('Recirculation &gt; 24 hrs'!$K$3:$K$151,MATCH(SUBSTITUTE($A94," SS","  SS"),'Recirculation &gt; 24 hrs'!$B$3:$B$151,0)),"NA"))</f>
        <v>281</v>
      </c>
      <c r="I94" s="64" t="n">
        <f aca="false">IFERROR(INDEX('Pending Putaway'!$E$2:$E$1537,MATCH($A94,'Pending Putaway'!$B$2:$B$1537,0)),IFERROR(INDEX('Pending Putaway'!$E$2:$E$1537,MATCH(SUBSTITUTE($A94," SS","  SS"),'Pending Putaway'!$B$2:$B$1537,0)),"NA"))</f>
        <v>4043</v>
      </c>
      <c r="J94" s="64" t="n">
        <f aca="false">IFERROR(INDEX('Pending Putaway'!$L$2:$L$1537,MATCH($A94,'Pending Putaway'!$B$2:$B$1537,0)),IFERROR(INDEX('Pending Putaway'!$L$2:$L$1537,MATCH(SUBSTITUTE($A94," SS","  SS"),'Pending Putaway'!$B$2:$B$1537,0)),"NA"))</f>
        <v>867</v>
      </c>
    </row>
    <row r="95" customFormat="false" ht="15" hidden="false" customHeight="false" outlineLevel="0" collapsed="false">
      <c r="A95" s="63" t="s">
        <v>168</v>
      </c>
      <c r="B95" s="63" t="str">
        <f aca="false">IFERROR(INDEX('CLM &amp; IM Mapping'!$B$2:$B$270,MATCH($A95,'CLM &amp; IM Mapping'!$A$2:$A$270,0)),"Not Mapped")</f>
        <v>Arun Raj</v>
      </c>
      <c r="C95" s="63" t="str">
        <f aca="false">IFERROR(INDEX('CLM &amp; IM Mapping'!$C$2:$C$270,MATCH($A95,'CLM &amp; IM Mapping'!$A$2:$A$270,0)),"Not Mapped")</f>
        <v>Simon Manoharan</v>
      </c>
      <c r="D95" s="64" t="n">
        <f aca="false">IFERROR(INDEX(Shrinkage!$P$2:$P$260,MATCH($A95,Shrinkage!$D$2:$D$260,0)),IFERROR(INDEX(Shrinkage!$P$2:$P$260,MATCH(SUBSTITUTE($A95," SS","  SS"),Shrinkage!$D$2:$D$260,0)),"NA"))</f>
        <v>-819</v>
      </c>
      <c r="E95" s="65" t="n">
        <f aca="false">IFERROR(INDEX('Inventory Hygiene'!$I$3:$I$254,MATCH($A95,'Inventory Hygiene'!$B$3:$B$254,0)),IFERROR(INDEX('Inventory Hygiene'!$I$3:$I$254,MATCH(SUBSTITUTE($A95," SS","  SS"),'Inventory Hygiene'!$B$3:$B$254,0)),"NA"))</f>
        <v>0.14</v>
      </c>
      <c r="F95" s="64" t="n">
        <f aca="false">IFERROR(INDEX('Bad Bins'!$K$3:$K$253,MATCH($A95,'Bad Bins'!$B$3:$B$253,0)),IFERROR(INDEX('Bad Bins'!$K$3:$K$253,MATCH(SUBSTITUTE($A95," SS","  SS"),'Bad Bins'!$B$3:$B$253,0)),"NA"))</f>
        <v>5</v>
      </c>
      <c r="G95" s="64" t="str">
        <f aca="false">IFERROR(INDEX('RSTO &gt; 48hrs'!$H$2:$H$134,MATCH($A95,'RSTO &gt; 48hrs'!$B$2:$B$134,0)),IFERROR(INDEX('RSTO &gt; 48hrs'!$H$2:$H$134,MATCH(SUBSTITUTE($A95," SS","  SS"),'RSTO &gt; 48hrs'!$B$2:$B$134,0)),"NA"))</f>
        <v>NA</v>
      </c>
      <c r="H95" s="64" t="n">
        <f aca="false">IFERROR(INDEX('Recirculation &gt; 24 hrs'!$K$3:$K$151,MATCH($A95,'Recirculation &gt; 24 hrs'!$B$3:$B$151,0)),IFERROR(INDEX('Recirculation &gt; 24 hrs'!$K$3:$K$151,MATCH(SUBSTITUTE($A95," SS","  SS"),'Recirculation &gt; 24 hrs'!$B$3:$B$151,0)),"NA"))</f>
        <v>424</v>
      </c>
      <c r="I95" s="64" t="n">
        <f aca="false">IFERROR(INDEX('Pending Putaway'!$E$2:$E$1537,MATCH($A95,'Pending Putaway'!$B$2:$B$1537,0)),IFERROR(INDEX('Pending Putaway'!$E$2:$E$1537,MATCH(SUBSTITUTE($A95," SS","  SS"),'Pending Putaway'!$B$2:$B$1537,0)),"NA"))</f>
        <v>320</v>
      </c>
      <c r="J95" s="64" t="n">
        <f aca="false">IFERROR(INDEX('Pending Putaway'!$L$2:$L$1537,MATCH($A95,'Pending Putaway'!$B$2:$B$1537,0)),IFERROR(INDEX('Pending Putaway'!$L$2:$L$1537,MATCH(SUBSTITUTE($A95," SS","  SS"),'Pending Putaway'!$B$2:$B$1537,0)),"NA"))</f>
        <v>309</v>
      </c>
    </row>
    <row r="96" customFormat="false" ht="15" hidden="false" customHeight="false" outlineLevel="0" collapsed="false">
      <c r="A96" s="63" t="s">
        <v>120</v>
      </c>
      <c r="B96" s="63" t="str">
        <f aca="false">IFERROR(INDEX('CLM &amp; IM Mapping'!$B$2:$B$270,MATCH($A96,'CLM &amp; IM Mapping'!$A$2:$A$270,0)),"Not Mapped")</f>
        <v>Arun Raj</v>
      </c>
      <c r="C96" s="63" t="str">
        <f aca="false">IFERROR(INDEX('CLM &amp; IM Mapping'!$C$2:$C$270,MATCH($A96,'CLM &amp; IM Mapping'!$A$2:$A$270,0)),"Not Mapped")</f>
        <v>Simon Manoharan</v>
      </c>
      <c r="D96" s="64" t="n">
        <f aca="false">IFERROR(INDEX(Shrinkage!$P$2:$P$260,MATCH($A96,Shrinkage!$D$2:$D$260,0)),IFERROR(INDEX(Shrinkage!$P$2:$P$260,MATCH(SUBSTITUTE($A96," SS","  SS"),Shrinkage!$D$2:$D$260,0)),"NA"))</f>
        <v>7301</v>
      </c>
      <c r="E96" s="65" t="n">
        <f aca="false">IFERROR(INDEX('Inventory Hygiene'!$I$3:$I$254,MATCH($A96,'Inventory Hygiene'!$B$3:$B$254,0)),IFERROR(INDEX('Inventory Hygiene'!$I$3:$I$254,MATCH(SUBSTITUTE($A96," SS","  SS"),'Inventory Hygiene'!$B$3:$B$254,0)),"NA"))</f>
        <v>0.35</v>
      </c>
      <c r="F96" s="64" t="n">
        <f aca="false">IFERROR(INDEX('Bad Bins'!$K$3:$K$253,MATCH($A96,'Bad Bins'!$B$3:$B$253,0)),IFERROR(INDEX('Bad Bins'!$K$3:$K$253,MATCH(SUBSTITUTE($A96," SS","  SS"),'Bad Bins'!$B$3:$B$253,0)),"NA"))</f>
        <v>38</v>
      </c>
      <c r="G96" s="64" t="n">
        <f aca="false">IFERROR(INDEX('RSTO &gt; 48hrs'!$H$2:$H$134,MATCH($A96,'RSTO &gt; 48hrs'!$B$2:$B$134,0)),IFERROR(INDEX('RSTO &gt; 48hrs'!$H$2:$H$134,MATCH(SUBSTITUTE($A96," SS","  SS"),'RSTO &gt; 48hrs'!$B$2:$B$134,0)),"NA"))</f>
        <v>2</v>
      </c>
      <c r="H96" s="64" t="n">
        <f aca="false">IFERROR(INDEX('Recirculation &gt; 24 hrs'!$K$3:$K$151,MATCH($A96,'Recirculation &gt; 24 hrs'!$B$3:$B$151,0)),IFERROR(INDEX('Recirculation &gt; 24 hrs'!$K$3:$K$151,MATCH(SUBSTITUTE($A96," SS","  SS"),'Recirculation &gt; 24 hrs'!$B$3:$B$151,0)),"NA"))</f>
        <v>304</v>
      </c>
      <c r="I96" s="64" t="n">
        <f aca="false">IFERROR(INDEX('Pending Putaway'!$E$2:$E$1537,MATCH($A96,'Pending Putaway'!$B$2:$B$1537,0)),IFERROR(INDEX('Pending Putaway'!$E$2:$E$1537,MATCH(SUBSTITUTE($A96," SS","  SS"),'Pending Putaway'!$B$2:$B$1537,0)),"NA"))</f>
        <v>2248</v>
      </c>
      <c r="J96" s="64" t="n">
        <f aca="false">IFERROR(INDEX('Pending Putaway'!$L$2:$L$1537,MATCH($A96,'Pending Putaway'!$B$2:$B$1537,0)),IFERROR(INDEX('Pending Putaway'!$L$2:$L$1537,MATCH(SUBSTITUTE($A96," SS","  SS"),'Pending Putaway'!$B$2:$B$1537,0)),"NA"))</f>
        <v>65</v>
      </c>
    </row>
    <row r="97" customFormat="false" ht="15" hidden="false" customHeight="false" outlineLevel="0" collapsed="false">
      <c r="A97" s="63" t="s">
        <v>97</v>
      </c>
      <c r="B97" s="63" t="str">
        <f aca="false">IFERROR(INDEX('CLM &amp; IM Mapping'!$B$2:$B$270,MATCH($A97,'CLM &amp; IM Mapping'!$A$2:$A$270,0)),"Not Mapped")</f>
        <v>Arun Raj</v>
      </c>
      <c r="C97" s="63" t="str">
        <f aca="false">IFERROR(INDEX('CLM &amp; IM Mapping'!$C$2:$C$270,MATCH($A97,'CLM &amp; IM Mapping'!$A$2:$A$270,0)),"Not Mapped")</f>
        <v>Simon Manoharan</v>
      </c>
      <c r="D97" s="64" t="n">
        <f aca="false">IFERROR(INDEX(Shrinkage!$P$2:$P$260,MATCH($A97,Shrinkage!$D$2:$D$260,0)),IFERROR(INDEX(Shrinkage!$P$2:$P$260,MATCH(SUBSTITUTE($A97," SS","  SS"),Shrinkage!$D$2:$D$260,0)),"NA"))</f>
        <v>58886</v>
      </c>
      <c r="E97" s="65" t="n">
        <f aca="false">IFERROR(INDEX('Inventory Hygiene'!$I$3:$I$254,MATCH($A97,'Inventory Hygiene'!$B$3:$B$254,0)),IFERROR(INDEX('Inventory Hygiene'!$I$3:$I$254,MATCH(SUBSTITUTE($A97," SS","  SS"),'Inventory Hygiene'!$B$3:$B$254,0)),"NA"))</f>
        <v>0.14</v>
      </c>
      <c r="F97" s="64" t="n">
        <f aca="false">IFERROR(INDEX('Bad Bins'!$K$3:$K$253,MATCH($A97,'Bad Bins'!$B$3:$B$253,0)),IFERROR(INDEX('Bad Bins'!$K$3:$K$253,MATCH(SUBSTITUTE($A97," SS","  SS"),'Bad Bins'!$B$3:$B$253,0)),"NA"))</f>
        <v>6</v>
      </c>
      <c r="G97" s="64" t="n">
        <f aca="false">IFERROR(INDEX('RSTO &gt; 48hrs'!$H$2:$H$134,MATCH($A97,'RSTO &gt; 48hrs'!$B$2:$B$134,0)),IFERROR(INDEX('RSTO &gt; 48hrs'!$H$2:$H$134,MATCH(SUBSTITUTE($A97," SS","  SS"),'RSTO &gt; 48hrs'!$B$2:$B$134,0)),"NA"))</f>
        <v>58</v>
      </c>
      <c r="H97" s="64" t="n">
        <f aca="false">IFERROR(INDEX('Recirculation &gt; 24 hrs'!$K$3:$K$151,MATCH($A97,'Recirculation &gt; 24 hrs'!$B$3:$B$151,0)),IFERROR(INDEX('Recirculation &gt; 24 hrs'!$K$3:$K$151,MATCH(SUBSTITUTE($A97," SS","  SS"),'Recirculation &gt; 24 hrs'!$B$3:$B$151,0)),"NA"))</f>
        <v>434</v>
      </c>
      <c r="I97" s="64" t="n">
        <f aca="false">IFERROR(INDEX('Pending Putaway'!$E$2:$E$1537,MATCH($A97,'Pending Putaway'!$B$2:$B$1537,0)),IFERROR(INDEX('Pending Putaway'!$E$2:$E$1537,MATCH(SUBSTITUTE($A97," SS","  SS"),'Pending Putaway'!$B$2:$B$1537,0)),"NA"))</f>
        <v>4120</v>
      </c>
      <c r="J97" s="64" t="n">
        <f aca="false">IFERROR(INDEX('Pending Putaway'!$L$2:$L$1537,MATCH($A97,'Pending Putaway'!$B$2:$B$1537,0)),IFERROR(INDEX('Pending Putaway'!$L$2:$L$1537,MATCH(SUBSTITUTE($A97," SS","  SS"),'Pending Putaway'!$B$2:$B$1537,0)),"NA"))</f>
        <v>660</v>
      </c>
    </row>
    <row r="98" customFormat="false" ht="15" hidden="false" customHeight="false" outlineLevel="0" collapsed="false">
      <c r="A98" s="63" t="s">
        <v>132</v>
      </c>
      <c r="B98" s="63" t="str">
        <f aca="false">IFERROR(INDEX('CLM &amp; IM Mapping'!$B$2:$B$270,MATCH($A98,'CLM &amp; IM Mapping'!$A$2:$A$270,0)),"Not Mapped")</f>
        <v>Arun Raj</v>
      </c>
      <c r="C98" s="63" t="str">
        <f aca="false">IFERROR(INDEX('CLM &amp; IM Mapping'!$C$2:$C$270,MATCH($A98,'CLM &amp; IM Mapping'!$A$2:$A$270,0)),"Not Mapped")</f>
        <v>Simon Manoharan</v>
      </c>
      <c r="D98" s="64" t="n">
        <f aca="false">IFERROR(INDEX(Shrinkage!$P$2:$P$260,MATCH($A98,Shrinkage!$D$2:$D$260,0)),IFERROR(INDEX(Shrinkage!$P$2:$P$260,MATCH(SUBSTITUTE($A98," SS","  SS"),Shrinkage!$D$2:$D$260,0)),"NA"))</f>
        <v>-12144</v>
      </c>
      <c r="E98" s="65" t="n">
        <f aca="false">IFERROR(INDEX('Inventory Hygiene'!$I$3:$I$254,MATCH($A98,'Inventory Hygiene'!$B$3:$B$254,0)),IFERROR(INDEX('Inventory Hygiene'!$I$3:$I$254,MATCH(SUBSTITUTE($A98," SS","  SS"),'Inventory Hygiene'!$B$3:$B$254,0)),"NA"))</f>
        <v>0.53</v>
      </c>
      <c r="F98" s="64" t="n">
        <f aca="false">IFERROR(INDEX('Bad Bins'!$K$3:$K$253,MATCH($A98,'Bad Bins'!$B$3:$B$253,0)),IFERROR(INDEX('Bad Bins'!$K$3:$K$253,MATCH(SUBSTITUTE($A98," SS","  SS"),'Bad Bins'!$B$3:$B$253,0)),"NA"))</f>
        <v>0</v>
      </c>
      <c r="G98" s="64" t="str">
        <f aca="false">IFERROR(INDEX('RSTO &gt; 48hrs'!$H$2:$H$134,MATCH($A98,'RSTO &gt; 48hrs'!$B$2:$B$134,0)),IFERROR(INDEX('RSTO &gt; 48hrs'!$H$2:$H$134,MATCH(SUBSTITUTE($A98," SS","  SS"),'RSTO &gt; 48hrs'!$B$2:$B$134,0)),"NA"))</f>
        <v>NA</v>
      </c>
      <c r="H98" s="64" t="n">
        <f aca="false">IFERROR(INDEX('Recirculation &gt; 24 hrs'!$K$3:$K$151,MATCH($A98,'Recirculation &gt; 24 hrs'!$B$3:$B$151,0)),IFERROR(INDEX('Recirculation &gt; 24 hrs'!$K$3:$K$151,MATCH(SUBSTITUTE($A98," SS","  SS"),'Recirculation &gt; 24 hrs'!$B$3:$B$151,0)),"NA"))</f>
        <v>405</v>
      </c>
      <c r="I98" s="64" t="n">
        <f aca="false">IFERROR(INDEX('Pending Putaway'!$E$2:$E$1537,MATCH($A98,'Pending Putaway'!$B$2:$B$1537,0)),IFERROR(INDEX('Pending Putaway'!$E$2:$E$1537,MATCH(SUBSTITUTE($A98," SS","  SS"),'Pending Putaway'!$B$2:$B$1537,0)),"NA"))</f>
        <v>350</v>
      </c>
      <c r="J98" s="64" t="n">
        <f aca="false">IFERROR(INDEX('Pending Putaway'!$L$2:$L$1537,MATCH($A98,'Pending Putaway'!$B$2:$B$1537,0)),IFERROR(INDEX('Pending Putaway'!$L$2:$L$1537,MATCH(SUBSTITUTE($A98," SS","  SS"),'Pending Putaway'!$B$2:$B$1537,0)),"NA"))</f>
        <v>0</v>
      </c>
    </row>
    <row r="99" customFormat="false" ht="15" hidden="false" customHeight="false" outlineLevel="0" collapsed="false">
      <c r="A99" s="63" t="s">
        <v>119</v>
      </c>
      <c r="B99" s="63" t="str">
        <f aca="false">IFERROR(INDEX('CLM &amp; IM Mapping'!$B$2:$B$270,MATCH($A99,'CLM &amp; IM Mapping'!$A$2:$A$270,0)),"Not Mapped")</f>
        <v>Arun Raj</v>
      </c>
      <c r="C99" s="63" t="str">
        <f aca="false">IFERROR(INDEX('CLM &amp; IM Mapping'!$C$2:$C$270,MATCH($A99,'CLM &amp; IM Mapping'!$A$2:$A$270,0)),"Not Mapped")</f>
        <v>Simon Manoharan</v>
      </c>
      <c r="D99" s="64" t="n">
        <f aca="false">IFERROR(INDEX(Shrinkage!$P$2:$P$260,MATCH($A99,Shrinkage!$D$2:$D$260,0)),IFERROR(INDEX(Shrinkage!$P$2:$P$260,MATCH(SUBSTITUTE($A99," SS","  SS"),Shrinkage!$D$2:$D$260,0)),"NA"))</f>
        <v>-10970</v>
      </c>
      <c r="E99" s="65" t="n">
        <f aca="false">IFERROR(INDEX('Inventory Hygiene'!$I$3:$I$254,MATCH($A99,'Inventory Hygiene'!$B$3:$B$254,0)),IFERROR(INDEX('Inventory Hygiene'!$I$3:$I$254,MATCH(SUBSTITUTE($A99," SS","  SS"),'Inventory Hygiene'!$B$3:$B$254,0)),"NA"))</f>
        <v>0.06</v>
      </c>
      <c r="F99" s="64" t="n">
        <f aca="false">IFERROR(INDEX('Bad Bins'!$K$3:$K$253,MATCH($A99,'Bad Bins'!$B$3:$B$253,0)),IFERROR(INDEX('Bad Bins'!$K$3:$K$253,MATCH(SUBSTITUTE($A99," SS","  SS"),'Bad Bins'!$B$3:$B$253,0)),"NA"))</f>
        <v>4</v>
      </c>
      <c r="G99" s="64" t="n">
        <f aca="false">IFERROR(INDEX('RSTO &gt; 48hrs'!$H$2:$H$134,MATCH($A99,'RSTO &gt; 48hrs'!$B$2:$B$134,0)),IFERROR(INDEX('RSTO &gt; 48hrs'!$H$2:$H$134,MATCH(SUBSTITUTE($A99," SS","  SS"),'RSTO &gt; 48hrs'!$B$2:$B$134,0)),"NA"))</f>
        <v>235</v>
      </c>
      <c r="H99" s="64" t="n">
        <f aca="false">IFERROR(INDEX('Recirculation &gt; 24 hrs'!$K$3:$K$151,MATCH($A99,'Recirculation &gt; 24 hrs'!$B$3:$B$151,0)),IFERROR(INDEX('Recirculation &gt; 24 hrs'!$K$3:$K$151,MATCH(SUBSTITUTE($A99," SS","  SS"),'Recirculation &gt; 24 hrs'!$B$3:$B$151,0)),"NA"))</f>
        <v>4863</v>
      </c>
      <c r="I99" s="64" t="str">
        <f aca="false">IFERROR(INDEX('Pending Putaway'!$E$2:$E$1537,MATCH($A99,'Pending Putaway'!$B$2:$B$1537,0)),IFERROR(INDEX('Pending Putaway'!$E$2:$E$1537,MATCH(SUBSTITUTE($A99," SS","  SS"),'Pending Putaway'!$B$2:$B$1537,0)),"NA"))</f>
        <v>NA</v>
      </c>
      <c r="J99" s="64" t="str">
        <f aca="false">IFERROR(INDEX('Pending Putaway'!$L$2:$L$1537,MATCH($A99,'Pending Putaway'!$B$2:$B$1537,0)),IFERROR(INDEX('Pending Putaway'!$L$2:$L$1537,MATCH(SUBSTITUTE($A99," SS","  SS"),'Pending Putaway'!$B$2:$B$1537,0)),"NA"))</f>
        <v>NA</v>
      </c>
    </row>
    <row r="100" customFormat="false" ht="15" hidden="false" customHeight="false" outlineLevel="0" collapsed="false">
      <c r="A100" s="63" t="s">
        <v>272</v>
      </c>
      <c r="B100" s="63" t="str">
        <f aca="false">IFERROR(INDEX('CLM &amp; IM Mapping'!$B$2:$B$270,MATCH($A100,'CLM &amp; IM Mapping'!$A$2:$A$270,0)),"Not Mapped")</f>
        <v>Arun Raj</v>
      </c>
      <c r="C100" s="63" t="str">
        <f aca="false">IFERROR(INDEX('CLM &amp; IM Mapping'!$C$2:$C$270,MATCH($A100,'CLM &amp; IM Mapping'!$A$2:$A$270,0)),"Not Mapped")</f>
        <v>Simon Manoharan</v>
      </c>
      <c r="D100" s="64" t="n">
        <f aca="false">IFERROR(INDEX(Shrinkage!$P$2:$P$260,MATCH($A100,Shrinkage!$D$2:$D$260,0)),IFERROR(INDEX(Shrinkage!$P$2:$P$260,MATCH(SUBSTITUTE($A100," SS","  SS"),Shrinkage!$D$2:$D$260,0)),"NA"))</f>
        <v>-7634</v>
      </c>
      <c r="E100" s="65" t="n">
        <f aca="false">IFERROR(INDEX('Inventory Hygiene'!$I$3:$I$254,MATCH($A100,'Inventory Hygiene'!$B$3:$B$254,0)),IFERROR(INDEX('Inventory Hygiene'!$I$3:$I$254,MATCH(SUBSTITUTE($A100," SS","  SS"),'Inventory Hygiene'!$B$3:$B$254,0)),"NA"))</f>
        <v>0.34</v>
      </c>
      <c r="F100" s="64" t="n">
        <f aca="false">IFERROR(INDEX('Bad Bins'!$K$3:$K$253,MATCH($A100,'Bad Bins'!$B$3:$B$253,0)),IFERROR(INDEX('Bad Bins'!$K$3:$K$253,MATCH(SUBSTITUTE($A100," SS","  SS"),'Bad Bins'!$B$3:$B$253,0)),"NA"))</f>
        <v>16</v>
      </c>
      <c r="G100" s="64" t="str">
        <f aca="false">IFERROR(INDEX('RSTO &gt; 48hrs'!$H$2:$H$134,MATCH($A100,'RSTO &gt; 48hrs'!$B$2:$B$134,0)),IFERROR(INDEX('RSTO &gt; 48hrs'!$H$2:$H$134,MATCH(SUBSTITUTE($A100," SS","  SS"),'RSTO &gt; 48hrs'!$B$2:$B$134,0)),"NA"))</f>
        <v>NA</v>
      </c>
      <c r="H100" s="64" t="n">
        <f aca="false">IFERROR(INDEX('Recirculation &gt; 24 hrs'!$K$3:$K$151,MATCH($A100,'Recirculation &gt; 24 hrs'!$B$3:$B$151,0)),IFERROR(INDEX('Recirculation &gt; 24 hrs'!$K$3:$K$151,MATCH(SUBSTITUTE($A100," SS","  SS"),'Recirculation &gt; 24 hrs'!$B$3:$B$151,0)),"NA"))</f>
        <v>301</v>
      </c>
      <c r="I100" s="64" t="n">
        <f aca="false">IFERROR(INDEX('Pending Putaway'!$E$2:$E$1537,MATCH($A100,'Pending Putaway'!$B$2:$B$1537,0)),IFERROR(INDEX('Pending Putaway'!$E$2:$E$1537,MATCH(SUBSTITUTE($A100," SS","  SS"),'Pending Putaway'!$B$2:$B$1537,0)),"NA"))</f>
        <v>2015</v>
      </c>
      <c r="J100" s="64" t="n">
        <f aca="false">IFERROR(INDEX('Pending Putaway'!$L$2:$L$1537,MATCH($A100,'Pending Putaway'!$B$2:$B$1537,0)),IFERROR(INDEX('Pending Putaway'!$L$2:$L$1537,MATCH(SUBSTITUTE($A100," SS","  SS"),'Pending Putaway'!$B$2:$B$1537,0)),"NA"))</f>
        <v>0</v>
      </c>
    </row>
    <row r="101" customFormat="false" ht="15" hidden="false" customHeight="false" outlineLevel="0" collapsed="false">
      <c r="A101" s="63" t="s">
        <v>300</v>
      </c>
      <c r="B101" s="63" t="str">
        <f aca="false">IFERROR(INDEX('CLM &amp; IM Mapping'!$B$2:$B$270,MATCH($A101,'CLM &amp; IM Mapping'!$A$2:$A$270,0)),"Not Mapped")</f>
        <v>Arun Raj</v>
      </c>
      <c r="C101" s="63" t="str">
        <f aca="false">IFERROR(INDEX('CLM &amp; IM Mapping'!$C$2:$C$270,MATCH($A101,'CLM &amp; IM Mapping'!$A$2:$A$270,0)),"Not Mapped")</f>
        <v>Simon Manoharan</v>
      </c>
      <c r="D101" s="64" t="n">
        <f aca="false">IFERROR(INDEX(Shrinkage!$P$2:$P$260,MATCH($A101,Shrinkage!$D$2:$D$260,0)),IFERROR(INDEX(Shrinkage!$P$2:$P$260,MATCH(SUBSTITUTE($A101," SS","  SS"),Shrinkage!$D$2:$D$260,0)),"NA"))</f>
        <v>603</v>
      </c>
      <c r="E101" s="65" t="n">
        <f aca="false">IFERROR(INDEX('Inventory Hygiene'!$I$3:$I$254,MATCH($A101,'Inventory Hygiene'!$B$3:$B$254,0)),IFERROR(INDEX('Inventory Hygiene'!$I$3:$I$254,MATCH(SUBSTITUTE($A101," SS","  SS"),'Inventory Hygiene'!$B$3:$B$254,0)),"NA"))</f>
        <v>0.3</v>
      </c>
      <c r="F101" s="64" t="n">
        <f aca="false">IFERROR(INDEX('Bad Bins'!$K$3:$K$253,MATCH($A101,'Bad Bins'!$B$3:$B$253,0)),IFERROR(INDEX('Bad Bins'!$K$3:$K$253,MATCH(SUBSTITUTE($A101," SS","  SS"),'Bad Bins'!$B$3:$B$253,0)),"NA"))</f>
        <v>20</v>
      </c>
      <c r="G101" s="64" t="str">
        <f aca="false">IFERROR(INDEX('RSTO &gt; 48hrs'!$H$2:$H$134,MATCH($A101,'RSTO &gt; 48hrs'!$B$2:$B$134,0)),IFERROR(INDEX('RSTO &gt; 48hrs'!$H$2:$H$134,MATCH(SUBSTITUTE($A101," SS","  SS"),'RSTO &gt; 48hrs'!$B$2:$B$134,0)),"NA"))</f>
        <v>NA</v>
      </c>
      <c r="H101" s="64" t="n">
        <f aca="false">IFERROR(INDEX('Recirculation &gt; 24 hrs'!$K$3:$K$151,MATCH($A101,'Recirculation &gt; 24 hrs'!$B$3:$B$151,0)),IFERROR(INDEX('Recirculation &gt; 24 hrs'!$K$3:$K$151,MATCH(SUBSTITUTE($A101," SS","  SS"),'Recirculation &gt; 24 hrs'!$B$3:$B$151,0)),"NA"))</f>
        <v>300</v>
      </c>
      <c r="I101" s="64" t="n">
        <f aca="false">IFERROR(INDEX('Pending Putaway'!$E$2:$E$1537,MATCH($A101,'Pending Putaway'!$B$2:$B$1537,0)),IFERROR(INDEX('Pending Putaway'!$E$2:$E$1537,MATCH(SUBSTITUTE($A101," SS","  SS"),'Pending Putaway'!$B$2:$B$1537,0)),"NA"))</f>
        <v>1549</v>
      </c>
      <c r="J101" s="64" t="n">
        <f aca="false">IFERROR(INDEX('Pending Putaway'!$L$2:$L$1537,MATCH($A101,'Pending Putaway'!$B$2:$B$1537,0)),IFERROR(INDEX('Pending Putaway'!$L$2:$L$1537,MATCH(SUBSTITUTE($A101," SS","  SS"),'Pending Putaway'!$B$2:$B$1537,0)),"NA"))</f>
        <v>1549</v>
      </c>
    </row>
    <row r="102" customFormat="false" ht="15" hidden="false" customHeight="false" outlineLevel="0" collapsed="false">
      <c r="A102" s="63" t="s">
        <v>213</v>
      </c>
      <c r="B102" s="63" t="str">
        <f aca="false">IFERROR(INDEX('CLM &amp; IM Mapping'!$B$2:$B$270,MATCH($A102,'CLM &amp; IM Mapping'!$A$2:$A$270,0)),"Not Mapped")</f>
        <v>Arun Raj</v>
      </c>
      <c r="C102" s="63" t="str">
        <f aca="false">IFERROR(INDEX('CLM &amp; IM Mapping'!$C$2:$C$270,MATCH($A102,'CLM &amp; IM Mapping'!$A$2:$A$270,0)),"Not Mapped")</f>
        <v>Simon Manoharan</v>
      </c>
      <c r="D102" s="64" t="n">
        <f aca="false">IFERROR(INDEX(Shrinkage!$P$2:$P$260,MATCH($A102,Shrinkage!$D$2:$D$260,0)),IFERROR(INDEX(Shrinkage!$P$2:$P$260,MATCH(SUBSTITUTE($A102," SS","  SS"),Shrinkage!$D$2:$D$260,0)),"NA"))</f>
        <v>1782</v>
      </c>
      <c r="E102" s="65" t="n">
        <f aca="false">IFERROR(INDEX('Inventory Hygiene'!$I$3:$I$254,MATCH($A102,'Inventory Hygiene'!$B$3:$B$254,0)),IFERROR(INDEX('Inventory Hygiene'!$I$3:$I$254,MATCH(SUBSTITUTE($A102," SS","  SS"),'Inventory Hygiene'!$B$3:$B$254,0)),"NA"))</f>
        <v>0.39</v>
      </c>
      <c r="F102" s="64" t="n">
        <f aca="false">IFERROR(INDEX('Bad Bins'!$K$3:$K$253,MATCH($A102,'Bad Bins'!$B$3:$B$253,0)),IFERROR(INDEX('Bad Bins'!$K$3:$K$253,MATCH(SUBSTITUTE($A102," SS","  SS"),'Bad Bins'!$B$3:$B$253,0)),"NA"))</f>
        <v>32</v>
      </c>
      <c r="G102" s="64" t="n">
        <f aca="false">IFERROR(INDEX('RSTO &gt; 48hrs'!$H$2:$H$134,MATCH($A102,'RSTO &gt; 48hrs'!$B$2:$B$134,0)),IFERROR(INDEX('RSTO &gt; 48hrs'!$H$2:$H$134,MATCH(SUBSTITUTE($A102," SS","  SS"),'RSTO &gt; 48hrs'!$B$2:$B$134,0)),"NA"))</f>
        <v>10</v>
      </c>
      <c r="H102" s="64" t="n">
        <f aca="false">IFERROR(INDEX('Recirculation &gt; 24 hrs'!$K$3:$K$151,MATCH($A102,'Recirculation &gt; 24 hrs'!$B$3:$B$151,0)),IFERROR(INDEX('Recirculation &gt; 24 hrs'!$K$3:$K$151,MATCH(SUBSTITUTE($A102," SS","  SS"),'Recirculation &gt; 24 hrs'!$B$3:$B$151,0)),"NA"))</f>
        <v>553</v>
      </c>
      <c r="I102" s="64" t="n">
        <f aca="false">IFERROR(INDEX('Pending Putaway'!$E$2:$E$1537,MATCH($A102,'Pending Putaway'!$B$2:$B$1537,0)),IFERROR(INDEX('Pending Putaway'!$E$2:$E$1537,MATCH(SUBSTITUTE($A102," SS","  SS"),'Pending Putaway'!$B$2:$B$1537,0)),"NA"))</f>
        <v>2182</v>
      </c>
      <c r="J102" s="64" t="n">
        <f aca="false">IFERROR(INDEX('Pending Putaway'!$L$2:$L$1537,MATCH($A102,'Pending Putaway'!$B$2:$B$1537,0)),IFERROR(INDEX('Pending Putaway'!$L$2:$L$1537,MATCH(SUBSTITUTE($A102," SS","  SS"),'Pending Putaway'!$B$2:$B$1537,0)),"NA"))</f>
        <v>3</v>
      </c>
    </row>
    <row r="103" customFormat="false" ht="15" hidden="false" customHeight="false" outlineLevel="0" collapsed="false">
      <c r="A103" s="63" t="s">
        <v>95</v>
      </c>
      <c r="B103" s="63" t="str">
        <f aca="false">IFERROR(INDEX('CLM &amp; IM Mapping'!$B$2:$B$270,MATCH($A103,'CLM &amp; IM Mapping'!$A$2:$A$270,0)),"Not Mapped")</f>
        <v>Arun Raj</v>
      </c>
      <c r="C103" s="63" t="str">
        <f aca="false">IFERROR(INDEX('CLM &amp; IM Mapping'!$C$2:$C$270,MATCH($A103,'CLM &amp; IM Mapping'!$A$2:$A$270,0)),"Not Mapped")</f>
        <v>Simon Manoharan</v>
      </c>
      <c r="D103" s="64" t="n">
        <f aca="false">IFERROR(INDEX(Shrinkage!$P$2:$P$260,MATCH($A103,Shrinkage!$D$2:$D$260,0)),IFERROR(INDEX(Shrinkage!$P$2:$P$260,MATCH(SUBSTITUTE($A103," SS","  SS"),Shrinkage!$D$2:$D$260,0)),"NA"))</f>
        <v>-3514</v>
      </c>
      <c r="E103" s="65" t="n">
        <f aca="false">IFERROR(INDEX('Inventory Hygiene'!$I$3:$I$254,MATCH($A103,'Inventory Hygiene'!$B$3:$B$254,0)),IFERROR(INDEX('Inventory Hygiene'!$I$3:$I$254,MATCH(SUBSTITUTE($A103," SS","  SS"),'Inventory Hygiene'!$B$3:$B$254,0)),"NA"))</f>
        <v>0.54</v>
      </c>
      <c r="F103" s="64" t="n">
        <f aca="false">IFERROR(INDEX('Bad Bins'!$K$3:$K$253,MATCH($A103,'Bad Bins'!$B$3:$B$253,0)),IFERROR(INDEX('Bad Bins'!$K$3:$K$253,MATCH(SUBSTITUTE($A103," SS","  SS"),'Bad Bins'!$B$3:$B$253,0)),"NA"))</f>
        <v>13</v>
      </c>
      <c r="G103" s="64" t="str">
        <f aca="false">IFERROR(INDEX('RSTO &gt; 48hrs'!$H$2:$H$134,MATCH($A103,'RSTO &gt; 48hrs'!$B$2:$B$134,0)),IFERROR(INDEX('RSTO &gt; 48hrs'!$H$2:$H$134,MATCH(SUBSTITUTE($A103," SS","  SS"),'RSTO &gt; 48hrs'!$B$2:$B$134,0)),"NA"))</f>
        <v>NA</v>
      </c>
      <c r="H103" s="64" t="n">
        <f aca="false">IFERROR(INDEX('Recirculation &gt; 24 hrs'!$K$3:$K$151,MATCH($A103,'Recirculation &gt; 24 hrs'!$B$3:$B$151,0)),IFERROR(INDEX('Recirculation &gt; 24 hrs'!$K$3:$K$151,MATCH(SUBSTITUTE($A103," SS","  SS"),'Recirculation &gt; 24 hrs'!$B$3:$B$151,0)),"NA"))</f>
        <v>299</v>
      </c>
      <c r="I103" s="64" t="n">
        <f aca="false">IFERROR(INDEX('Pending Putaway'!$E$2:$E$1537,MATCH($A103,'Pending Putaway'!$B$2:$B$1537,0)),IFERROR(INDEX('Pending Putaway'!$E$2:$E$1537,MATCH(SUBSTITUTE($A103," SS","  SS"),'Pending Putaway'!$B$2:$B$1537,0)),"NA"))</f>
        <v>0</v>
      </c>
      <c r="J103" s="64" t="n">
        <f aca="false">IFERROR(INDEX('Pending Putaway'!$L$2:$L$1537,MATCH($A103,'Pending Putaway'!$B$2:$B$1537,0)),IFERROR(INDEX('Pending Putaway'!$L$2:$L$1537,MATCH(SUBSTITUTE($A103," SS","  SS"),'Pending Putaway'!$B$2:$B$1537,0)),"NA"))</f>
        <v>0</v>
      </c>
    </row>
    <row r="104" customFormat="false" ht="15" hidden="false" customHeight="false" outlineLevel="0" collapsed="false">
      <c r="A104" s="63" t="s">
        <v>196</v>
      </c>
      <c r="B104" s="63" t="str">
        <f aca="false">IFERROR(INDEX('CLM &amp; IM Mapping'!$B$2:$B$270,MATCH($A104,'CLM &amp; IM Mapping'!$A$2:$A$270,0)),"Not Mapped")</f>
        <v>Arun Raj</v>
      </c>
      <c r="C104" s="63" t="str">
        <f aca="false">IFERROR(INDEX('CLM &amp; IM Mapping'!$C$2:$C$270,MATCH($A104,'CLM &amp; IM Mapping'!$A$2:$A$270,0)),"Not Mapped")</f>
        <v>Simon Manoharan</v>
      </c>
      <c r="D104" s="64" t="n">
        <f aca="false">IFERROR(INDEX(Shrinkage!$P$2:$P$260,MATCH($A104,Shrinkage!$D$2:$D$260,0)),IFERROR(INDEX(Shrinkage!$P$2:$P$260,MATCH(SUBSTITUTE($A104," SS","  SS"),Shrinkage!$D$2:$D$260,0)),"NA"))</f>
        <v>-91484</v>
      </c>
      <c r="E104" s="65" t="n">
        <f aca="false">IFERROR(INDEX('Inventory Hygiene'!$I$3:$I$254,MATCH($A104,'Inventory Hygiene'!$B$3:$B$254,0)),IFERROR(INDEX('Inventory Hygiene'!$I$3:$I$254,MATCH(SUBSTITUTE($A104," SS","  SS"),'Inventory Hygiene'!$B$3:$B$254,0)),"NA"))</f>
        <v>0.02</v>
      </c>
      <c r="F104" s="64" t="n">
        <f aca="false">IFERROR(INDEX('Bad Bins'!$K$3:$K$253,MATCH($A104,'Bad Bins'!$B$3:$B$253,0)),IFERROR(INDEX('Bad Bins'!$K$3:$K$253,MATCH(SUBSTITUTE($A104," SS","  SS"),'Bad Bins'!$B$3:$B$253,0)),"NA"))</f>
        <v>69</v>
      </c>
      <c r="G104" s="64" t="n">
        <f aca="false">IFERROR(INDEX('RSTO &gt; 48hrs'!$H$2:$H$134,MATCH($A104,'RSTO &gt; 48hrs'!$B$2:$B$134,0)),IFERROR(INDEX('RSTO &gt; 48hrs'!$H$2:$H$134,MATCH(SUBSTITUTE($A104," SS","  SS"),'RSTO &gt; 48hrs'!$B$2:$B$134,0)),"NA"))</f>
        <v>131</v>
      </c>
      <c r="H104" s="64" t="n">
        <f aca="false">IFERROR(INDEX('Recirculation &gt; 24 hrs'!$K$3:$K$151,MATCH($A104,'Recirculation &gt; 24 hrs'!$B$3:$B$151,0)),IFERROR(INDEX('Recirculation &gt; 24 hrs'!$K$3:$K$151,MATCH(SUBSTITUTE($A104," SS","  SS"),'Recirculation &gt; 24 hrs'!$B$3:$B$151,0)),"NA"))</f>
        <v>4559</v>
      </c>
      <c r="I104" s="64" t="n">
        <f aca="false">IFERROR(INDEX('Pending Putaway'!$E$2:$E$1537,MATCH($A104,'Pending Putaway'!$B$2:$B$1537,0)),IFERROR(INDEX('Pending Putaway'!$E$2:$E$1537,MATCH(SUBSTITUTE($A104," SS","  SS"),'Pending Putaway'!$B$2:$B$1537,0)),"NA"))</f>
        <v>0</v>
      </c>
      <c r="J104" s="64" t="n">
        <f aca="false">IFERROR(INDEX('Pending Putaway'!$L$2:$L$1537,MATCH($A104,'Pending Putaway'!$B$2:$B$1537,0)),IFERROR(INDEX('Pending Putaway'!$L$2:$L$1537,MATCH(SUBSTITUTE($A104," SS","  SS"),'Pending Putaway'!$B$2:$B$1537,0)),"NA"))</f>
        <v>0</v>
      </c>
    </row>
    <row r="105" customFormat="false" ht="15" hidden="false" customHeight="false" outlineLevel="0" collapsed="false">
      <c r="A105" s="63" t="s">
        <v>27</v>
      </c>
      <c r="B105" s="63" t="str">
        <f aca="false">IFERROR(INDEX('CLM &amp; IM Mapping'!$B$2:$B$270,MATCH($A105,'CLM &amp; IM Mapping'!$A$2:$A$270,0)),"Not Mapped")</f>
        <v>Arun Raj</v>
      </c>
      <c r="C105" s="63" t="str">
        <f aca="false">IFERROR(INDEX('CLM &amp; IM Mapping'!$C$2:$C$270,MATCH($A105,'CLM &amp; IM Mapping'!$A$2:$A$270,0)),"Not Mapped")</f>
        <v>Simon Manoharan</v>
      </c>
      <c r="D105" s="64" t="n">
        <f aca="false">IFERROR(INDEX(Shrinkage!$P$2:$P$260,MATCH($A105,Shrinkage!$D$2:$D$260,0)),IFERROR(INDEX(Shrinkage!$P$2:$P$260,MATCH(SUBSTITUTE($A105," SS","  SS"),Shrinkage!$D$2:$D$260,0)),"NA"))</f>
        <v>135225</v>
      </c>
      <c r="E105" s="65" t="n">
        <f aca="false">IFERROR(INDEX('Inventory Hygiene'!$I$3:$I$254,MATCH($A105,'Inventory Hygiene'!$B$3:$B$254,0)),IFERROR(INDEX('Inventory Hygiene'!$I$3:$I$254,MATCH(SUBSTITUTE($A105," SS","  SS"),'Inventory Hygiene'!$B$3:$B$254,0)),"NA"))</f>
        <v>0.13</v>
      </c>
      <c r="F105" s="64" t="n">
        <f aca="false">IFERROR(INDEX('Bad Bins'!$K$3:$K$253,MATCH($A105,'Bad Bins'!$B$3:$B$253,0)),IFERROR(INDEX('Bad Bins'!$K$3:$K$253,MATCH(SUBSTITUTE($A105," SS","  SS"),'Bad Bins'!$B$3:$B$253,0)),"NA"))</f>
        <v>3</v>
      </c>
      <c r="G105" s="64" t="n">
        <f aca="false">IFERROR(INDEX('RSTO &gt; 48hrs'!$H$2:$H$134,MATCH($A105,'RSTO &gt; 48hrs'!$B$2:$B$134,0)),IFERROR(INDEX('RSTO &gt; 48hrs'!$H$2:$H$134,MATCH(SUBSTITUTE($A105," SS","  SS"),'RSTO &gt; 48hrs'!$B$2:$B$134,0)),"NA"))</f>
        <v>30</v>
      </c>
      <c r="H105" s="64" t="n">
        <f aca="false">IFERROR(INDEX('Recirculation &gt; 24 hrs'!$K$3:$K$151,MATCH($A105,'Recirculation &gt; 24 hrs'!$B$3:$B$151,0)),IFERROR(INDEX('Recirculation &gt; 24 hrs'!$K$3:$K$151,MATCH(SUBSTITUTE($A105," SS","  SS"),'Recirculation &gt; 24 hrs'!$B$3:$B$151,0)),"NA"))</f>
        <v>349</v>
      </c>
      <c r="I105" s="64" t="n">
        <f aca="false">IFERROR(INDEX('Pending Putaway'!$E$2:$E$1537,MATCH($A105,'Pending Putaway'!$B$2:$B$1537,0)),IFERROR(INDEX('Pending Putaway'!$E$2:$E$1537,MATCH(SUBSTITUTE($A105," SS","  SS"),'Pending Putaway'!$B$2:$B$1537,0)),"NA"))</f>
        <v>8084</v>
      </c>
      <c r="J105" s="64" t="n">
        <f aca="false">IFERROR(INDEX('Pending Putaway'!$L$2:$L$1537,MATCH($A105,'Pending Putaway'!$B$2:$B$1537,0)),IFERROR(INDEX('Pending Putaway'!$L$2:$L$1537,MATCH(SUBSTITUTE($A105," SS","  SS"),'Pending Putaway'!$B$2:$B$1537,0)),"NA"))</f>
        <v>5612</v>
      </c>
    </row>
    <row r="106" customFormat="false" ht="15" hidden="false" customHeight="false" outlineLevel="0" collapsed="false">
      <c r="A106" s="63" t="s">
        <v>193</v>
      </c>
      <c r="B106" s="63" t="str">
        <f aca="false">IFERROR(INDEX('CLM &amp; IM Mapping'!$B$2:$B$270,MATCH($A106,'CLM &amp; IM Mapping'!$A$2:$A$270,0)),"Not Mapped")</f>
        <v>Basil Scariya</v>
      </c>
      <c r="C106" s="63" t="str">
        <f aca="false">IFERROR(INDEX('CLM &amp; IM Mapping'!$C$2:$C$270,MATCH($A106,'CLM &amp; IM Mapping'!$A$2:$A$270,0)),"Not Mapped")</f>
        <v>Prakash BS</v>
      </c>
      <c r="D106" s="64" t="n">
        <f aca="false">IFERROR(INDEX(Shrinkage!$P$2:$P$260,MATCH($A106,Shrinkage!$D$2:$D$260,0)),IFERROR(INDEX(Shrinkage!$P$2:$P$260,MATCH(SUBSTITUTE($A106," SS","  SS"),Shrinkage!$D$2:$D$260,0)),"NA"))</f>
        <v>-16246</v>
      </c>
      <c r="E106" s="65" t="n">
        <f aca="false">IFERROR(INDEX('Inventory Hygiene'!$I$3:$I$254,MATCH($A106,'Inventory Hygiene'!$B$3:$B$254,0)),IFERROR(INDEX('Inventory Hygiene'!$I$3:$I$254,MATCH(SUBSTITUTE($A106," SS","  SS"),'Inventory Hygiene'!$B$3:$B$254,0)),"NA"))</f>
        <v>0.58</v>
      </c>
      <c r="F106" s="64" t="n">
        <f aca="false">IFERROR(INDEX('Bad Bins'!$K$3:$K$253,MATCH($A106,'Bad Bins'!$B$3:$B$253,0)),IFERROR(INDEX('Bad Bins'!$K$3:$K$253,MATCH(SUBSTITUTE($A106," SS","  SS"),'Bad Bins'!$B$3:$B$253,0)),"NA"))</f>
        <v>355</v>
      </c>
      <c r="G106" s="64" t="n">
        <f aca="false">IFERROR(INDEX('RSTO &gt; 48hrs'!$H$2:$H$134,MATCH($A106,'RSTO &gt; 48hrs'!$B$2:$B$134,0)),IFERROR(INDEX('RSTO &gt; 48hrs'!$H$2:$H$134,MATCH(SUBSTITUTE($A106," SS","  SS"),'RSTO &gt; 48hrs'!$B$2:$B$134,0)),"NA"))</f>
        <v>35</v>
      </c>
      <c r="H106" s="64" t="n">
        <f aca="false">IFERROR(INDEX('Recirculation &gt; 24 hrs'!$K$3:$K$151,MATCH($A106,'Recirculation &gt; 24 hrs'!$B$3:$B$151,0)),IFERROR(INDEX('Recirculation &gt; 24 hrs'!$K$3:$K$151,MATCH(SUBSTITUTE($A106," SS","  SS"),'Recirculation &gt; 24 hrs'!$B$3:$B$151,0)),"NA"))</f>
        <v>1599</v>
      </c>
      <c r="I106" s="64" t="n">
        <f aca="false">IFERROR(INDEX('Pending Putaway'!$E$2:$E$1537,MATCH($A106,'Pending Putaway'!$B$2:$B$1537,0)),IFERROR(INDEX('Pending Putaway'!$E$2:$E$1537,MATCH(SUBSTITUTE($A106," SS","  SS"),'Pending Putaway'!$B$2:$B$1537,0)),"NA"))</f>
        <v>265</v>
      </c>
      <c r="J106" s="64" t="n">
        <f aca="false">IFERROR(INDEX('Pending Putaway'!$L$2:$L$1537,MATCH($A106,'Pending Putaway'!$B$2:$B$1537,0)),IFERROR(INDEX('Pending Putaway'!$L$2:$L$1537,MATCH(SUBSTITUTE($A106," SS","  SS"),'Pending Putaway'!$B$2:$B$1537,0)),"NA"))</f>
        <v>265</v>
      </c>
    </row>
    <row r="107" customFormat="false" ht="15" hidden="false" customHeight="false" outlineLevel="0" collapsed="false">
      <c r="A107" s="63" t="s">
        <v>61</v>
      </c>
      <c r="B107" s="63" t="str">
        <f aca="false">IFERROR(INDEX('CLM &amp; IM Mapping'!$B$2:$B$270,MATCH($A107,'CLM &amp; IM Mapping'!$A$2:$A$270,0)),"Not Mapped")</f>
        <v>Basil Scariya</v>
      </c>
      <c r="C107" s="63" t="str">
        <f aca="false">IFERROR(INDEX('CLM &amp; IM Mapping'!$C$2:$C$270,MATCH($A107,'CLM &amp; IM Mapping'!$A$2:$A$270,0)),"Not Mapped")</f>
        <v>Prakash BS</v>
      </c>
      <c r="D107" s="64" t="n">
        <f aca="false">IFERROR(INDEX(Shrinkage!$P$2:$P$260,MATCH($A107,Shrinkage!$D$2:$D$260,0)),IFERROR(INDEX(Shrinkage!$P$2:$P$260,MATCH(SUBSTITUTE($A107," SS","  SS"),Shrinkage!$D$2:$D$260,0)),"NA"))</f>
        <v>-25796</v>
      </c>
      <c r="E107" s="65" t="n">
        <f aca="false">IFERROR(INDEX('Inventory Hygiene'!$I$3:$I$254,MATCH($A107,'Inventory Hygiene'!$B$3:$B$254,0)),IFERROR(INDEX('Inventory Hygiene'!$I$3:$I$254,MATCH(SUBSTITUTE($A107," SS","  SS"),'Inventory Hygiene'!$B$3:$B$254,0)),"NA"))</f>
        <v>0.49</v>
      </c>
      <c r="F107" s="64" t="n">
        <f aca="false">IFERROR(INDEX('Bad Bins'!$K$3:$K$253,MATCH($A107,'Bad Bins'!$B$3:$B$253,0)),IFERROR(INDEX('Bad Bins'!$K$3:$K$253,MATCH(SUBSTITUTE($A107," SS","  SS"),'Bad Bins'!$B$3:$B$253,0)),"NA"))</f>
        <v>57</v>
      </c>
      <c r="G107" s="64" t="n">
        <f aca="false">IFERROR(INDEX('RSTO &gt; 48hrs'!$H$2:$H$134,MATCH($A107,'RSTO &gt; 48hrs'!$B$2:$B$134,0)),IFERROR(INDEX('RSTO &gt; 48hrs'!$H$2:$H$134,MATCH(SUBSTITUTE($A107," SS","  SS"),'RSTO &gt; 48hrs'!$B$2:$B$134,0)),"NA"))</f>
        <v>69</v>
      </c>
      <c r="H107" s="64" t="str">
        <f aca="false">IFERROR(INDEX('Recirculation &gt; 24 hrs'!$K$3:$K$151,MATCH($A107,'Recirculation &gt; 24 hrs'!$B$3:$B$151,0)),IFERROR(INDEX('Recirculation &gt; 24 hrs'!$K$3:$K$151,MATCH(SUBSTITUTE($A107," SS","  SS"),'Recirculation &gt; 24 hrs'!$B$3:$B$151,0)),"NA"))</f>
        <v>NA</v>
      </c>
      <c r="I107" s="64" t="n">
        <f aca="false">IFERROR(INDEX('Pending Putaway'!$E$2:$E$1537,MATCH($A107,'Pending Putaway'!$B$2:$B$1537,0)),IFERROR(INDEX('Pending Putaway'!$E$2:$E$1537,MATCH(SUBSTITUTE($A107," SS","  SS"),'Pending Putaway'!$B$2:$B$1537,0)),"NA"))</f>
        <v>2464</v>
      </c>
      <c r="J107" s="64" t="n">
        <f aca="false">IFERROR(INDEX('Pending Putaway'!$L$2:$L$1537,MATCH($A107,'Pending Putaway'!$B$2:$B$1537,0)),IFERROR(INDEX('Pending Putaway'!$L$2:$L$1537,MATCH(SUBSTITUTE($A107," SS","  SS"),'Pending Putaway'!$B$2:$B$1537,0)),"NA"))</f>
        <v>2463</v>
      </c>
    </row>
    <row r="108" customFormat="false" ht="15" hidden="false" customHeight="false" outlineLevel="0" collapsed="false">
      <c r="A108" s="63" t="s">
        <v>299</v>
      </c>
      <c r="B108" s="63" t="str">
        <f aca="false">IFERROR(INDEX('CLM &amp; IM Mapping'!$B$2:$B$270,MATCH($A108,'CLM &amp; IM Mapping'!$A$2:$A$270,0)),"Not Mapped")</f>
        <v>Basil Scariya</v>
      </c>
      <c r="C108" s="63" t="str">
        <f aca="false">IFERROR(INDEX('CLM &amp; IM Mapping'!$C$2:$C$270,MATCH($A108,'CLM &amp; IM Mapping'!$A$2:$A$270,0)),"Not Mapped")</f>
        <v>Prakash BS</v>
      </c>
      <c r="D108" s="64" t="str">
        <f aca="false">IFERROR(INDEX(Shrinkage!$P$2:$P$260,MATCH($A108,Shrinkage!$D$2:$D$260,0)),IFERROR(INDEX(Shrinkage!$P$2:$P$260,MATCH(SUBSTITUTE($A108," SS","  SS"),Shrinkage!$D$2:$D$260,0)),"NA"))</f>
        <v>NA</v>
      </c>
      <c r="E108" s="65" t="n">
        <f aca="false">IFERROR(INDEX('Inventory Hygiene'!$I$3:$I$254,MATCH($A108,'Inventory Hygiene'!$B$3:$B$254,0)),IFERROR(INDEX('Inventory Hygiene'!$I$3:$I$254,MATCH(SUBSTITUTE($A108," SS","  SS"),'Inventory Hygiene'!$B$3:$B$254,0)),"NA"))</f>
        <v>0</v>
      </c>
      <c r="F108" s="64" t="n">
        <f aca="false">IFERROR(INDEX('Bad Bins'!$K$3:$K$253,MATCH($A108,'Bad Bins'!$B$3:$B$253,0)),IFERROR(INDEX('Bad Bins'!$K$3:$K$253,MATCH(SUBSTITUTE($A108," SS","  SS"),'Bad Bins'!$B$3:$B$253,0)),"NA"))</f>
        <v>0</v>
      </c>
      <c r="G108" s="64" t="n">
        <f aca="false">IFERROR(INDEX('RSTO &gt; 48hrs'!$H$2:$H$134,MATCH($A108,'RSTO &gt; 48hrs'!$B$2:$B$134,0)),IFERROR(INDEX('RSTO &gt; 48hrs'!$H$2:$H$134,MATCH(SUBSTITUTE($A108," SS","  SS"),'RSTO &gt; 48hrs'!$B$2:$B$134,0)),"NA"))</f>
        <v>44</v>
      </c>
      <c r="H108" s="64" t="str">
        <f aca="false">IFERROR(INDEX('Recirculation &gt; 24 hrs'!$K$3:$K$151,MATCH($A108,'Recirculation &gt; 24 hrs'!$B$3:$B$151,0)),IFERROR(INDEX('Recirculation &gt; 24 hrs'!$K$3:$K$151,MATCH(SUBSTITUTE($A108," SS","  SS"),'Recirculation &gt; 24 hrs'!$B$3:$B$151,0)),"NA"))</f>
        <v>NA</v>
      </c>
      <c r="I108" s="64" t="n">
        <f aca="false">IFERROR(INDEX('Pending Putaway'!$E$2:$E$1537,MATCH($A108,'Pending Putaway'!$B$2:$B$1537,0)),IFERROR(INDEX('Pending Putaway'!$E$2:$E$1537,MATCH(SUBSTITUTE($A108," SS","  SS"),'Pending Putaway'!$B$2:$B$1537,0)),"NA"))</f>
        <v>0</v>
      </c>
      <c r="J108" s="64" t="n">
        <f aca="false">IFERROR(INDEX('Pending Putaway'!$L$2:$L$1537,MATCH($A108,'Pending Putaway'!$B$2:$B$1537,0)),IFERROR(INDEX('Pending Putaway'!$L$2:$L$1537,MATCH(SUBSTITUTE($A108," SS","  SS"),'Pending Putaway'!$B$2:$B$1537,0)),"NA"))</f>
        <v>0</v>
      </c>
    </row>
    <row r="109" customFormat="false" ht="15" hidden="false" customHeight="false" outlineLevel="0" collapsed="false">
      <c r="A109" s="63" t="s">
        <v>146</v>
      </c>
      <c r="B109" s="63" t="str">
        <f aca="false">IFERROR(INDEX('CLM &amp; IM Mapping'!$B$2:$B$270,MATCH($A109,'CLM &amp; IM Mapping'!$A$2:$A$270,0)),"Not Mapped")</f>
        <v>Basil Scariya</v>
      </c>
      <c r="C109" s="63" t="str">
        <f aca="false">IFERROR(INDEX('CLM &amp; IM Mapping'!$C$2:$C$270,MATCH($A109,'CLM &amp; IM Mapping'!$A$2:$A$270,0)),"Not Mapped")</f>
        <v>Prakash BS</v>
      </c>
      <c r="D109" s="64" t="n">
        <f aca="false">IFERROR(INDEX(Shrinkage!$P$2:$P$260,MATCH($A109,Shrinkage!$D$2:$D$260,0)),IFERROR(INDEX(Shrinkage!$P$2:$P$260,MATCH(SUBSTITUTE($A109," SS","  SS"),Shrinkage!$D$2:$D$260,0)),"NA"))</f>
        <v>52152</v>
      </c>
      <c r="E109" s="65" t="n">
        <f aca="false">IFERROR(INDEX('Inventory Hygiene'!$I$3:$I$254,MATCH($A109,'Inventory Hygiene'!$B$3:$B$254,0)),IFERROR(INDEX('Inventory Hygiene'!$I$3:$I$254,MATCH(SUBSTITUTE($A109," SS","  SS"),'Inventory Hygiene'!$B$3:$B$254,0)),"NA"))</f>
        <v>0.55</v>
      </c>
      <c r="F109" s="64" t="n">
        <f aca="false">IFERROR(INDEX('Bad Bins'!$K$3:$K$253,MATCH($A109,'Bad Bins'!$B$3:$B$253,0)),IFERROR(INDEX('Bad Bins'!$K$3:$K$253,MATCH(SUBSTITUTE($A109," SS","  SS"),'Bad Bins'!$B$3:$B$253,0)),"NA"))</f>
        <v>47</v>
      </c>
      <c r="G109" s="64" t="n">
        <f aca="false">IFERROR(INDEX('RSTO &gt; 48hrs'!$H$2:$H$134,MATCH($A109,'RSTO &gt; 48hrs'!$B$2:$B$134,0)),IFERROR(INDEX('RSTO &gt; 48hrs'!$H$2:$H$134,MATCH(SUBSTITUTE($A109," SS","  SS"),'RSTO &gt; 48hrs'!$B$2:$B$134,0)),"NA"))</f>
        <v>17</v>
      </c>
      <c r="H109" s="64" t="n">
        <f aca="false">IFERROR(INDEX('Recirculation &gt; 24 hrs'!$K$3:$K$151,MATCH($A109,'Recirculation &gt; 24 hrs'!$B$3:$B$151,0)),IFERROR(INDEX('Recirculation &gt; 24 hrs'!$K$3:$K$151,MATCH(SUBSTITUTE($A109," SS","  SS"),'Recirculation &gt; 24 hrs'!$B$3:$B$151,0)),"NA"))</f>
        <v>3</v>
      </c>
      <c r="I109" s="64" t="n">
        <f aca="false">IFERROR(INDEX('Pending Putaway'!$E$2:$E$1537,MATCH($A109,'Pending Putaway'!$B$2:$B$1537,0)),IFERROR(INDEX('Pending Putaway'!$E$2:$E$1537,MATCH(SUBSTITUTE($A109," SS","  SS"),'Pending Putaway'!$B$2:$B$1537,0)),"NA"))</f>
        <v>3644</v>
      </c>
      <c r="J109" s="64" t="n">
        <f aca="false">IFERROR(INDEX('Pending Putaway'!$L$2:$L$1537,MATCH($A109,'Pending Putaway'!$B$2:$B$1537,0)),IFERROR(INDEX('Pending Putaway'!$L$2:$L$1537,MATCH(SUBSTITUTE($A109," SS","  SS"),'Pending Putaway'!$B$2:$B$1537,0)),"NA"))</f>
        <v>0</v>
      </c>
    </row>
    <row r="110" customFormat="false" ht="15" hidden="false" customHeight="false" outlineLevel="0" collapsed="false">
      <c r="A110" s="63" t="s">
        <v>264</v>
      </c>
      <c r="B110" s="63" t="str">
        <f aca="false">IFERROR(INDEX('CLM &amp; IM Mapping'!$B$2:$B$270,MATCH($A110,'CLM &amp; IM Mapping'!$A$2:$A$270,0)),"Not Mapped")</f>
        <v>Basil Scariya</v>
      </c>
      <c r="C110" s="63" t="str">
        <f aca="false">IFERROR(INDEX('CLM &amp; IM Mapping'!$C$2:$C$270,MATCH($A110,'CLM &amp; IM Mapping'!$A$2:$A$270,0)),"Not Mapped")</f>
        <v>Prakash BS</v>
      </c>
      <c r="D110" s="64" t="n">
        <f aca="false">IFERROR(INDEX(Shrinkage!$P$2:$P$260,MATCH($A110,Shrinkage!$D$2:$D$260,0)),IFERROR(INDEX(Shrinkage!$P$2:$P$260,MATCH(SUBSTITUTE($A110," SS","  SS"),Shrinkage!$D$2:$D$260,0)),"NA"))</f>
        <v>2681</v>
      </c>
      <c r="E110" s="65" t="n">
        <f aca="false">IFERROR(INDEX('Inventory Hygiene'!$I$3:$I$254,MATCH($A110,'Inventory Hygiene'!$B$3:$B$254,0)),IFERROR(INDEX('Inventory Hygiene'!$I$3:$I$254,MATCH(SUBSTITUTE($A110," SS","  SS"),'Inventory Hygiene'!$B$3:$B$254,0)),"NA"))</f>
        <v>0.86</v>
      </c>
      <c r="F110" s="64" t="n">
        <f aca="false">IFERROR(INDEX('Bad Bins'!$K$3:$K$253,MATCH($A110,'Bad Bins'!$B$3:$B$253,0)),IFERROR(INDEX('Bad Bins'!$K$3:$K$253,MATCH(SUBSTITUTE($A110," SS","  SS"),'Bad Bins'!$B$3:$B$253,0)),"NA"))</f>
        <v>3</v>
      </c>
      <c r="G110" s="64" t="n">
        <f aca="false">IFERROR(INDEX('RSTO &gt; 48hrs'!$H$2:$H$134,MATCH($A110,'RSTO &gt; 48hrs'!$B$2:$B$134,0)),IFERROR(INDEX('RSTO &gt; 48hrs'!$H$2:$H$134,MATCH(SUBSTITUTE($A110," SS","  SS"),'RSTO &gt; 48hrs'!$B$2:$B$134,0)),"NA"))</f>
        <v>9</v>
      </c>
      <c r="H110" s="64" t="str">
        <f aca="false">IFERROR(INDEX('Recirculation &gt; 24 hrs'!$K$3:$K$151,MATCH($A110,'Recirculation &gt; 24 hrs'!$B$3:$B$151,0)),IFERROR(INDEX('Recirculation &gt; 24 hrs'!$K$3:$K$151,MATCH(SUBSTITUTE($A110," SS","  SS"),'Recirculation &gt; 24 hrs'!$B$3:$B$151,0)),"NA"))</f>
        <v>NA</v>
      </c>
      <c r="I110" s="64" t="n">
        <f aca="false">IFERROR(INDEX('Pending Putaway'!$E$2:$E$1537,MATCH($A110,'Pending Putaway'!$B$2:$B$1537,0)),IFERROR(INDEX('Pending Putaway'!$E$2:$E$1537,MATCH(SUBSTITUTE($A110," SS","  SS"),'Pending Putaway'!$B$2:$B$1537,0)),"NA"))</f>
        <v>0</v>
      </c>
      <c r="J110" s="64" t="n">
        <f aca="false">IFERROR(INDEX('Pending Putaway'!$L$2:$L$1537,MATCH($A110,'Pending Putaway'!$B$2:$B$1537,0)),IFERROR(INDEX('Pending Putaway'!$L$2:$L$1537,MATCH(SUBSTITUTE($A110," SS","  SS"),'Pending Putaway'!$B$2:$B$1537,0)),"NA"))</f>
        <v>0</v>
      </c>
    </row>
    <row r="111" customFormat="false" ht="15" hidden="false" customHeight="false" outlineLevel="0" collapsed="false">
      <c r="A111" s="63" t="s">
        <v>60</v>
      </c>
      <c r="B111" s="63" t="str">
        <f aca="false">IFERROR(INDEX('CLM &amp; IM Mapping'!$B$2:$B$270,MATCH($A111,'CLM &amp; IM Mapping'!$A$2:$A$270,0)),"Not Mapped")</f>
        <v>Basil Scariya</v>
      </c>
      <c r="C111" s="63" t="str">
        <f aca="false">IFERROR(INDEX('CLM &amp; IM Mapping'!$C$2:$C$270,MATCH($A111,'CLM &amp; IM Mapping'!$A$2:$A$270,0)),"Not Mapped")</f>
        <v>Prakash BS</v>
      </c>
      <c r="D111" s="64" t="n">
        <f aca="false">IFERROR(INDEX(Shrinkage!$P$2:$P$260,MATCH($A111,Shrinkage!$D$2:$D$260,0)),IFERROR(INDEX(Shrinkage!$P$2:$P$260,MATCH(SUBSTITUTE($A111," SS","  SS"),Shrinkage!$D$2:$D$260,0)),"NA"))</f>
        <v>11074</v>
      </c>
      <c r="E111" s="65" t="n">
        <f aca="false">IFERROR(INDEX('Inventory Hygiene'!$I$3:$I$254,MATCH($A111,'Inventory Hygiene'!$B$3:$B$254,0)),IFERROR(INDEX('Inventory Hygiene'!$I$3:$I$254,MATCH(SUBSTITUTE($A111," SS","  SS"),'Inventory Hygiene'!$B$3:$B$254,0)),"NA"))</f>
        <v>0.52</v>
      </c>
      <c r="F111" s="64" t="n">
        <f aca="false">IFERROR(INDEX('Bad Bins'!$K$3:$K$253,MATCH($A111,'Bad Bins'!$B$3:$B$253,0)),IFERROR(INDEX('Bad Bins'!$K$3:$K$253,MATCH(SUBSTITUTE($A111," SS","  SS"),'Bad Bins'!$B$3:$B$253,0)),"NA"))</f>
        <v>387</v>
      </c>
      <c r="G111" s="64" t="n">
        <f aca="false">IFERROR(INDEX('RSTO &gt; 48hrs'!$H$2:$H$134,MATCH($A111,'RSTO &gt; 48hrs'!$B$2:$B$134,0)),IFERROR(INDEX('RSTO &gt; 48hrs'!$H$2:$H$134,MATCH(SUBSTITUTE($A111," SS","  SS"),'RSTO &gt; 48hrs'!$B$2:$B$134,0)),"NA"))</f>
        <v>417</v>
      </c>
      <c r="H111" s="64" t="n">
        <f aca="false">IFERROR(INDEX('Recirculation &gt; 24 hrs'!$K$3:$K$151,MATCH($A111,'Recirculation &gt; 24 hrs'!$B$3:$B$151,0)),IFERROR(INDEX('Recirculation &gt; 24 hrs'!$K$3:$K$151,MATCH(SUBSTITUTE($A111," SS","  SS"),'Recirculation &gt; 24 hrs'!$B$3:$B$151,0)),"NA"))</f>
        <v>6</v>
      </c>
      <c r="I111" s="64" t="n">
        <f aca="false">IFERROR(INDEX('Pending Putaway'!$E$2:$E$1537,MATCH($A111,'Pending Putaway'!$B$2:$B$1537,0)),IFERROR(INDEX('Pending Putaway'!$E$2:$E$1537,MATCH(SUBSTITUTE($A111," SS","  SS"),'Pending Putaway'!$B$2:$B$1537,0)),"NA"))</f>
        <v>3326</v>
      </c>
      <c r="J111" s="64" t="n">
        <f aca="false">IFERROR(INDEX('Pending Putaway'!$L$2:$L$1537,MATCH($A111,'Pending Putaway'!$B$2:$B$1537,0)),IFERROR(INDEX('Pending Putaway'!$L$2:$L$1537,MATCH(SUBSTITUTE($A111," SS","  SS"),'Pending Putaway'!$B$2:$B$1537,0)),"NA"))</f>
        <v>3212</v>
      </c>
    </row>
    <row r="112" customFormat="false" ht="15" hidden="false" customHeight="false" outlineLevel="0" collapsed="false">
      <c r="A112" s="63" t="s">
        <v>245</v>
      </c>
      <c r="B112" s="63" t="str">
        <f aca="false">IFERROR(INDEX('CLM &amp; IM Mapping'!$B$2:$B$270,MATCH($A112,'CLM &amp; IM Mapping'!$A$2:$A$270,0)),"Not Mapped")</f>
        <v>Rizwan Ahmed</v>
      </c>
      <c r="C112" s="63" t="str">
        <f aca="false">IFERROR(INDEX('CLM &amp; IM Mapping'!$C$2:$C$270,MATCH($A112,'CLM &amp; IM Mapping'!$A$2:$A$270,0)),"Not Mapped")</f>
        <v>Prakash BS</v>
      </c>
      <c r="D112" s="64" t="n">
        <f aca="false">IFERROR(INDEX(Shrinkage!$P$2:$P$260,MATCH($A112,Shrinkage!$D$2:$D$260,0)),IFERROR(INDEX(Shrinkage!$P$2:$P$260,MATCH(SUBSTITUTE($A112," SS","  SS"),Shrinkage!$D$2:$D$260,0)),"NA"))</f>
        <v>8883</v>
      </c>
      <c r="E112" s="65" t="n">
        <f aca="false">IFERROR(INDEX('Inventory Hygiene'!$I$3:$I$254,MATCH($A112,'Inventory Hygiene'!$B$3:$B$254,0)),IFERROR(INDEX('Inventory Hygiene'!$I$3:$I$254,MATCH(SUBSTITUTE($A112," SS","  SS"),'Inventory Hygiene'!$B$3:$B$254,0)),"NA"))</f>
        <v>0.61</v>
      </c>
      <c r="F112" s="64" t="n">
        <f aca="false">IFERROR(INDEX('Bad Bins'!$K$3:$K$253,MATCH($A112,'Bad Bins'!$B$3:$B$253,0)),IFERROR(INDEX('Bad Bins'!$K$3:$K$253,MATCH(SUBSTITUTE($A112," SS","  SS"),'Bad Bins'!$B$3:$B$253,0)),"NA"))</f>
        <v>350</v>
      </c>
      <c r="G112" s="64" t="n">
        <f aca="false">IFERROR(INDEX('RSTO &gt; 48hrs'!$H$2:$H$134,MATCH($A112,'RSTO &gt; 48hrs'!$B$2:$B$134,0)),IFERROR(INDEX('RSTO &gt; 48hrs'!$H$2:$H$134,MATCH(SUBSTITUTE($A112," SS","  SS"),'RSTO &gt; 48hrs'!$B$2:$B$134,0)),"NA"))</f>
        <v>445</v>
      </c>
      <c r="H112" s="64" t="n">
        <f aca="false">IFERROR(INDEX('Recirculation &gt; 24 hrs'!$K$3:$K$151,MATCH($A112,'Recirculation &gt; 24 hrs'!$B$3:$B$151,0)),IFERROR(INDEX('Recirculation &gt; 24 hrs'!$K$3:$K$151,MATCH(SUBSTITUTE($A112," SS","  SS"),'Recirculation &gt; 24 hrs'!$B$3:$B$151,0)),"NA"))</f>
        <v>337</v>
      </c>
      <c r="I112" s="64" t="n">
        <f aca="false">IFERROR(INDEX('Pending Putaway'!$E$2:$E$1537,MATCH($A112,'Pending Putaway'!$B$2:$B$1537,0)),IFERROR(INDEX('Pending Putaway'!$E$2:$E$1537,MATCH(SUBSTITUTE($A112," SS","  SS"),'Pending Putaway'!$B$2:$B$1537,0)),"NA"))</f>
        <v>3771</v>
      </c>
      <c r="J112" s="64" t="n">
        <f aca="false">IFERROR(INDEX('Pending Putaway'!$L$2:$L$1537,MATCH($A112,'Pending Putaway'!$B$2:$B$1537,0)),IFERROR(INDEX('Pending Putaway'!$L$2:$L$1537,MATCH(SUBSTITUTE($A112," SS","  SS"),'Pending Putaway'!$B$2:$B$1537,0)),"NA"))</f>
        <v>225</v>
      </c>
    </row>
    <row r="113" customFormat="false" ht="15" hidden="false" customHeight="false" outlineLevel="0" collapsed="false">
      <c r="A113" s="63" t="s">
        <v>176</v>
      </c>
      <c r="B113" s="63" t="str">
        <f aca="false">IFERROR(INDEX('CLM &amp; IM Mapping'!$B$2:$B$270,MATCH($A113,'CLM &amp; IM Mapping'!$A$2:$A$270,0)),"Not Mapped")</f>
        <v>Raghavendra Vernekar</v>
      </c>
      <c r="C113" s="63" t="str">
        <f aca="false">IFERROR(INDEX('CLM &amp; IM Mapping'!$C$2:$C$270,MATCH($A113,'CLM &amp; IM Mapping'!$A$2:$A$270,0)),"Not Mapped")</f>
        <v>Prakash BS</v>
      </c>
      <c r="D113" s="64" t="n">
        <f aca="false">IFERROR(INDEX(Shrinkage!$P$2:$P$260,MATCH($A113,Shrinkage!$D$2:$D$260,0)),IFERROR(INDEX(Shrinkage!$P$2:$P$260,MATCH(SUBSTITUTE($A113," SS","  SS"),Shrinkage!$D$2:$D$260,0)),"NA"))</f>
        <v>10056</v>
      </c>
      <c r="E113" s="65" t="n">
        <f aca="false">IFERROR(INDEX('Inventory Hygiene'!$I$3:$I$254,MATCH($A113,'Inventory Hygiene'!$B$3:$B$254,0)),IFERROR(INDEX('Inventory Hygiene'!$I$3:$I$254,MATCH(SUBSTITUTE($A113," SS","  SS"),'Inventory Hygiene'!$B$3:$B$254,0)),"NA"))</f>
        <v>0.72</v>
      </c>
      <c r="F113" s="64" t="n">
        <f aca="false">IFERROR(INDEX('Bad Bins'!$K$3:$K$253,MATCH($A113,'Bad Bins'!$B$3:$B$253,0)),IFERROR(INDEX('Bad Bins'!$K$3:$K$253,MATCH(SUBSTITUTE($A113," SS","  SS"),'Bad Bins'!$B$3:$B$253,0)),"NA"))</f>
        <v>448</v>
      </c>
      <c r="G113" s="64" t="n">
        <f aca="false">IFERROR(INDEX('RSTO &gt; 48hrs'!$H$2:$H$134,MATCH($A113,'RSTO &gt; 48hrs'!$B$2:$B$134,0)),IFERROR(INDEX('RSTO &gt; 48hrs'!$H$2:$H$134,MATCH(SUBSTITUTE($A113," SS","  SS"),'RSTO &gt; 48hrs'!$B$2:$B$134,0)),"NA"))</f>
        <v>15</v>
      </c>
      <c r="H113" s="64" t="n">
        <f aca="false">IFERROR(INDEX('Recirculation &gt; 24 hrs'!$K$3:$K$151,MATCH($A113,'Recirculation &gt; 24 hrs'!$B$3:$B$151,0)),IFERROR(INDEX('Recirculation &gt; 24 hrs'!$K$3:$K$151,MATCH(SUBSTITUTE($A113," SS","  SS"),'Recirculation &gt; 24 hrs'!$B$3:$B$151,0)),"NA"))</f>
        <v>1452</v>
      </c>
      <c r="I113" s="64" t="n">
        <f aca="false">IFERROR(INDEX('Pending Putaway'!$E$2:$E$1537,MATCH($A113,'Pending Putaway'!$B$2:$B$1537,0)),IFERROR(INDEX('Pending Putaway'!$E$2:$E$1537,MATCH(SUBSTITUTE($A113," SS","  SS"),'Pending Putaway'!$B$2:$B$1537,0)),"NA"))</f>
        <v>1352</v>
      </c>
      <c r="J113" s="64" t="n">
        <f aca="false">IFERROR(INDEX('Pending Putaway'!$L$2:$L$1537,MATCH($A113,'Pending Putaway'!$B$2:$B$1537,0)),IFERROR(INDEX('Pending Putaway'!$L$2:$L$1537,MATCH(SUBSTITUTE($A113," SS","  SS"),'Pending Putaway'!$B$2:$B$1537,0)),"NA"))</f>
        <v>0</v>
      </c>
    </row>
    <row r="114" customFormat="false" ht="15" hidden="false" customHeight="false" outlineLevel="0" collapsed="false">
      <c r="A114" s="63" t="s">
        <v>320</v>
      </c>
      <c r="B114" s="63" t="str">
        <f aca="false">IFERROR(INDEX('CLM &amp; IM Mapping'!$B$2:$B$270,MATCH($A114,'CLM &amp; IM Mapping'!$A$2:$A$270,0)),"Not Mapped")</f>
        <v>Raghavendra Vernekar</v>
      </c>
      <c r="C114" s="63" t="str">
        <f aca="false">IFERROR(INDEX('CLM &amp; IM Mapping'!$C$2:$C$270,MATCH($A114,'CLM &amp; IM Mapping'!$A$2:$A$270,0)),"Not Mapped")</f>
        <v>Prakash BS</v>
      </c>
      <c r="D114" s="64" t="n">
        <f aca="false">IFERROR(INDEX(Shrinkage!$P$2:$P$260,MATCH($A114,Shrinkage!$D$2:$D$260,0)),IFERROR(INDEX(Shrinkage!$P$2:$P$260,MATCH(SUBSTITUTE($A114," SS","  SS"),Shrinkage!$D$2:$D$260,0)),"NA"))</f>
        <v>39369</v>
      </c>
      <c r="E114" s="65" t="n">
        <f aca="false">IFERROR(INDEX('Inventory Hygiene'!$I$3:$I$254,MATCH($A114,'Inventory Hygiene'!$B$3:$B$254,0)),IFERROR(INDEX('Inventory Hygiene'!$I$3:$I$254,MATCH(SUBSTITUTE($A114," SS","  SS"),'Inventory Hygiene'!$B$3:$B$254,0)),"NA"))</f>
        <v>0.25</v>
      </c>
      <c r="F114" s="64" t="n">
        <f aca="false">IFERROR(INDEX('Bad Bins'!$K$3:$K$253,MATCH($A114,'Bad Bins'!$B$3:$B$253,0)),IFERROR(INDEX('Bad Bins'!$K$3:$K$253,MATCH(SUBSTITUTE($A114," SS","  SS"),'Bad Bins'!$B$3:$B$253,0)),"NA"))</f>
        <v>282</v>
      </c>
      <c r="G114" s="64" t="str">
        <f aca="false">IFERROR(INDEX('RSTO &gt; 48hrs'!$H$2:$H$134,MATCH($A114,'RSTO &gt; 48hrs'!$B$2:$B$134,0)),IFERROR(INDEX('RSTO &gt; 48hrs'!$H$2:$H$134,MATCH(SUBSTITUTE($A114," SS","  SS"),'RSTO &gt; 48hrs'!$B$2:$B$134,0)),"NA"))</f>
        <v>NA</v>
      </c>
      <c r="H114" s="64" t="str">
        <f aca="false">IFERROR(INDEX('Recirculation &gt; 24 hrs'!$K$3:$K$151,MATCH($A114,'Recirculation &gt; 24 hrs'!$B$3:$B$151,0)),IFERROR(INDEX('Recirculation &gt; 24 hrs'!$K$3:$K$151,MATCH(SUBSTITUTE($A114," SS","  SS"),'Recirculation &gt; 24 hrs'!$B$3:$B$151,0)),"NA"))</f>
        <v>NA</v>
      </c>
      <c r="I114" s="64" t="n">
        <f aca="false">IFERROR(INDEX('Pending Putaway'!$E$2:$E$1537,MATCH($A114,'Pending Putaway'!$B$2:$B$1537,0)),IFERROR(INDEX('Pending Putaway'!$E$2:$E$1537,MATCH(SUBSTITUTE($A114," SS","  SS"),'Pending Putaway'!$B$2:$B$1537,0)),"NA"))</f>
        <v>3712</v>
      </c>
      <c r="J114" s="64" t="n">
        <f aca="false">IFERROR(INDEX('Pending Putaway'!$L$2:$L$1537,MATCH($A114,'Pending Putaway'!$B$2:$B$1537,0)),IFERROR(INDEX('Pending Putaway'!$L$2:$L$1537,MATCH(SUBSTITUTE($A114," SS","  SS"),'Pending Putaway'!$B$2:$B$1537,0)),"NA"))</f>
        <v>12</v>
      </c>
    </row>
    <row r="115" customFormat="false" ht="15" hidden="false" customHeight="false" outlineLevel="0" collapsed="false">
      <c r="A115" s="63" t="s">
        <v>161</v>
      </c>
      <c r="B115" s="63" t="str">
        <f aca="false">IFERROR(INDEX('CLM &amp; IM Mapping'!$B$2:$B$270,MATCH($A115,'CLM &amp; IM Mapping'!$A$2:$A$270,0)),"Not Mapped")</f>
        <v>Raghavendra Vernekar</v>
      </c>
      <c r="C115" s="63" t="str">
        <f aca="false">IFERROR(INDEX('CLM &amp; IM Mapping'!$C$2:$C$270,MATCH($A115,'CLM &amp; IM Mapping'!$A$2:$A$270,0)),"Not Mapped")</f>
        <v>Prakash BS</v>
      </c>
      <c r="D115" s="64" t="n">
        <f aca="false">IFERROR(INDEX(Shrinkage!$P$2:$P$260,MATCH($A115,Shrinkage!$D$2:$D$260,0)),IFERROR(INDEX(Shrinkage!$P$2:$P$260,MATCH(SUBSTITUTE($A115," SS","  SS"),Shrinkage!$D$2:$D$260,0)),"NA"))</f>
        <v>711</v>
      </c>
      <c r="E115" s="65" t="n">
        <f aca="false">IFERROR(INDEX('Inventory Hygiene'!$I$3:$I$254,MATCH($A115,'Inventory Hygiene'!$B$3:$B$254,0)),IFERROR(INDEX('Inventory Hygiene'!$I$3:$I$254,MATCH(SUBSTITUTE($A115," SS","  SS"),'Inventory Hygiene'!$B$3:$B$254,0)),"NA"))</f>
        <v>0.55</v>
      </c>
      <c r="F115" s="64" t="n">
        <f aca="false">IFERROR(INDEX('Bad Bins'!$K$3:$K$253,MATCH($A115,'Bad Bins'!$B$3:$B$253,0)),IFERROR(INDEX('Bad Bins'!$K$3:$K$253,MATCH(SUBSTITUTE($A115," SS","  SS"),'Bad Bins'!$B$3:$B$253,0)),"NA"))</f>
        <v>11</v>
      </c>
      <c r="G115" s="64" t="str">
        <f aca="false">IFERROR(INDEX('RSTO &gt; 48hrs'!$H$2:$H$134,MATCH($A115,'RSTO &gt; 48hrs'!$B$2:$B$134,0)),IFERROR(INDEX('RSTO &gt; 48hrs'!$H$2:$H$134,MATCH(SUBSTITUTE($A115," SS","  SS"),'RSTO &gt; 48hrs'!$B$2:$B$134,0)),"NA"))</f>
        <v>NA</v>
      </c>
      <c r="H115" s="64" t="str">
        <f aca="false">IFERROR(INDEX('Recirculation &gt; 24 hrs'!$K$3:$K$151,MATCH($A115,'Recirculation &gt; 24 hrs'!$B$3:$B$151,0)),IFERROR(INDEX('Recirculation &gt; 24 hrs'!$K$3:$K$151,MATCH(SUBSTITUTE($A115," SS","  SS"),'Recirculation &gt; 24 hrs'!$B$3:$B$151,0)),"NA"))</f>
        <v>NA</v>
      </c>
      <c r="I115" s="64" t="n">
        <f aca="false">IFERROR(INDEX('Pending Putaway'!$E$2:$E$1537,MATCH($A115,'Pending Putaway'!$B$2:$B$1537,0)),IFERROR(INDEX('Pending Putaway'!$E$2:$E$1537,MATCH(SUBSTITUTE($A115," SS","  SS"),'Pending Putaway'!$B$2:$B$1537,0)),"NA"))</f>
        <v>545</v>
      </c>
      <c r="J115" s="64" t="n">
        <f aca="false">IFERROR(INDEX('Pending Putaway'!$L$2:$L$1537,MATCH($A115,'Pending Putaway'!$B$2:$B$1537,0)),IFERROR(INDEX('Pending Putaway'!$L$2:$L$1537,MATCH(SUBSTITUTE($A115," SS","  SS"),'Pending Putaway'!$B$2:$B$1537,0)),"NA"))</f>
        <v>0</v>
      </c>
    </row>
    <row r="116" customFormat="false" ht="15" hidden="false" customHeight="false" outlineLevel="0" collapsed="false">
      <c r="A116" s="63" t="s">
        <v>262</v>
      </c>
      <c r="B116" s="63" t="str">
        <f aca="false">IFERROR(INDEX('CLM &amp; IM Mapping'!$B$2:$B$270,MATCH($A116,'CLM &amp; IM Mapping'!$A$2:$A$270,0)),"Not Mapped")</f>
        <v>Raghavendra Vernekar</v>
      </c>
      <c r="C116" s="63" t="str">
        <f aca="false">IFERROR(INDEX('CLM &amp; IM Mapping'!$C$2:$C$270,MATCH($A116,'CLM &amp; IM Mapping'!$A$2:$A$270,0)),"Not Mapped")</f>
        <v>Prakash BS</v>
      </c>
      <c r="D116" s="64" t="n">
        <f aca="false">IFERROR(INDEX(Shrinkage!$P$2:$P$260,MATCH($A116,Shrinkage!$D$2:$D$260,0)),IFERROR(INDEX(Shrinkage!$P$2:$P$260,MATCH(SUBSTITUTE($A116," SS","  SS"),Shrinkage!$D$2:$D$260,0)),"NA"))</f>
        <v>42952</v>
      </c>
      <c r="E116" s="65" t="n">
        <f aca="false">IFERROR(INDEX('Inventory Hygiene'!$I$3:$I$254,MATCH($A116,'Inventory Hygiene'!$B$3:$B$254,0)),IFERROR(INDEX('Inventory Hygiene'!$I$3:$I$254,MATCH(SUBSTITUTE($A116," SS","  SS"),'Inventory Hygiene'!$B$3:$B$254,0)),"NA"))</f>
        <v>0.56</v>
      </c>
      <c r="F116" s="64" t="n">
        <f aca="false">IFERROR(INDEX('Bad Bins'!$K$3:$K$253,MATCH($A116,'Bad Bins'!$B$3:$B$253,0)),IFERROR(INDEX('Bad Bins'!$K$3:$K$253,MATCH(SUBSTITUTE($A116," SS","  SS"),'Bad Bins'!$B$3:$B$253,0)),"NA"))</f>
        <v>142</v>
      </c>
      <c r="G116" s="64" t="n">
        <f aca="false">IFERROR(INDEX('RSTO &gt; 48hrs'!$H$2:$H$134,MATCH($A116,'RSTO &gt; 48hrs'!$B$2:$B$134,0)),IFERROR(INDEX('RSTO &gt; 48hrs'!$H$2:$H$134,MATCH(SUBSTITUTE($A116," SS","  SS"),'RSTO &gt; 48hrs'!$B$2:$B$134,0)),"NA"))</f>
        <v>147</v>
      </c>
      <c r="H116" s="64" t="n">
        <f aca="false">IFERROR(INDEX('Recirculation &gt; 24 hrs'!$K$3:$K$151,MATCH($A116,'Recirculation &gt; 24 hrs'!$B$3:$B$151,0)),IFERROR(INDEX('Recirculation &gt; 24 hrs'!$K$3:$K$151,MATCH(SUBSTITUTE($A116," SS","  SS"),'Recirculation &gt; 24 hrs'!$B$3:$B$151,0)),"NA"))</f>
        <v>24</v>
      </c>
      <c r="I116" s="64" t="n">
        <f aca="false">IFERROR(INDEX('Pending Putaway'!$E$2:$E$1537,MATCH($A116,'Pending Putaway'!$B$2:$B$1537,0)),IFERROR(INDEX('Pending Putaway'!$E$2:$E$1537,MATCH(SUBSTITUTE($A116," SS","  SS"),'Pending Putaway'!$B$2:$B$1537,0)),"NA"))</f>
        <v>5089</v>
      </c>
      <c r="J116" s="64" t="n">
        <f aca="false">IFERROR(INDEX('Pending Putaway'!$L$2:$L$1537,MATCH($A116,'Pending Putaway'!$B$2:$B$1537,0)),IFERROR(INDEX('Pending Putaway'!$L$2:$L$1537,MATCH(SUBSTITUTE($A116," SS","  SS"),'Pending Putaway'!$B$2:$B$1537,0)),"NA"))</f>
        <v>25</v>
      </c>
    </row>
    <row r="117" customFormat="false" ht="15" hidden="false" customHeight="false" outlineLevel="0" collapsed="false">
      <c r="A117" s="63" t="s">
        <v>78</v>
      </c>
      <c r="B117" s="63" t="str">
        <f aca="false">IFERROR(INDEX('CLM &amp; IM Mapping'!$B$2:$B$270,MATCH($A117,'CLM &amp; IM Mapping'!$A$2:$A$270,0)),"Not Mapped")</f>
        <v>Raghavendra Vernekar</v>
      </c>
      <c r="C117" s="63" t="str">
        <f aca="false">IFERROR(INDEX('CLM &amp; IM Mapping'!$C$2:$C$270,MATCH($A117,'CLM &amp; IM Mapping'!$A$2:$A$270,0)),"Not Mapped")</f>
        <v>Prakash BS</v>
      </c>
      <c r="D117" s="64" t="n">
        <f aca="false">IFERROR(INDEX(Shrinkage!$P$2:$P$260,MATCH($A117,Shrinkage!$D$2:$D$260,0)),IFERROR(INDEX(Shrinkage!$P$2:$P$260,MATCH(SUBSTITUTE($A117," SS","  SS"),Shrinkage!$D$2:$D$260,0)),"NA"))</f>
        <v>0</v>
      </c>
      <c r="E117" s="65" t="str">
        <f aca="false">IFERROR(INDEX('Inventory Hygiene'!$I$3:$I$254,MATCH($A117,'Inventory Hygiene'!$B$3:$B$254,0)),IFERROR(INDEX('Inventory Hygiene'!$I$3:$I$254,MATCH(SUBSTITUTE($A117," SS","  SS"),'Inventory Hygiene'!$B$3:$B$254,0)),"NA"))</f>
        <v>NA</v>
      </c>
      <c r="F117" s="64" t="str">
        <f aca="false">IFERROR(INDEX('Bad Bins'!$K$3:$K$253,MATCH($A117,'Bad Bins'!$B$3:$B$253,0)),IFERROR(INDEX('Bad Bins'!$K$3:$K$253,MATCH(SUBSTITUTE($A117," SS","  SS"),'Bad Bins'!$B$3:$B$253,0)),"NA"))</f>
        <v>NA</v>
      </c>
      <c r="G117" s="64" t="str">
        <f aca="false">IFERROR(INDEX('RSTO &gt; 48hrs'!$H$2:$H$134,MATCH($A117,'RSTO &gt; 48hrs'!$B$2:$B$134,0)),IFERROR(INDEX('RSTO &gt; 48hrs'!$H$2:$H$134,MATCH(SUBSTITUTE($A117," SS","  SS"),'RSTO &gt; 48hrs'!$B$2:$B$134,0)),"NA"))</f>
        <v>NA</v>
      </c>
      <c r="H117" s="64" t="n">
        <f aca="false">IFERROR(INDEX('Recirculation &gt; 24 hrs'!$K$3:$K$151,MATCH($A117,'Recirculation &gt; 24 hrs'!$B$3:$B$151,0)),IFERROR(INDEX('Recirculation &gt; 24 hrs'!$K$3:$K$151,MATCH(SUBSTITUTE($A117," SS","  SS"),'Recirculation &gt; 24 hrs'!$B$3:$B$151,0)),"NA"))</f>
        <v>4</v>
      </c>
      <c r="I117" s="64" t="str">
        <f aca="false">IFERROR(INDEX('Pending Putaway'!$E$2:$E$1537,MATCH($A117,'Pending Putaway'!$B$2:$B$1537,0)),IFERROR(INDEX('Pending Putaway'!$E$2:$E$1537,MATCH(SUBSTITUTE($A117," SS","  SS"),'Pending Putaway'!$B$2:$B$1537,0)),"NA"))</f>
        <v>NA</v>
      </c>
      <c r="J117" s="64" t="str">
        <f aca="false">IFERROR(INDEX('Pending Putaway'!$L$2:$L$1537,MATCH($A117,'Pending Putaway'!$B$2:$B$1537,0)),IFERROR(INDEX('Pending Putaway'!$L$2:$L$1537,MATCH(SUBSTITUTE($A117," SS","  SS"),'Pending Putaway'!$B$2:$B$1537,0)),"NA"))</f>
        <v>NA</v>
      </c>
    </row>
    <row r="118" customFormat="false" ht="15" hidden="false" customHeight="false" outlineLevel="0" collapsed="false">
      <c r="A118" s="63" t="s">
        <v>191</v>
      </c>
      <c r="B118" s="63" t="str">
        <f aca="false">IFERROR(INDEX('CLM &amp; IM Mapping'!$B$2:$B$270,MATCH($A118,'CLM &amp; IM Mapping'!$A$2:$A$270,0)),"Not Mapped")</f>
        <v>Raghavendra Vernekar</v>
      </c>
      <c r="C118" s="63" t="str">
        <f aca="false">IFERROR(INDEX('CLM &amp; IM Mapping'!$C$2:$C$270,MATCH($A118,'CLM &amp; IM Mapping'!$A$2:$A$270,0)),"Not Mapped")</f>
        <v>Prakash BS</v>
      </c>
      <c r="D118" s="64" t="n">
        <f aca="false">IFERROR(INDEX(Shrinkage!$P$2:$P$260,MATCH($A118,Shrinkage!$D$2:$D$260,0)),IFERROR(INDEX(Shrinkage!$P$2:$P$260,MATCH(SUBSTITUTE($A118," SS","  SS"),Shrinkage!$D$2:$D$260,0)),"NA"))</f>
        <v>46374</v>
      </c>
      <c r="E118" s="65" t="n">
        <f aca="false">IFERROR(INDEX('Inventory Hygiene'!$I$3:$I$254,MATCH($A118,'Inventory Hygiene'!$B$3:$B$254,0)),IFERROR(INDEX('Inventory Hygiene'!$I$3:$I$254,MATCH(SUBSTITUTE($A118," SS","  SS"),'Inventory Hygiene'!$B$3:$B$254,0)),"NA"))</f>
        <v>0.69</v>
      </c>
      <c r="F118" s="64" t="n">
        <f aca="false">IFERROR(INDEX('Bad Bins'!$K$3:$K$253,MATCH($A118,'Bad Bins'!$B$3:$B$253,0)),IFERROR(INDEX('Bad Bins'!$K$3:$K$253,MATCH(SUBSTITUTE($A118," SS","  SS"),'Bad Bins'!$B$3:$B$253,0)),"NA"))</f>
        <v>47</v>
      </c>
      <c r="G118" s="64" t="str">
        <f aca="false">IFERROR(INDEX('RSTO &gt; 48hrs'!$H$2:$H$134,MATCH($A118,'RSTO &gt; 48hrs'!$B$2:$B$134,0)),IFERROR(INDEX('RSTO &gt; 48hrs'!$H$2:$H$134,MATCH(SUBSTITUTE($A118," SS","  SS"),'RSTO &gt; 48hrs'!$B$2:$B$134,0)),"NA"))</f>
        <v>NA</v>
      </c>
      <c r="H118" s="64" t="n">
        <f aca="false">IFERROR(INDEX('Recirculation &gt; 24 hrs'!$K$3:$K$151,MATCH($A118,'Recirculation &gt; 24 hrs'!$B$3:$B$151,0)),IFERROR(INDEX('Recirculation &gt; 24 hrs'!$K$3:$K$151,MATCH(SUBSTITUTE($A118," SS","  SS"),'Recirculation &gt; 24 hrs'!$B$3:$B$151,0)),"NA"))</f>
        <v>2</v>
      </c>
      <c r="I118" s="64" t="n">
        <f aca="false">IFERROR(INDEX('Pending Putaway'!$E$2:$E$1537,MATCH($A118,'Pending Putaway'!$B$2:$B$1537,0)),IFERROR(INDEX('Pending Putaway'!$E$2:$E$1537,MATCH(SUBSTITUTE($A118," SS","  SS"),'Pending Putaway'!$B$2:$B$1537,0)),"NA"))</f>
        <v>3424</v>
      </c>
      <c r="J118" s="64" t="n">
        <f aca="false">IFERROR(INDEX('Pending Putaway'!$L$2:$L$1537,MATCH($A118,'Pending Putaway'!$B$2:$B$1537,0)),IFERROR(INDEX('Pending Putaway'!$L$2:$L$1537,MATCH(SUBSTITUTE($A118," SS","  SS"),'Pending Putaway'!$B$2:$B$1537,0)),"NA"))</f>
        <v>118</v>
      </c>
    </row>
    <row r="119" customFormat="false" ht="15" hidden="false" customHeight="false" outlineLevel="0" collapsed="false">
      <c r="A119" s="63" t="s">
        <v>126</v>
      </c>
      <c r="B119" s="63" t="str">
        <f aca="false">IFERROR(INDEX('CLM &amp; IM Mapping'!$B$2:$B$270,MATCH($A119,'CLM &amp; IM Mapping'!$A$2:$A$270,0)),"Not Mapped")</f>
        <v>Raghavendra Vernekar</v>
      </c>
      <c r="C119" s="63" t="str">
        <f aca="false">IFERROR(INDEX('CLM &amp; IM Mapping'!$C$2:$C$270,MATCH($A119,'CLM &amp; IM Mapping'!$A$2:$A$270,0)),"Not Mapped")</f>
        <v>Prakash BS</v>
      </c>
      <c r="D119" s="64" t="n">
        <f aca="false">IFERROR(INDEX(Shrinkage!$P$2:$P$260,MATCH($A119,Shrinkage!$D$2:$D$260,0)),IFERROR(INDEX(Shrinkage!$P$2:$P$260,MATCH(SUBSTITUTE($A119," SS","  SS"),Shrinkage!$D$2:$D$260,0)),"NA"))</f>
        <v>-8853</v>
      </c>
      <c r="E119" s="65" t="n">
        <f aca="false">IFERROR(INDEX('Inventory Hygiene'!$I$3:$I$254,MATCH($A119,'Inventory Hygiene'!$B$3:$B$254,0)),IFERROR(INDEX('Inventory Hygiene'!$I$3:$I$254,MATCH(SUBSTITUTE($A119," SS","  SS"),'Inventory Hygiene'!$B$3:$B$254,0)),"NA"))</f>
        <v>0.99</v>
      </c>
      <c r="F119" s="64" t="n">
        <f aca="false">IFERROR(INDEX('Bad Bins'!$K$3:$K$253,MATCH($A119,'Bad Bins'!$B$3:$B$253,0)),IFERROR(INDEX('Bad Bins'!$K$3:$K$253,MATCH(SUBSTITUTE($A119," SS","  SS"),'Bad Bins'!$B$3:$B$253,0)),"NA"))</f>
        <v>386</v>
      </c>
      <c r="G119" s="64" t="str">
        <f aca="false">IFERROR(INDEX('RSTO &gt; 48hrs'!$H$2:$H$134,MATCH($A119,'RSTO &gt; 48hrs'!$B$2:$B$134,0)),IFERROR(INDEX('RSTO &gt; 48hrs'!$H$2:$H$134,MATCH(SUBSTITUTE($A119," SS","  SS"),'RSTO &gt; 48hrs'!$B$2:$B$134,0)),"NA"))</f>
        <v>NA</v>
      </c>
      <c r="H119" s="64" t="str">
        <f aca="false">IFERROR(INDEX('Recirculation &gt; 24 hrs'!$K$3:$K$151,MATCH($A119,'Recirculation &gt; 24 hrs'!$B$3:$B$151,0)),IFERROR(INDEX('Recirculation &gt; 24 hrs'!$K$3:$K$151,MATCH(SUBSTITUTE($A119," SS","  SS"),'Recirculation &gt; 24 hrs'!$B$3:$B$151,0)),"NA"))</f>
        <v>NA</v>
      </c>
      <c r="I119" s="64" t="n">
        <f aca="false">IFERROR(INDEX('Pending Putaway'!$E$2:$E$1537,MATCH($A119,'Pending Putaway'!$B$2:$B$1537,0)),IFERROR(INDEX('Pending Putaway'!$E$2:$E$1537,MATCH(SUBSTITUTE($A119," SS","  SS"),'Pending Putaway'!$B$2:$B$1537,0)),"NA"))</f>
        <v>0</v>
      </c>
      <c r="J119" s="64" t="n">
        <f aca="false">IFERROR(INDEX('Pending Putaway'!$L$2:$L$1537,MATCH($A119,'Pending Putaway'!$B$2:$B$1537,0)),IFERROR(INDEX('Pending Putaway'!$L$2:$L$1537,MATCH(SUBSTITUTE($A119," SS","  SS"),'Pending Putaway'!$B$2:$B$1537,0)),"NA"))</f>
        <v>0</v>
      </c>
    </row>
    <row r="120" customFormat="false" ht="15" hidden="false" customHeight="false" outlineLevel="0" collapsed="false">
      <c r="A120" s="63" t="s">
        <v>256</v>
      </c>
      <c r="B120" s="63" t="str">
        <f aca="false">IFERROR(INDEX('CLM &amp; IM Mapping'!$B$2:$B$270,MATCH($A120,'CLM &amp; IM Mapping'!$A$2:$A$270,0)),"Not Mapped")</f>
        <v>Raghavendra Vernekar</v>
      </c>
      <c r="C120" s="63" t="str">
        <f aca="false">IFERROR(INDEX('CLM &amp; IM Mapping'!$C$2:$C$270,MATCH($A120,'CLM &amp; IM Mapping'!$A$2:$A$270,0)),"Not Mapped")</f>
        <v>Prakash BS</v>
      </c>
      <c r="D120" s="64" t="n">
        <f aca="false">IFERROR(INDEX(Shrinkage!$P$2:$P$260,MATCH($A120,Shrinkage!$D$2:$D$260,0)),IFERROR(INDEX(Shrinkage!$P$2:$P$260,MATCH(SUBSTITUTE($A120," SS","  SS"),Shrinkage!$D$2:$D$260,0)),"NA"))</f>
        <v>-1945</v>
      </c>
      <c r="E120" s="65" t="n">
        <f aca="false">IFERROR(INDEX('Inventory Hygiene'!$I$3:$I$254,MATCH($A120,'Inventory Hygiene'!$B$3:$B$254,0)),IFERROR(INDEX('Inventory Hygiene'!$I$3:$I$254,MATCH(SUBSTITUTE($A120," SS","  SS"),'Inventory Hygiene'!$B$3:$B$254,0)),"NA"))</f>
        <v>0.62</v>
      </c>
      <c r="F120" s="64" t="n">
        <f aca="false">IFERROR(INDEX('Bad Bins'!$K$3:$K$253,MATCH($A120,'Bad Bins'!$B$3:$B$253,0)),IFERROR(INDEX('Bad Bins'!$K$3:$K$253,MATCH(SUBSTITUTE($A120," SS","  SS"),'Bad Bins'!$B$3:$B$253,0)),"NA"))</f>
        <v>176</v>
      </c>
      <c r="G120" s="64" t="n">
        <f aca="false">IFERROR(INDEX('RSTO &gt; 48hrs'!$H$2:$H$134,MATCH($A120,'RSTO &gt; 48hrs'!$B$2:$B$134,0)),IFERROR(INDEX('RSTO &gt; 48hrs'!$H$2:$H$134,MATCH(SUBSTITUTE($A120," SS","  SS"),'RSTO &gt; 48hrs'!$B$2:$B$134,0)),"NA"))</f>
        <v>138</v>
      </c>
      <c r="H120" s="64" t="n">
        <f aca="false">IFERROR(INDEX('Recirculation &gt; 24 hrs'!$K$3:$K$151,MATCH($A120,'Recirculation &gt; 24 hrs'!$B$3:$B$151,0)),IFERROR(INDEX('Recirculation &gt; 24 hrs'!$K$3:$K$151,MATCH(SUBSTITUTE($A120," SS","  SS"),'Recirculation &gt; 24 hrs'!$B$3:$B$151,0)),"NA"))</f>
        <v>892</v>
      </c>
      <c r="I120" s="64" t="n">
        <f aca="false">IFERROR(INDEX('Pending Putaway'!$E$2:$E$1537,MATCH($A120,'Pending Putaway'!$B$2:$B$1537,0)),IFERROR(INDEX('Pending Putaway'!$E$2:$E$1537,MATCH(SUBSTITUTE($A120," SS","  SS"),'Pending Putaway'!$B$2:$B$1537,0)),"NA"))</f>
        <v>85</v>
      </c>
      <c r="J120" s="64" t="n">
        <f aca="false">IFERROR(INDEX('Pending Putaway'!$L$2:$L$1537,MATCH($A120,'Pending Putaway'!$B$2:$B$1537,0)),IFERROR(INDEX('Pending Putaway'!$L$2:$L$1537,MATCH(SUBSTITUTE($A120," SS","  SS"),'Pending Putaway'!$B$2:$B$1537,0)),"NA"))</f>
        <v>0</v>
      </c>
    </row>
    <row r="121" customFormat="false" ht="15" hidden="false" customHeight="false" outlineLevel="0" collapsed="false">
      <c r="A121" s="63" t="s">
        <v>94</v>
      </c>
      <c r="B121" s="63" t="str">
        <f aca="false">IFERROR(INDEX('CLM &amp; IM Mapping'!$B$2:$B$270,MATCH($A121,'CLM &amp; IM Mapping'!$A$2:$A$270,0)),"Not Mapped")</f>
        <v>Raghavendra Vernekar</v>
      </c>
      <c r="C121" s="63" t="str">
        <f aca="false">IFERROR(INDEX('CLM &amp; IM Mapping'!$C$2:$C$270,MATCH($A121,'CLM &amp; IM Mapping'!$A$2:$A$270,0)),"Not Mapped")</f>
        <v>Prakash BS</v>
      </c>
      <c r="D121" s="64" t="n">
        <f aca="false">IFERROR(INDEX(Shrinkage!$P$2:$P$260,MATCH($A121,Shrinkage!$D$2:$D$260,0)),IFERROR(INDEX(Shrinkage!$P$2:$P$260,MATCH(SUBSTITUTE($A121," SS","  SS"),Shrinkage!$D$2:$D$260,0)),"NA"))</f>
        <v>10941</v>
      </c>
      <c r="E121" s="65" t="n">
        <f aca="false">IFERROR(INDEX('Inventory Hygiene'!$I$3:$I$254,MATCH($A121,'Inventory Hygiene'!$B$3:$B$254,0)),IFERROR(INDEX('Inventory Hygiene'!$I$3:$I$254,MATCH(SUBSTITUTE($A121," SS","  SS"),'Inventory Hygiene'!$B$3:$B$254,0)),"NA"))</f>
        <v>0.6</v>
      </c>
      <c r="F121" s="64" t="n">
        <f aca="false">IFERROR(INDEX('Bad Bins'!$K$3:$K$253,MATCH($A121,'Bad Bins'!$B$3:$B$253,0)),IFERROR(INDEX('Bad Bins'!$K$3:$K$253,MATCH(SUBSTITUTE($A121," SS","  SS"),'Bad Bins'!$B$3:$B$253,0)),"NA"))</f>
        <v>191</v>
      </c>
      <c r="G121" s="64" t="n">
        <f aca="false">IFERROR(INDEX('RSTO &gt; 48hrs'!$H$2:$H$134,MATCH($A121,'RSTO &gt; 48hrs'!$B$2:$B$134,0)),IFERROR(INDEX('RSTO &gt; 48hrs'!$H$2:$H$134,MATCH(SUBSTITUTE($A121," SS","  SS"),'RSTO &gt; 48hrs'!$B$2:$B$134,0)),"NA"))</f>
        <v>2</v>
      </c>
      <c r="H121" s="64" t="n">
        <f aca="false">IFERROR(INDEX('Recirculation &gt; 24 hrs'!$K$3:$K$151,MATCH($A121,'Recirculation &gt; 24 hrs'!$B$3:$B$151,0)),IFERROR(INDEX('Recirculation &gt; 24 hrs'!$K$3:$K$151,MATCH(SUBSTITUTE($A121," SS","  SS"),'Recirculation &gt; 24 hrs'!$B$3:$B$151,0)),"NA"))</f>
        <v>1</v>
      </c>
      <c r="I121" s="64" t="n">
        <f aca="false">IFERROR(INDEX('Pending Putaway'!$E$2:$E$1537,MATCH($A121,'Pending Putaway'!$B$2:$B$1537,0)),IFERROR(INDEX('Pending Putaway'!$E$2:$E$1537,MATCH(SUBSTITUTE($A121," SS","  SS"),'Pending Putaway'!$B$2:$B$1537,0)),"NA"))</f>
        <v>6985</v>
      </c>
      <c r="J121" s="64" t="n">
        <f aca="false">IFERROR(INDEX('Pending Putaway'!$L$2:$L$1537,MATCH($A121,'Pending Putaway'!$B$2:$B$1537,0)),IFERROR(INDEX('Pending Putaway'!$L$2:$L$1537,MATCH(SUBSTITUTE($A121," SS","  SS"),'Pending Putaway'!$B$2:$B$1537,0)),"NA"))</f>
        <v>1865</v>
      </c>
    </row>
    <row r="122" customFormat="false" ht="15" hidden="false" customHeight="false" outlineLevel="0" collapsed="false">
      <c r="A122" s="63" t="s">
        <v>137</v>
      </c>
      <c r="B122" s="63" t="str">
        <f aca="false">IFERROR(INDEX('CLM &amp; IM Mapping'!$B$2:$B$270,MATCH($A122,'CLM &amp; IM Mapping'!$A$2:$A$270,0)),"Not Mapped")</f>
        <v>Raghavendra Vernekar</v>
      </c>
      <c r="C122" s="63" t="str">
        <f aca="false">IFERROR(INDEX('CLM &amp; IM Mapping'!$C$2:$C$270,MATCH($A122,'CLM &amp; IM Mapping'!$A$2:$A$270,0)),"Not Mapped")</f>
        <v>Prakash BS</v>
      </c>
      <c r="D122" s="64" t="n">
        <f aca="false">IFERROR(INDEX(Shrinkage!$P$2:$P$260,MATCH($A122,Shrinkage!$D$2:$D$260,0)),IFERROR(INDEX(Shrinkage!$P$2:$P$260,MATCH(SUBSTITUTE($A122," SS","  SS"),Shrinkage!$D$2:$D$260,0)),"NA"))</f>
        <v>34</v>
      </c>
      <c r="E122" s="65" t="n">
        <f aca="false">IFERROR(INDEX('Inventory Hygiene'!$I$3:$I$254,MATCH($A122,'Inventory Hygiene'!$B$3:$B$254,0)),IFERROR(INDEX('Inventory Hygiene'!$I$3:$I$254,MATCH(SUBSTITUTE($A122," SS","  SS"),'Inventory Hygiene'!$B$3:$B$254,0)),"NA"))</f>
        <v>0.77</v>
      </c>
      <c r="F122" s="64" t="n">
        <f aca="false">IFERROR(INDEX('Bad Bins'!$K$3:$K$253,MATCH($A122,'Bad Bins'!$B$3:$B$253,0)),IFERROR(INDEX('Bad Bins'!$K$3:$K$253,MATCH(SUBSTITUTE($A122," SS","  SS"),'Bad Bins'!$B$3:$B$253,0)),"NA"))</f>
        <v>382</v>
      </c>
      <c r="G122" s="64" t="n">
        <f aca="false">IFERROR(INDEX('RSTO &gt; 48hrs'!$H$2:$H$134,MATCH($A122,'RSTO &gt; 48hrs'!$B$2:$B$134,0)),IFERROR(INDEX('RSTO &gt; 48hrs'!$H$2:$H$134,MATCH(SUBSTITUTE($A122," SS","  SS"),'RSTO &gt; 48hrs'!$B$2:$B$134,0)),"NA"))</f>
        <v>11</v>
      </c>
      <c r="H122" s="64" t="n">
        <f aca="false">IFERROR(INDEX('Recirculation &gt; 24 hrs'!$K$3:$K$151,MATCH($A122,'Recirculation &gt; 24 hrs'!$B$3:$B$151,0)),IFERROR(INDEX('Recirculation &gt; 24 hrs'!$K$3:$K$151,MATCH(SUBSTITUTE($A122," SS","  SS"),'Recirculation &gt; 24 hrs'!$B$3:$B$151,0)),"NA"))</f>
        <v>7</v>
      </c>
      <c r="I122" s="64" t="n">
        <f aca="false">IFERROR(INDEX('Pending Putaway'!$E$2:$E$1537,MATCH($A122,'Pending Putaway'!$B$2:$B$1537,0)),IFERROR(INDEX('Pending Putaway'!$E$2:$E$1537,MATCH(SUBSTITUTE($A122," SS","  SS"),'Pending Putaway'!$B$2:$B$1537,0)),"NA"))</f>
        <v>5653</v>
      </c>
      <c r="J122" s="64" t="n">
        <f aca="false">IFERROR(INDEX('Pending Putaway'!$L$2:$L$1537,MATCH($A122,'Pending Putaway'!$B$2:$B$1537,0)),IFERROR(INDEX('Pending Putaway'!$L$2:$L$1537,MATCH(SUBSTITUTE($A122," SS","  SS"),'Pending Putaway'!$B$2:$B$1537,0)),"NA"))</f>
        <v>2</v>
      </c>
    </row>
    <row r="123" customFormat="false" ht="15" hidden="false" customHeight="false" outlineLevel="0" collapsed="false">
      <c r="A123" s="63" t="s">
        <v>192</v>
      </c>
      <c r="B123" s="63" t="str">
        <f aca="false">IFERROR(INDEX('CLM &amp; IM Mapping'!$B$2:$B$270,MATCH($A123,'CLM &amp; IM Mapping'!$A$2:$A$270,0)),"Not Mapped")</f>
        <v>Raghavendra Vernekar</v>
      </c>
      <c r="C123" s="63" t="str">
        <f aca="false">IFERROR(INDEX('CLM &amp; IM Mapping'!$C$2:$C$270,MATCH($A123,'CLM &amp; IM Mapping'!$A$2:$A$270,0)),"Not Mapped")</f>
        <v>Prakash BS</v>
      </c>
      <c r="D123" s="64" t="n">
        <f aca="false">IFERROR(INDEX(Shrinkage!$P$2:$P$260,MATCH($A123,Shrinkage!$D$2:$D$260,0)),IFERROR(INDEX(Shrinkage!$P$2:$P$260,MATCH(SUBSTITUTE($A123," SS","  SS"),Shrinkage!$D$2:$D$260,0)),"NA"))</f>
        <v>-11283</v>
      </c>
      <c r="E123" s="65" t="n">
        <f aca="false">IFERROR(INDEX('Inventory Hygiene'!$I$3:$I$254,MATCH($A123,'Inventory Hygiene'!$B$3:$B$254,0)),IFERROR(INDEX('Inventory Hygiene'!$I$3:$I$254,MATCH(SUBSTITUTE($A123," SS","  SS"),'Inventory Hygiene'!$B$3:$B$254,0)),"NA"))</f>
        <v>0.67</v>
      </c>
      <c r="F123" s="64" t="n">
        <f aca="false">IFERROR(INDEX('Bad Bins'!$K$3:$K$253,MATCH($A123,'Bad Bins'!$B$3:$B$253,0)),IFERROR(INDEX('Bad Bins'!$K$3:$K$253,MATCH(SUBSTITUTE($A123," SS","  SS"),'Bad Bins'!$B$3:$B$253,0)),"NA"))</f>
        <v>90</v>
      </c>
      <c r="G123" s="64" t="str">
        <f aca="false">IFERROR(INDEX('RSTO &gt; 48hrs'!$H$2:$H$134,MATCH($A123,'RSTO &gt; 48hrs'!$B$2:$B$134,0)),IFERROR(INDEX('RSTO &gt; 48hrs'!$H$2:$H$134,MATCH(SUBSTITUTE($A123," SS","  SS"),'RSTO &gt; 48hrs'!$B$2:$B$134,0)),"NA"))</f>
        <v>NA</v>
      </c>
      <c r="H123" s="64" t="n">
        <f aca="false">IFERROR(INDEX('Recirculation &gt; 24 hrs'!$K$3:$K$151,MATCH($A123,'Recirculation &gt; 24 hrs'!$B$3:$B$151,0)),IFERROR(INDEX('Recirculation &gt; 24 hrs'!$K$3:$K$151,MATCH(SUBSTITUTE($A123," SS","  SS"),'Recirculation &gt; 24 hrs'!$B$3:$B$151,0)),"NA"))</f>
        <v>1</v>
      </c>
      <c r="I123" s="64" t="n">
        <f aca="false">IFERROR(INDEX('Pending Putaway'!$E$2:$E$1537,MATCH($A123,'Pending Putaway'!$B$2:$B$1537,0)),IFERROR(INDEX('Pending Putaway'!$E$2:$E$1537,MATCH(SUBSTITUTE($A123," SS","  SS"),'Pending Putaway'!$B$2:$B$1537,0)),"NA"))</f>
        <v>1681</v>
      </c>
      <c r="J123" s="64" t="n">
        <f aca="false">IFERROR(INDEX('Pending Putaway'!$L$2:$L$1537,MATCH($A123,'Pending Putaway'!$B$2:$B$1537,0)),IFERROR(INDEX('Pending Putaway'!$L$2:$L$1537,MATCH(SUBSTITUTE($A123," SS","  SS"),'Pending Putaway'!$B$2:$B$1537,0)),"NA"))</f>
        <v>212</v>
      </c>
    </row>
    <row r="124" customFormat="false" ht="15" hidden="false" customHeight="false" outlineLevel="0" collapsed="false">
      <c r="A124" s="63" t="s">
        <v>72</v>
      </c>
      <c r="B124" s="63" t="str">
        <f aca="false">IFERROR(INDEX('CLM &amp; IM Mapping'!$B$2:$B$270,MATCH($A124,'CLM &amp; IM Mapping'!$A$2:$A$270,0)),"Not Mapped")</f>
        <v>Basil Scariya</v>
      </c>
      <c r="C124" s="63" t="str">
        <f aca="false">IFERROR(INDEX('CLM &amp; IM Mapping'!$C$2:$C$270,MATCH($A124,'CLM &amp; IM Mapping'!$A$2:$A$270,0)),"Not Mapped")</f>
        <v>Prakash BS</v>
      </c>
      <c r="D124" s="64" t="n">
        <f aca="false">IFERROR(INDEX(Shrinkage!$P$2:$P$260,MATCH($A124,Shrinkage!$D$2:$D$260,0)),IFERROR(INDEX(Shrinkage!$P$2:$P$260,MATCH(SUBSTITUTE($A124," SS","  SS"),Shrinkage!$D$2:$D$260,0)),"NA"))</f>
        <v>4387</v>
      </c>
      <c r="E124" s="65" t="n">
        <f aca="false">IFERROR(INDEX('Inventory Hygiene'!$I$3:$I$254,MATCH($A124,'Inventory Hygiene'!$B$3:$B$254,0)),IFERROR(INDEX('Inventory Hygiene'!$I$3:$I$254,MATCH(SUBSTITUTE($A124," SS","  SS"),'Inventory Hygiene'!$B$3:$B$254,0)),"NA"))</f>
        <v>0.62</v>
      </c>
      <c r="F124" s="64" t="n">
        <f aca="false">IFERROR(INDEX('Bad Bins'!$K$3:$K$253,MATCH($A124,'Bad Bins'!$B$3:$B$253,0)),IFERROR(INDEX('Bad Bins'!$K$3:$K$253,MATCH(SUBSTITUTE($A124," SS","  SS"),'Bad Bins'!$B$3:$B$253,0)),"NA"))</f>
        <v>87</v>
      </c>
      <c r="G124" s="64" t="n">
        <f aca="false">IFERROR(INDEX('RSTO &gt; 48hrs'!$H$2:$H$134,MATCH($A124,'RSTO &gt; 48hrs'!$B$2:$B$134,0)),IFERROR(INDEX('RSTO &gt; 48hrs'!$H$2:$H$134,MATCH(SUBSTITUTE($A124," SS","  SS"),'RSTO &gt; 48hrs'!$B$2:$B$134,0)),"NA"))</f>
        <v>4</v>
      </c>
      <c r="H124" s="64" t="n">
        <f aca="false">IFERROR(INDEX('Recirculation &gt; 24 hrs'!$K$3:$K$151,MATCH($A124,'Recirculation &gt; 24 hrs'!$B$3:$B$151,0)),IFERROR(INDEX('Recirculation &gt; 24 hrs'!$K$3:$K$151,MATCH(SUBSTITUTE($A124," SS","  SS"),'Recirculation &gt; 24 hrs'!$B$3:$B$151,0)),"NA"))</f>
        <v>15</v>
      </c>
      <c r="I124" s="64" t="n">
        <f aca="false">IFERROR(INDEX('Pending Putaway'!$E$2:$E$1537,MATCH($A124,'Pending Putaway'!$B$2:$B$1537,0)),IFERROR(INDEX('Pending Putaway'!$E$2:$E$1537,MATCH(SUBSTITUTE($A124," SS","  SS"),'Pending Putaway'!$B$2:$B$1537,0)),"NA"))</f>
        <v>3157</v>
      </c>
      <c r="J124" s="64" t="n">
        <f aca="false">IFERROR(INDEX('Pending Putaway'!$L$2:$L$1537,MATCH($A124,'Pending Putaway'!$B$2:$B$1537,0)),IFERROR(INDEX('Pending Putaway'!$L$2:$L$1537,MATCH(SUBSTITUTE($A124," SS","  SS"),'Pending Putaway'!$B$2:$B$1537,0)),"NA"))</f>
        <v>261</v>
      </c>
    </row>
    <row r="125" customFormat="false" ht="15" hidden="false" customHeight="false" outlineLevel="0" collapsed="false">
      <c r="A125" s="63" t="s">
        <v>116</v>
      </c>
      <c r="B125" s="63" t="str">
        <f aca="false">IFERROR(INDEX('CLM &amp; IM Mapping'!$B$2:$B$270,MATCH($A125,'CLM &amp; IM Mapping'!$A$2:$A$270,0)),"Not Mapped")</f>
        <v>Raghavendra Vernekar</v>
      </c>
      <c r="C125" s="63" t="str">
        <f aca="false">IFERROR(INDEX('CLM &amp; IM Mapping'!$C$2:$C$270,MATCH($A125,'CLM &amp; IM Mapping'!$A$2:$A$270,0)),"Not Mapped")</f>
        <v>Prakash BS</v>
      </c>
      <c r="D125" s="64" t="n">
        <f aca="false">IFERROR(INDEX(Shrinkage!$P$2:$P$260,MATCH($A125,Shrinkage!$D$2:$D$260,0)),IFERROR(INDEX(Shrinkage!$P$2:$P$260,MATCH(SUBSTITUTE($A125," SS","  SS"),Shrinkage!$D$2:$D$260,0)),"NA"))</f>
        <v>-16644</v>
      </c>
      <c r="E125" s="65" t="n">
        <f aca="false">IFERROR(INDEX('Inventory Hygiene'!$I$3:$I$254,MATCH($A125,'Inventory Hygiene'!$B$3:$B$254,0)),IFERROR(INDEX('Inventory Hygiene'!$I$3:$I$254,MATCH(SUBSTITUTE($A125," SS","  SS"),'Inventory Hygiene'!$B$3:$B$254,0)),"NA"))</f>
        <v>0.99</v>
      </c>
      <c r="F125" s="64" t="n">
        <f aca="false">IFERROR(INDEX('Bad Bins'!$K$3:$K$253,MATCH($A125,'Bad Bins'!$B$3:$B$253,0)),IFERROR(INDEX('Bad Bins'!$K$3:$K$253,MATCH(SUBSTITUTE($A125," SS","  SS"),'Bad Bins'!$B$3:$B$253,0)),"NA"))</f>
        <v>229</v>
      </c>
      <c r="G125" s="64" t="n">
        <f aca="false">IFERROR(INDEX('RSTO &gt; 48hrs'!$H$2:$H$134,MATCH($A125,'RSTO &gt; 48hrs'!$B$2:$B$134,0)),IFERROR(INDEX('RSTO &gt; 48hrs'!$H$2:$H$134,MATCH(SUBSTITUTE($A125," SS","  SS"),'RSTO &gt; 48hrs'!$B$2:$B$134,0)),"NA"))</f>
        <v>2</v>
      </c>
      <c r="H125" s="64" t="n">
        <f aca="false">IFERROR(INDEX('Recirculation &gt; 24 hrs'!$K$3:$K$151,MATCH($A125,'Recirculation &gt; 24 hrs'!$B$3:$B$151,0)),IFERROR(INDEX('Recirculation &gt; 24 hrs'!$K$3:$K$151,MATCH(SUBSTITUTE($A125," SS","  SS"),'Recirculation &gt; 24 hrs'!$B$3:$B$151,0)),"NA"))</f>
        <v>1</v>
      </c>
      <c r="I125" s="64" t="n">
        <f aca="false">IFERROR(INDEX('Pending Putaway'!$E$2:$E$1537,MATCH($A125,'Pending Putaway'!$B$2:$B$1537,0)),IFERROR(INDEX('Pending Putaway'!$E$2:$E$1537,MATCH(SUBSTITUTE($A125," SS","  SS"),'Pending Putaway'!$B$2:$B$1537,0)),"NA"))</f>
        <v>7877</v>
      </c>
      <c r="J125" s="64" t="n">
        <f aca="false">IFERROR(INDEX('Pending Putaway'!$L$2:$L$1537,MATCH($A125,'Pending Putaway'!$B$2:$B$1537,0)),IFERROR(INDEX('Pending Putaway'!$L$2:$L$1537,MATCH(SUBSTITUTE($A125," SS","  SS"),'Pending Putaway'!$B$2:$B$1537,0)),"NA"))</f>
        <v>0</v>
      </c>
    </row>
    <row r="126" customFormat="false" ht="15" hidden="false" customHeight="false" outlineLevel="0" collapsed="false">
      <c r="A126" s="63" t="s">
        <v>67</v>
      </c>
      <c r="B126" s="63" t="str">
        <f aca="false">IFERROR(INDEX('CLM &amp; IM Mapping'!$B$2:$B$270,MATCH($A126,'CLM &amp; IM Mapping'!$A$2:$A$270,0)),"Not Mapped")</f>
        <v>Raghavendra Vernekar</v>
      </c>
      <c r="C126" s="63" t="str">
        <f aca="false">IFERROR(INDEX('CLM &amp; IM Mapping'!$C$2:$C$270,MATCH($A126,'CLM &amp; IM Mapping'!$A$2:$A$270,0)),"Not Mapped")</f>
        <v>Prakash BS</v>
      </c>
      <c r="D126" s="64" t="n">
        <f aca="false">IFERROR(INDEX(Shrinkage!$P$2:$P$260,MATCH($A126,Shrinkage!$D$2:$D$260,0)),IFERROR(INDEX(Shrinkage!$P$2:$P$260,MATCH(SUBSTITUTE($A126," SS","  SS"),Shrinkage!$D$2:$D$260,0)),"NA"))</f>
        <v>43795</v>
      </c>
      <c r="E126" s="65" t="n">
        <f aca="false">IFERROR(INDEX('Inventory Hygiene'!$I$3:$I$254,MATCH($A126,'Inventory Hygiene'!$B$3:$B$254,0)),IFERROR(INDEX('Inventory Hygiene'!$I$3:$I$254,MATCH(SUBSTITUTE($A126," SS","  SS"),'Inventory Hygiene'!$B$3:$B$254,0)),"NA"))</f>
        <v>0.35</v>
      </c>
      <c r="F126" s="64" t="n">
        <f aca="false">IFERROR(INDEX('Bad Bins'!$K$3:$K$253,MATCH($A126,'Bad Bins'!$B$3:$B$253,0)),IFERROR(INDEX('Bad Bins'!$K$3:$K$253,MATCH(SUBSTITUTE($A126," SS","  SS"),'Bad Bins'!$B$3:$B$253,0)),"NA"))</f>
        <v>40</v>
      </c>
      <c r="G126" s="64" t="n">
        <f aca="false">IFERROR(INDEX('RSTO &gt; 48hrs'!$H$2:$H$134,MATCH($A126,'RSTO &gt; 48hrs'!$B$2:$B$134,0)),IFERROR(INDEX('RSTO &gt; 48hrs'!$H$2:$H$134,MATCH(SUBSTITUTE($A126," SS","  SS"),'RSTO &gt; 48hrs'!$B$2:$B$134,0)),"NA"))</f>
        <v>27</v>
      </c>
      <c r="H126" s="64" t="str">
        <f aca="false">IFERROR(INDEX('Recirculation &gt; 24 hrs'!$K$3:$K$151,MATCH($A126,'Recirculation &gt; 24 hrs'!$B$3:$B$151,0)),IFERROR(INDEX('Recirculation &gt; 24 hrs'!$K$3:$K$151,MATCH(SUBSTITUTE($A126," SS","  SS"),'Recirculation &gt; 24 hrs'!$B$3:$B$151,0)),"NA"))</f>
        <v>NA</v>
      </c>
      <c r="I126" s="64" t="n">
        <f aca="false">IFERROR(INDEX('Pending Putaway'!$E$2:$E$1537,MATCH($A126,'Pending Putaway'!$B$2:$B$1537,0)),IFERROR(INDEX('Pending Putaway'!$E$2:$E$1537,MATCH(SUBSTITUTE($A126," SS","  SS"),'Pending Putaway'!$B$2:$B$1537,0)),"NA"))</f>
        <v>8</v>
      </c>
      <c r="J126" s="64" t="n">
        <f aca="false">IFERROR(INDEX('Pending Putaway'!$L$2:$L$1537,MATCH($A126,'Pending Putaway'!$B$2:$B$1537,0)),IFERROR(INDEX('Pending Putaway'!$L$2:$L$1537,MATCH(SUBSTITUTE($A126," SS","  SS"),'Pending Putaway'!$B$2:$B$1537,0)),"NA"))</f>
        <v>8</v>
      </c>
    </row>
    <row r="127" customFormat="false" ht="15" hidden="false" customHeight="false" outlineLevel="0" collapsed="false">
      <c r="A127" s="63" t="s">
        <v>270</v>
      </c>
      <c r="B127" s="63" t="str">
        <f aca="false">IFERROR(INDEX('CLM &amp; IM Mapping'!$B$2:$B$270,MATCH($A127,'CLM &amp; IM Mapping'!$A$2:$A$270,0)),"Not Mapped")</f>
        <v>Adhavan Subramani</v>
      </c>
      <c r="C127" s="63" t="str">
        <f aca="false">IFERROR(INDEX('CLM &amp; IM Mapping'!$C$2:$C$270,MATCH($A127,'CLM &amp; IM Mapping'!$A$2:$A$270,0)),"Not Mapped")</f>
        <v>Mohammed Akbar</v>
      </c>
      <c r="D127" s="64" t="n">
        <f aca="false">IFERROR(INDEX(Shrinkage!$P$2:$P$260,MATCH($A127,Shrinkage!$D$2:$D$260,0)),IFERROR(INDEX(Shrinkage!$P$2:$P$260,MATCH(SUBSTITUTE($A127," SS","  SS"),Shrinkage!$D$2:$D$260,0)),"NA"))</f>
        <v>12922</v>
      </c>
      <c r="E127" s="65" t="n">
        <f aca="false">IFERROR(INDEX('Inventory Hygiene'!$I$3:$I$254,MATCH($A127,'Inventory Hygiene'!$B$3:$B$254,0)),IFERROR(INDEX('Inventory Hygiene'!$I$3:$I$254,MATCH(SUBSTITUTE($A127," SS","  SS"),'Inventory Hygiene'!$B$3:$B$254,0)),"NA"))</f>
        <v>0.72</v>
      </c>
      <c r="F127" s="64" t="n">
        <f aca="false">IFERROR(INDEX('Bad Bins'!$K$3:$K$253,MATCH($A127,'Bad Bins'!$B$3:$B$253,0)),IFERROR(INDEX('Bad Bins'!$K$3:$K$253,MATCH(SUBSTITUTE($A127," SS","  SS"),'Bad Bins'!$B$3:$B$253,0)),"NA"))</f>
        <v>47</v>
      </c>
      <c r="G127" s="64" t="str">
        <f aca="false">IFERROR(INDEX('RSTO &gt; 48hrs'!$H$2:$H$134,MATCH($A127,'RSTO &gt; 48hrs'!$B$2:$B$134,0)),IFERROR(INDEX('RSTO &gt; 48hrs'!$H$2:$H$134,MATCH(SUBSTITUTE($A127," SS","  SS"),'RSTO &gt; 48hrs'!$B$2:$B$134,0)),"NA"))</f>
        <v>NA</v>
      </c>
      <c r="H127" s="64" t="str">
        <f aca="false">IFERROR(INDEX('Recirculation &gt; 24 hrs'!$K$3:$K$151,MATCH($A127,'Recirculation &gt; 24 hrs'!$B$3:$B$151,0)),IFERROR(INDEX('Recirculation &gt; 24 hrs'!$K$3:$K$151,MATCH(SUBSTITUTE($A127," SS","  SS"),'Recirculation &gt; 24 hrs'!$B$3:$B$151,0)),"NA"))</f>
        <v>NA</v>
      </c>
      <c r="I127" s="64" t="n">
        <f aca="false">IFERROR(INDEX('Pending Putaway'!$E$2:$E$1537,MATCH($A127,'Pending Putaway'!$B$2:$B$1537,0)),IFERROR(INDEX('Pending Putaway'!$E$2:$E$1537,MATCH(SUBSTITUTE($A127," SS","  SS"),'Pending Putaway'!$B$2:$B$1537,0)),"NA"))</f>
        <v>9165</v>
      </c>
      <c r="J127" s="64" t="n">
        <f aca="false">IFERROR(INDEX('Pending Putaway'!$L$2:$L$1537,MATCH($A127,'Pending Putaway'!$B$2:$B$1537,0)),IFERROR(INDEX('Pending Putaway'!$L$2:$L$1537,MATCH(SUBSTITUTE($A127," SS","  SS"),'Pending Putaway'!$B$2:$B$1537,0)),"NA"))</f>
        <v>1570</v>
      </c>
    </row>
    <row r="128" customFormat="false" ht="15" hidden="false" customHeight="false" outlineLevel="0" collapsed="false">
      <c r="A128" s="63" t="s">
        <v>246</v>
      </c>
      <c r="B128" s="63" t="str">
        <f aca="false">IFERROR(INDEX('CLM &amp; IM Mapping'!$B$2:$B$270,MATCH($A128,'CLM &amp; IM Mapping'!$A$2:$A$270,0)),"Not Mapped")</f>
        <v>Adhavan Subramani</v>
      </c>
      <c r="C128" s="63" t="str">
        <f aca="false">IFERROR(INDEX('CLM &amp; IM Mapping'!$C$2:$C$270,MATCH($A128,'CLM &amp; IM Mapping'!$A$2:$A$270,0)),"Not Mapped")</f>
        <v>Mohammed Akbar</v>
      </c>
      <c r="D128" s="64" t="n">
        <f aca="false">IFERROR(INDEX(Shrinkage!$P$2:$P$260,MATCH($A128,Shrinkage!$D$2:$D$260,0)),IFERROR(INDEX(Shrinkage!$P$2:$P$260,MATCH(SUBSTITUTE($A128," SS","  SS"),Shrinkage!$D$2:$D$260,0)),"NA"))</f>
        <v>41109</v>
      </c>
      <c r="E128" s="65" t="n">
        <f aca="false">IFERROR(INDEX('Inventory Hygiene'!$I$3:$I$254,MATCH($A128,'Inventory Hygiene'!$B$3:$B$254,0)),IFERROR(INDEX('Inventory Hygiene'!$I$3:$I$254,MATCH(SUBSTITUTE($A128," SS","  SS"),'Inventory Hygiene'!$B$3:$B$254,0)),"NA"))</f>
        <v>0.33</v>
      </c>
      <c r="F128" s="64" t="n">
        <f aca="false">IFERROR(INDEX('Bad Bins'!$K$3:$K$253,MATCH($A128,'Bad Bins'!$B$3:$B$253,0)),IFERROR(INDEX('Bad Bins'!$K$3:$K$253,MATCH(SUBSTITUTE($A128," SS","  SS"),'Bad Bins'!$B$3:$B$253,0)),"NA"))</f>
        <v>207</v>
      </c>
      <c r="G128" s="64" t="n">
        <f aca="false">IFERROR(INDEX('RSTO &gt; 48hrs'!$H$2:$H$134,MATCH($A128,'RSTO &gt; 48hrs'!$B$2:$B$134,0)),IFERROR(INDEX('RSTO &gt; 48hrs'!$H$2:$H$134,MATCH(SUBSTITUTE($A128," SS","  SS"),'RSTO &gt; 48hrs'!$B$2:$B$134,0)),"NA"))</f>
        <v>15</v>
      </c>
      <c r="H128" s="64" t="n">
        <f aca="false">IFERROR(INDEX('Recirculation &gt; 24 hrs'!$K$3:$K$151,MATCH($A128,'Recirculation &gt; 24 hrs'!$B$3:$B$151,0)),IFERROR(INDEX('Recirculation &gt; 24 hrs'!$K$3:$K$151,MATCH(SUBSTITUTE($A128," SS","  SS"),'Recirculation &gt; 24 hrs'!$B$3:$B$151,0)),"NA"))</f>
        <v>11</v>
      </c>
      <c r="I128" s="64" t="n">
        <f aca="false">IFERROR(INDEX('Pending Putaway'!$E$2:$E$1537,MATCH($A128,'Pending Putaway'!$B$2:$B$1537,0)),IFERROR(INDEX('Pending Putaway'!$E$2:$E$1537,MATCH(SUBSTITUTE($A128," SS","  SS"),'Pending Putaway'!$B$2:$B$1537,0)),"NA"))</f>
        <v>4607</v>
      </c>
      <c r="J128" s="64" t="n">
        <f aca="false">IFERROR(INDEX('Pending Putaway'!$L$2:$L$1537,MATCH($A128,'Pending Putaway'!$B$2:$B$1537,0)),IFERROR(INDEX('Pending Putaway'!$L$2:$L$1537,MATCH(SUBSTITUTE($A128," SS","  SS"),'Pending Putaway'!$B$2:$B$1537,0)),"NA"))</f>
        <v>4</v>
      </c>
    </row>
    <row r="129" customFormat="false" ht="15" hidden="false" customHeight="false" outlineLevel="0" collapsed="false">
      <c r="A129" s="63" t="s">
        <v>122</v>
      </c>
      <c r="B129" s="63" t="str">
        <f aca="false">IFERROR(INDEX('CLM &amp; IM Mapping'!$B$2:$B$270,MATCH($A129,'CLM &amp; IM Mapping'!$A$2:$A$270,0)),"Not Mapped")</f>
        <v>Adhavan Subramani</v>
      </c>
      <c r="C129" s="63" t="str">
        <f aca="false">IFERROR(INDEX('CLM &amp; IM Mapping'!$C$2:$C$270,MATCH($A129,'CLM &amp; IM Mapping'!$A$2:$A$270,0)),"Not Mapped")</f>
        <v>Mohammed Akbar</v>
      </c>
      <c r="D129" s="64" t="n">
        <f aca="false">IFERROR(INDEX(Shrinkage!$P$2:$P$260,MATCH($A129,Shrinkage!$D$2:$D$260,0)),IFERROR(INDEX(Shrinkage!$P$2:$P$260,MATCH(SUBSTITUTE($A129," SS","  SS"),Shrinkage!$D$2:$D$260,0)),"NA"))</f>
        <v>41326</v>
      </c>
      <c r="E129" s="65" t="n">
        <f aca="false">IFERROR(INDEX('Inventory Hygiene'!$I$3:$I$254,MATCH($A129,'Inventory Hygiene'!$B$3:$B$254,0)),IFERROR(INDEX('Inventory Hygiene'!$I$3:$I$254,MATCH(SUBSTITUTE($A129," SS","  SS"),'Inventory Hygiene'!$B$3:$B$254,0)),"NA"))</f>
        <v>0.49</v>
      </c>
      <c r="F129" s="64" t="n">
        <f aca="false">IFERROR(INDEX('Bad Bins'!$K$3:$K$253,MATCH($A129,'Bad Bins'!$B$3:$B$253,0)),IFERROR(INDEX('Bad Bins'!$K$3:$K$253,MATCH(SUBSTITUTE($A129," SS","  SS"),'Bad Bins'!$B$3:$B$253,0)),"NA"))</f>
        <v>77</v>
      </c>
      <c r="G129" s="64" t="str">
        <f aca="false">IFERROR(INDEX('RSTO &gt; 48hrs'!$H$2:$H$134,MATCH($A129,'RSTO &gt; 48hrs'!$B$2:$B$134,0)),IFERROR(INDEX('RSTO &gt; 48hrs'!$H$2:$H$134,MATCH(SUBSTITUTE($A129," SS","  SS"),'RSTO &gt; 48hrs'!$B$2:$B$134,0)),"NA"))</f>
        <v>NA</v>
      </c>
      <c r="H129" s="64" t="n">
        <f aca="false">IFERROR(INDEX('Recirculation &gt; 24 hrs'!$K$3:$K$151,MATCH($A129,'Recirculation &gt; 24 hrs'!$B$3:$B$151,0)),IFERROR(INDEX('Recirculation &gt; 24 hrs'!$K$3:$K$151,MATCH(SUBSTITUTE($A129," SS","  SS"),'Recirculation &gt; 24 hrs'!$B$3:$B$151,0)),"NA"))</f>
        <v>11</v>
      </c>
      <c r="I129" s="64" t="n">
        <f aca="false">IFERROR(INDEX('Pending Putaway'!$E$2:$E$1537,MATCH($A129,'Pending Putaway'!$B$2:$B$1537,0)),IFERROR(INDEX('Pending Putaway'!$E$2:$E$1537,MATCH(SUBSTITUTE($A129," SS","  SS"),'Pending Putaway'!$B$2:$B$1537,0)),"NA"))</f>
        <v>160</v>
      </c>
      <c r="J129" s="64" t="n">
        <f aca="false">IFERROR(INDEX('Pending Putaway'!$L$2:$L$1537,MATCH($A129,'Pending Putaway'!$B$2:$B$1537,0)),IFERROR(INDEX('Pending Putaway'!$L$2:$L$1537,MATCH(SUBSTITUTE($A129," SS","  SS"),'Pending Putaway'!$B$2:$B$1537,0)),"NA"))</f>
        <v>160</v>
      </c>
    </row>
    <row r="130" customFormat="false" ht="15" hidden="false" customHeight="false" outlineLevel="0" collapsed="false">
      <c r="A130" s="63" t="s">
        <v>86</v>
      </c>
      <c r="B130" s="63" t="str">
        <f aca="false">IFERROR(INDEX('CLM &amp; IM Mapping'!$B$2:$B$270,MATCH($A130,'CLM &amp; IM Mapping'!$A$2:$A$270,0)),"Not Mapped")</f>
        <v>Adhavan Subramani</v>
      </c>
      <c r="C130" s="63" t="str">
        <f aca="false">IFERROR(INDEX('CLM &amp; IM Mapping'!$C$2:$C$270,MATCH($A130,'CLM &amp; IM Mapping'!$A$2:$A$270,0)),"Not Mapped")</f>
        <v>Mohammed Akbar</v>
      </c>
      <c r="D130" s="64" t="n">
        <f aca="false">IFERROR(INDEX(Shrinkage!$P$2:$P$260,MATCH($A130,Shrinkage!$D$2:$D$260,0)),IFERROR(INDEX(Shrinkage!$P$2:$P$260,MATCH(SUBSTITUTE($A130," SS","  SS"),Shrinkage!$D$2:$D$260,0)),"NA"))</f>
        <v>51771</v>
      </c>
      <c r="E130" s="65" t="n">
        <f aca="false">IFERROR(INDEX('Inventory Hygiene'!$I$3:$I$254,MATCH($A130,'Inventory Hygiene'!$B$3:$B$254,0)),IFERROR(INDEX('Inventory Hygiene'!$I$3:$I$254,MATCH(SUBSTITUTE($A130," SS","  SS"),'Inventory Hygiene'!$B$3:$B$254,0)),"NA"))</f>
        <v>0.7</v>
      </c>
      <c r="F130" s="64" t="n">
        <f aca="false">IFERROR(INDEX('Bad Bins'!$K$3:$K$253,MATCH($A130,'Bad Bins'!$B$3:$B$253,0)),IFERROR(INDEX('Bad Bins'!$K$3:$K$253,MATCH(SUBSTITUTE($A130," SS","  SS"),'Bad Bins'!$B$3:$B$253,0)),"NA"))</f>
        <v>681</v>
      </c>
      <c r="G130" s="64" t="n">
        <f aca="false">IFERROR(INDEX('RSTO &gt; 48hrs'!$H$2:$H$134,MATCH($A130,'RSTO &gt; 48hrs'!$B$2:$B$134,0)),IFERROR(INDEX('RSTO &gt; 48hrs'!$H$2:$H$134,MATCH(SUBSTITUTE($A130," SS","  SS"),'RSTO &gt; 48hrs'!$B$2:$B$134,0)),"NA"))</f>
        <v>263</v>
      </c>
      <c r="H130" s="64" t="n">
        <f aca="false">IFERROR(INDEX('Recirculation &gt; 24 hrs'!$K$3:$K$151,MATCH($A130,'Recirculation &gt; 24 hrs'!$B$3:$B$151,0)),IFERROR(INDEX('Recirculation &gt; 24 hrs'!$K$3:$K$151,MATCH(SUBSTITUTE($A130," SS","  SS"),'Recirculation &gt; 24 hrs'!$B$3:$B$151,0)),"NA"))</f>
        <v>993</v>
      </c>
      <c r="I130" s="64" t="n">
        <f aca="false">IFERROR(INDEX('Pending Putaway'!$E$2:$E$1537,MATCH($A130,'Pending Putaway'!$B$2:$B$1537,0)),IFERROR(INDEX('Pending Putaway'!$E$2:$E$1537,MATCH(SUBSTITUTE($A130," SS","  SS"),'Pending Putaway'!$B$2:$B$1537,0)),"NA"))</f>
        <v>1568</v>
      </c>
      <c r="J130" s="64" t="n">
        <f aca="false">IFERROR(INDEX('Pending Putaway'!$L$2:$L$1537,MATCH($A130,'Pending Putaway'!$B$2:$B$1537,0)),IFERROR(INDEX('Pending Putaway'!$L$2:$L$1537,MATCH(SUBSTITUTE($A130," SS","  SS"),'Pending Putaway'!$B$2:$B$1537,0)),"NA"))</f>
        <v>215</v>
      </c>
    </row>
    <row r="131" customFormat="false" ht="15" hidden="false" customHeight="false" outlineLevel="0" collapsed="false">
      <c r="A131" s="63" t="s">
        <v>100</v>
      </c>
      <c r="B131" s="63" t="str">
        <f aca="false">IFERROR(INDEX('CLM &amp; IM Mapping'!$B$2:$B$270,MATCH($A131,'CLM &amp; IM Mapping'!$A$2:$A$270,0)),"Not Mapped")</f>
        <v>Adhavan Subramani</v>
      </c>
      <c r="C131" s="63" t="str">
        <f aca="false">IFERROR(INDEX('CLM &amp; IM Mapping'!$C$2:$C$270,MATCH($A131,'CLM &amp; IM Mapping'!$A$2:$A$270,0)),"Not Mapped")</f>
        <v>Mohammed Akbar</v>
      </c>
      <c r="D131" s="64" t="n">
        <f aca="false">IFERROR(INDEX(Shrinkage!$P$2:$P$260,MATCH($A131,Shrinkage!$D$2:$D$260,0)),IFERROR(INDEX(Shrinkage!$P$2:$P$260,MATCH(SUBSTITUTE($A131," SS","  SS"),Shrinkage!$D$2:$D$260,0)),"NA"))</f>
        <v>22354</v>
      </c>
      <c r="E131" s="65" t="n">
        <f aca="false">IFERROR(INDEX('Inventory Hygiene'!$I$3:$I$254,MATCH($A131,'Inventory Hygiene'!$B$3:$B$254,0)),IFERROR(INDEX('Inventory Hygiene'!$I$3:$I$254,MATCH(SUBSTITUTE($A131," SS","  SS"),'Inventory Hygiene'!$B$3:$B$254,0)),"NA"))</f>
        <v>0.53</v>
      </c>
      <c r="F131" s="64" t="n">
        <f aca="false">IFERROR(INDEX('Bad Bins'!$K$3:$K$253,MATCH($A131,'Bad Bins'!$B$3:$B$253,0)),IFERROR(INDEX('Bad Bins'!$K$3:$K$253,MATCH(SUBSTITUTE($A131," SS","  SS"),'Bad Bins'!$B$3:$B$253,0)),"NA"))</f>
        <v>106</v>
      </c>
      <c r="G131" s="64" t="n">
        <f aca="false">IFERROR(INDEX('RSTO &gt; 48hrs'!$H$2:$H$134,MATCH($A131,'RSTO &gt; 48hrs'!$B$2:$B$134,0)),IFERROR(INDEX('RSTO &gt; 48hrs'!$H$2:$H$134,MATCH(SUBSTITUTE($A131," SS","  SS"),'RSTO &gt; 48hrs'!$B$2:$B$134,0)),"NA"))</f>
        <v>41</v>
      </c>
      <c r="H131" s="64" t="str">
        <f aca="false">IFERROR(INDEX('Recirculation &gt; 24 hrs'!$K$3:$K$151,MATCH($A131,'Recirculation &gt; 24 hrs'!$B$3:$B$151,0)),IFERROR(INDEX('Recirculation &gt; 24 hrs'!$K$3:$K$151,MATCH(SUBSTITUTE($A131," SS","  SS"),'Recirculation &gt; 24 hrs'!$B$3:$B$151,0)),"NA"))</f>
        <v>NA</v>
      </c>
      <c r="I131" s="64" t="n">
        <f aca="false">IFERROR(INDEX('Pending Putaway'!$E$2:$E$1537,MATCH($A131,'Pending Putaway'!$B$2:$B$1537,0)),IFERROR(INDEX('Pending Putaway'!$E$2:$E$1537,MATCH(SUBSTITUTE($A131," SS","  SS"),'Pending Putaway'!$B$2:$B$1537,0)),"NA"))</f>
        <v>2503</v>
      </c>
      <c r="J131" s="64" t="n">
        <f aca="false">IFERROR(INDEX('Pending Putaway'!$L$2:$L$1537,MATCH($A131,'Pending Putaway'!$B$2:$B$1537,0)),IFERROR(INDEX('Pending Putaway'!$L$2:$L$1537,MATCH(SUBSTITUTE($A131," SS","  SS"),'Pending Putaway'!$B$2:$B$1537,0)),"NA"))</f>
        <v>1797</v>
      </c>
    </row>
    <row r="132" customFormat="false" ht="15" hidden="false" customHeight="false" outlineLevel="0" collapsed="false">
      <c r="A132" s="63" t="s">
        <v>278</v>
      </c>
      <c r="B132" s="63" t="str">
        <f aca="false">IFERROR(INDEX('CLM &amp; IM Mapping'!$B$2:$B$270,MATCH($A132,'CLM &amp; IM Mapping'!$A$2:$A$270,0)),"Not Mapped")</f>
        <v>Adhavan Subramani</v>
      </c>
      <c r="C132" s="63" t="str">
        <f aca="false">IFERROR(INDEX('CLM &amp; IM Mapping'!$C$2:$C$270,MATCH($A132,'CLM &amp; IM Mapping'!$A$2:$A$270,0)),"Not Mapped")</f>
        <v>Mohammed Akbar</v>
      </c>
      <c r="D132" s="64" t="n">
        <f aca="false">IFERROR(INDEX(Shrinkage!$P$2:$P$260,MATCH($A132,Shrinkage!$D$2:$D$260,0)),IFERROR(INDEX(Shrinkage!$P$2:$P$260,MATCH(SUBSTITUTE($A132," SS","  SS"),Shrinkage!$D$2:$D$260,0)),"NA"))</f>
        <v>21949</v>
      </c>
      <c r="E132" s="65" t="n">
        <f aca="false">IFERROR(INDEX('Inventory Hygiene'!$I$3:$I$254,MATCH($A132,'Inventory Hygiene'!$B$3:$B$254,0)),IFERROR(INDEX('Inventory Hygiene'!$I$3:$I$254,MATCH(SUBSTITUTE($A132," SS","  SS"),'Inventory Hygiene'!$B$3:$B$254,0)),"NA"))</f>
        <v>0.32</v>
      </c>
      <c r="F132" s="64" t="n">
        <f aca="false">IFERROR(INDEX('Bad Bins'!$K$3:$K$253,MATCH($A132,'Bad Bins'!$B$3:$B$253,0)),IFERROR(INDEX('Bad Bins'!$K$3:$K$253,MATCH(SUBSTITUTE($A132," SS","  SS"),'Bad Bins'!$B$3:$B$253,0)),"NA"))</f>
        <v>103</v>
      </c>
      <c r="G132" s="64" t="n">
        <f aca="false">IFERROR(INDEX('RSTO &gt; 48hrs'!$H$2:$H$134,MATCH($A132,'RSTO &gt; 48hrs'!$B$2:$B$134,0)),IFERROR(INDEX('RSTO &gt; 48hrs'!$H$2:$H$134,MATCH(SUBSTITUTE($A132," SS","  SS"),'RSTO &gt; 48hrs'!$B$2:$B$134,0)),"NA"))</f>
        <v>1</v>
      </c>
      <c r="H132" s="64" t="n">
        <f aca="false">IFERROR(INDEX('Recirculation &gt; 24 hrs'!$K$3:$K$151,MATCH($A132,'Recirculation &gt; 24 hrs'!$B$3:$B$151,0)),IFERROR(INDEX('Recirculation &gt; 24 hrs'!$K$3:$K$151,MATCH(SUBSTITUTE($A132," SS","  SS"),'Recirculation &gt; 24 hrs'!$B$3:$B$151,0)),"NA"))</f>
        <v>5</v>
      </c>
      <c r="I132" s="64" t="n">
        <f aca="false">IFERROR(INDEX('Pending Putaway'!$E$2:$E$1537,MATCH($A132,'Pending Putaway'!$B$2:$B$1537,0)),IFERROR(INDEX('Pending Putaway'!$E$2:$E$1537,MATCH(SUBSTITUTE($A132," SS","  SS"),'Pending Putaway'!$B$2:$B$1537,0)),"NA"))</f>
        <v>1951</v>
      </c>
      <c r="J132" s="64" t="n">
        <f aca="false">IFERROR(INDEX('Pending Putaway'!$L$2:$L$1537,MATCH($A132,'Pending Putaway'!$B$2:$B$1537,0)),IFERROR(INDEX('Pending Putaway'!$L$2:$L$1537,MATCH(SUBSTITUTE($A132," SS","  SS"),'Pending Putaway'!$B$2:$B$1537,0)),"NA"))</f>
        <v>281</v>
      </c>
    </row>
    <row r="133" customFormat="false" ht="15" hidden="false" customHeight="false" outlineLevel="0" collapsed="false">
      <c r="A133" s="63" t="s">
        <v>275</v>
      </c>
      <c r="B133" s="63" t="str">
        <f aca="false">IFERROR(INDEX('CLM &amp; IM Mapping'!$B$2:$B$270,MATCH($A133,'CLM &amp; IM Mapping'!$A$2:$A$270,0)),"Not Mapped")</f>
        <v>Adhavan Subramani</v>
      </c>
      <c r="C133" s="63" t="str">
        <f aca="false">IFERROR(INDEX('CLM &amp; IM Mapping'!$C$2:$C$270,MATCH($A133,'CLM &amp; IM Mapping'!$A$2:$A$270,0)),"Not Mapped")</f>
        <v>Mohammed Akbar</v>
      </c>
      <c r="D133" s="64" t="n">
        <f aca="false">IFERROR(INDEX(Shrinkage!$P$2:$P$260,MATCH($A133,Shrinkage!$D$2:$D$260,0)),IFERROR(INDEX(Shrinkage!$P$2:$P$260,MATCH(SUBSTITUTE($A133," SS","  SS"),Shrinkage!$D$2:$D$260,0)),"NA"))</f>
        <v>24998</v>
      </c>
      <c r="E133" s="65" t="str">
        <f aca="false">IFERROR(INDEX('Inventory Hygiene'!$I$3:$I$254,MATCH($A133,'Inventory Hygiene'!$B$3:$B$254,0)),IFERROR(INDEX('Inventory Hygiene'!$I$3:$I$254,MATCH(SUBSTITUTE($A133," SS","  SS"),'Inventory Hygiene'!$B$3:$B$254,0)),"NA"))</f>
        <v>NA</v>
      </c>
      <c r="F133" s="64" t="str">
        <f aca="false">IFERROR(INDEX('Bad Bins'!$K$3:$K$253,MATCH($A133,'Bad Bins'!$B$3:$B$253,0)),IFERROR(INDEX('Bad Bins'!$K$3:$K$253,MATCH(SUBSTITUTE($A133," SS","  SS"),'Bad Bins'!$B$3:$B$253,0)),"NA"))</f>
        <v>NA</v>
      </c>
      <c r="G133" s="64" t="n">
        <f aca="false">IFERROR(INDEX('RSTO &gt; 48hrs'!$H$2:$H$134,MATCH($A133,'RSTO &gt; 48hrs'!$B$2:$B$134,0)),IFERROR(INDEX('RSTO &gt; 48hrs'!$H$2:$H$134,MATCH(SUBSTITUTE($A133," SS","  SS"),'RSTO &gt; 48hrs'!$B$2:$B$134,0)),"NA"))</f>
        <v>1632</v>
      </c>
      <c r="H133" s="64" t="n">
        <f aca="false">IFERROR(INDEX('Recirculation &gt; 24 hrs'!$K$3:$K$151,MATCH($A133,'Recirculation &gt; 24 hrs'!$B$3:$B$151,0)),IFERROR(INDEX('Recirculation &gt; 24 hrs'!$K$3:$K$151,MATCH(SUBSTITUTE($A133," SS","  SS"),'Recirculation &gt; 24 hrs'!$B$3:$B$151,0)),"NA"))</f>
        <v>10641</v>
      </c>
      <c r="I133" s="64" t="n">
        <f aca="false">IFERROR(INDEX('Pending Putaway'!$E$2:$E$1537,MATCH($A133,'Pending Putaway'!$B$2:$B$1537,0)),IFERROR(INDEX('Pending Putaway'!$E$2:$E$1537,MATCH(SUBSTITUTE($A133," SS","  SS"),'Pending Putaway'!$B$2:$B$1537,0)),"NA"))</f>
        <v>0</v>
      </c>
      <c r="J133" s="64" t="n">
        <f aca="false">IFERROR(INDEX('Pending Putaway'!$L$2:$L$1537,MATCH($A133,'Pending Putaway'!$B$2:$B$1537,0)),IFERROR(INDEX('Pending Putaway'!$L$2:$L$1537,MATCH(SUBSTITUTE($A133," SS","  SS"),'Pending Putaway'!$B$2:$B$1537,0)),"NA"))</f>
        <v>0</v>
      </c>
    </row>
    <row r="134" customFormat="false" ht="15" hidden="false" customHeight="false" outlineLevel="0" collapsed="false">
      <c r="A134" s="63" t="s">
        <v>197</v>
      </c>
      <c r="B134" s="63" t="str">
        <f aca="false">IFERROR(INDEX('CLM &amp; IM Mapping'!$B$2:$B$270,MATCH($A134,'CLM &amp; IM Mapping'!$A$2:$A$270,0)),"Not Mapped")</f>
        <v>Balaji G</v>
      </c>
      <c r="C134" s="63" t="str">
        <f aca="false">IFERROR(INDEX('CLM &amp; IM Mapping'!$C$2:$C$270,MATCH($A134,'CLM &amp; IM Mapping'!$A$2:$A$270,0)),"Not Mapped")</f>
        <v>Mohammed Akbar</v>
      </c>
      <c r="D134" s="64" t="n">
        <f aca="false">IFERROR(INDEX(Shrinkage!$P$2:$P$260,MATCH($A134,Shrinkage!$D$2:$D$260,0)),IFERROR(INDEX(Shrinkage!$P$2:$P$260,MATCH(SUBSTITUTE($A134," SS","  SS"),Shrinkage!$D$2:$D$260,0)),"NA"))</f>
        <v>-809</v>
      </c>
      <c r="E134" s="65" t="n">
        <f aca="false">IFERROR(INDEX('Inventory Hygiene'!$I$3:$I$254,MATCH($A134,'Inventory Hygiene'!$B$3:$B$254,0)),IFERROR(INDEX('Inventory Hygiene'!$I$3:$I$254,MATCH(SUBSTITUTE($A134," SS","  SS"),'Inventory Hygiene'!$B$3:$B$254,0)),"NA"))</f>
        <v>0.93</v>
      </c>
      <c r="F134" s="64" t="n">
        <f aca="false">IFERROR(INDEX('Bad Bins'!$K$3:$K$253,MATCH($A134,'Bad Bins'!$B$3:$B$253,0)),IFERROR(INDEX('Bad Bins'!$K$3:$K$253,MATCH(SUBSTITUTE($A134," SS","  SS"),'Bad Bins'!$B$3:$B$253,0)),"NA"))</f>
        <v>204</v>
      </c>
      <c r="G134" s="64" t="n">
        <f aca="false">IFERROR(INDEX('RSTO &gt; 48hrs'!$H$2:$H$134,MATCH($A134,'RSTO &gt; 48hrs'!$B$2:$B$134,0)),IFERROR(INDEX('RSTO &gt; 48hrs'!$H$2:$H$134,MATCH(SUBSTITUTE($A134," SS","  SS"),'RSTO &gt; 48hrs'!$B$2:$B$134,0)),"NA"))</f>
        <v>67</v>
      </c>
      <c r="H134" s="64" t="n">
        <f aca="false">IFERROR(INDEX('Recirculation &gt; 24 hrs'!$K$3:$K$151,MATCH($A134,'Recirculation &gt; 24 hrs'!$B$3:$B$151,0)),IFERROR(INDEX('Recirculation &gt; 24 hrs'!$K$3:$K$151,MATCH(SUBSTITUTE($A134," SS","  SS"),'Recirculation &gt; 24 hrs'!$B$3:$B$151,0)),"NA"))</f>
        <v>1509</v>
      </c>
      <c r="I134" s="64" t="n">
        <f aca="false">IFERROR(INDEX('Pending Putaway'!$E$2:$E$1537,MATCH($A134,'Pending Putaway'!$B$2:$B$1537,0)),IFERROR(INDEX('Pending Putaway'!$E$2:$E$1537,MATCH(SUBSTITUTE($A134," SS","  SS"),'Pending Putaway'!$B$2:$B$1537,0)),"NA"))</f>
        <v>0</v>
      </c>
      <c r="J134" s="64" t="n">
        <f aca="false">IFERROR(INDEX('Pending Putaway'!$L$2:$L$1537,MATCH($A134,'Pending Putaway'!$B$2:$B$1537,0)),IFERROR(INDEX('Pending Putaway'!$L$2:$L$1537,MATCH(SUBSTITUTE($A134," SS","  SS"),'Pending Putaway'!$B$2:$B$1537,0)),"NA"))</f>
        <v>0</v>
      </c>
    </row>
    <row r="135" customFormat="false" ht="15" hidden="false" customHeight="false" outlineLevel="0" collapsed="false">
      <c r="A135" s="63" t="s">
        <v>257</v>
      </c>
      <c r="B135" s="63" t="str">
        <f aca="false">IFERROR(INDEX('CLM &amp; IM Mapping'!$B$2:$B$270,MATCH($A135,'CLM &amp; IM Mapping'!$A$2:$A$270,0)),"Not Mapped")</f>
        <v>Balaji G</v>
      </c>
      <c r="C135" s="63" t="str">
        <f aca="false">IFERROR(INDEX('CLM &amp; IM Mapping'!$C$2:$C$270,MATCH($A135,'CLM &amp; IM Mapping'!$A$2:$A$270,0)),"Not Mapped")</f>
        <v>Mohammed Akbar</v>
      </c>
      <c r="D135" s="64" t="n">
        <f aca="false">IFERROR(INDEX(Shrinkage!$P$2:$P$260,MATCH($A135,Shrinkage!$D$2:$D$260,0)),IFERROR(INDEX(Shrinkage!$P$2:$P$260,MATCH(SUBSTITUTE($A135," SS","  SS"),Shrinkage!$D$2:$D$260,0)),"NA"))</f>
        <v>7689</v>
      </c>
      <c r="E135" s="65" t="n">
        <f aca="false">IFERROR(INDEX('Inventory Hygiene'!$I$3:$I$254,MATCH($A135,'Inventory Hygiene'!$B$3:$B$254,0)),IFERROR(INDEX('Inventory Hygiene'!$I$3:$I$254,MATCH(SUBSTITUTE($A135," SS","  SS"),'Inventory Hygiene'!$B$3:$B$254,0)),"NA"))</f>
        <v>0.83</v>
      </c>
      <c r="F135" s="64" t="n">
        <f aca="false">IFERROR(INDEX('Bad Bins'!$K$3:$K$253,MATCH($A135,'Bad Bins'!$B$3:$B$253,0)),IFERROR(INDEX('Bad Bins'!$K$3:$K$253,MATCH(SUBSTITUTE($A135," SS","  SS"),'Bad Bins'!$B$3:$B$253,0)),"NA"))</f>
        <v>132</v>
      </c>
      <c r="G135" s="64" t="n">
        <f aca="false">IFERROR(INDEX('RSTO &gt; 48hrs'!$H$2:$H$134,MATCH($A135,'RSTO &gt; 48hrs'!$B$2:$B$134,0)),IFERROR(INDEX('RSTO &gt; 48hrs'!$H$2:$H$134,MATCH(SUBSTITUTE($A135," SS","  SS"),'RSTO &gt; 48hrs'!$B$2:$B$134,0)),"NA"))</f>
        <v>3</v>
      </c>
      <c r="H135" s="64" t="str">
        <f aca="false">IFERROR(INDEX('Recirculation &gt; 24 hrs'!$K$3:$K$151,MATCH($A135,'Recirculation &gt; 24 hrs'!$B$3:$B$151,0)),IFERROR(INDEX('Recirculation &gt; 24 hrs'!$K$3:$K$151,MATCH(SUBSTITUTE($A135," SS","  SS"),'Recirculation &gt; 24 hrs'!$B$3:$B$151,0)),"NA"))</f>
        <v>NA</v>
      </c>
      <c r="I135" s="64" t="n">
        <f aca="false">IFERROR(INDEX('Pending Putaway'!$E$2:$E$1537,MATCH($A135,'Pending Putaway'!$B$2:$B$1537,0)),IFERROR(INDEX('Pending Putaway'!$E$2:$E$1537,MATCH(SUBSTITUTE($A135," SS","  SS"),'Pending Putaway'!$B$2:$B$1537,0)),"NA"))</f>
        <v>371</v>
      </c>
      <c r="J135" s="64" t="n">
        <f aca="false">IFERROR(INDEX('Pending Putaway'!$L$2:$L$1537,MATCH($A135,'Pending Putaway'!$B$2:$B$1537,0)),IFERROR(INDEX('Pending Putaway'!$L$2:$L$1537,MATCH(SUBSTITUTE($A135," SS","  SS"),'Pending Putaway'!$B$2:$B$1537,0)),"NA"))</f>
        <v>362</v>
      </c>
    </row>
    <row r="136" customFormat="false" ht="15" hidden="false" customHeight="false" outlineLevel="0" collapsed="false">
      <c r="A136" s="63" t="s">
        <v>236</v>
      </c>
      <c r="B136" s="63" t="str">
        <f aca="false">IFERROR(INDEX('CLM &amp; IM Mapping'!$B$2:$B$270,MATCH($A136,'CLM &amp; IM Mapping'!$A$2:$A$270,0)),"Not Mapped")</f>
        <v>Balaji G</v>
      </c>
      <c r="C136" s="63" t="str">
        <f aca="false">IFERROR(INDEX('CLM &amp; IM Mapping'!$C$2:$C$270,MATCH($A136,'CLM &amp; IM Mapping'!$A$2:$A$270,0)),"Not Mapped")</f>
        <v>Mohammed Akbar</v>
      </c>
      <c r="D136" s="64" t="n">
        <f aca="false">IFERROR(INDEX(Shrinkage!$P$2:$P$260,MATCH($A136,Shrinkage!$D$2:$D$260,0)),IFERROR(INDEX(Shrinkage!$P$2:$P$260,MATCH(SUBSTITUTE($A136," SS","  SS"),Shrinkage!$D$2:$D$260,0)),"NA"))</f>
        <v>43571</v>
      </c>
      <c r="E136" s="65" t="n">
        <f aca="false">IFERROR(INDEX('Inventory Hygiene'!$I$3:$I$254,MATCH($A136,'Inventory Hygiene'!$B$3:$B$254,0)),IFERROR(INDEX('Inventory Hygiene'!$I$3:$I$254,MATCH(SUBSTITUTE($A136," SS","  SS"),'Inventory Hygiene'!$B$3:$B$254,0)),"NA"))</f>
        <v>0.42</v>
      </c>
      <c r="F136" s="64" t="n">
        <f aca="false">IFERROR(INDEX('Bad Bins'!$K$3:$K$253,MATCH($A136,'Bad Bins'!$B$3:$B$253,0)),IFERROR(INDEX('Bad Bins'!$K$3:$K$253,MATCH(SUBSTITUTE($A136," SS","  SS"),'Bad Bins'!$B$3:$B$253,0)),"NA"))</f>
        <v>111</v>
      </c>
      <c r="G136" s="64" t="n">
        <f aca="false">IFERROR(INDEX('RSTO &gt; 48hrs'!$H$2:$H$134,MATCH($A136,'RSTO &gt; 48hrs'!$B$2:$B$134,0)),IFERROR(INDEX('RSTO &gt; 48hrs'!$H$2:$H$134,MATCH(SUBSTITUTE($A136," SS","  SS"),'RSTO &gt; 48hrs'!$B$2:$B$134,0)),"NA"))</f>
        <v>6</v>
      </c>
      <c r="H136" s="64" t="str">
        <f aca="false">IFERROR(INDEX('Recirculation &gt; 24 hrs'!$K$3:$K$151,MATCH($A136,'Recirculation &gt; 24 hrs'!$B$3:$B$151,0)),IFERROR(INDEX('Recirculation &gt; 24 hrs'!$K$3:$K$151,MATCH(SUBSTITUTE($A136," SS","  SS"),'Recirculation &gt; 24 hrs'!$B$3:$B$151,0)),"NA"))</f>
        <v>NA</v>
      </c>
      <c r="I136" s="64" t="n">
        <f aca="false">IFERROR(INDEX('Pending Putaway'!$E$2:$E$1537,MATCH($A136,'Pending Putaway'!$B$2:$B$1537,0)),IFERROR(INDEX('Pending Putaway'!$E$2:$E$1537,MATCH(SUBSTITUTE($A136," SS","  SS"),'Pending Putaway'!$B$2:$B$1537,0)),"NA"))</f>
        <v>1600</v>
      </c>
      <c r="J136" s="64" t="n">
        <f aca="false">IFERROR(INDEX('Pending Putaway'!$L$2:$L$1537,MATCH($A136,'Pending Putaway'!$B$2:$B$1537,0)),IFERROR(INDEX('Pending Putaway'!$L$2:$L$1537,MATCH(SUBSTITUTE($A136," SS","  SS"),'Pending Putaway'!$B$2:$B$1537,0)),"NA"))</f>
        <v>178</v>
      </c>
    </row>
    <row r="137" customFormat="false" ht="15" hidden="false" customHeight="false" outlineLevel="0" collapsed="false">
      <c r="A137" s="63" t="s">
        <v>224</v>
      </c>
      <c r="B137" s="63" t="str">
        <f aca="false">IFERROR(INDEX('CLM &amp; IM Mapping'!$B$2:$B$270,MATCH($A137,'CLM &amp; IM Mapping'!$A$2:$A$270,0)),"Not Mapped")</f>
        <v>Balaji G</v>
      </c>
      <c r="C137" s="63" t="str">
        <f aca="false">IFERROR(INDEX('CLM &amp; IM Mapping'!$C$2:$C$270,MATCH($A137,'CLM &amp; IM Mapping'!$A$2:$A$270,0)),"Not Mapped")</f>
        <v>Mohammed Akbar</v>
      </c>
      <c r="D137" s="64" t="n">
        <f aca="false">IFERROR(INDEX(Shrinkage!$P$2:$P$260,MATCH($A137,Shrinkage!$D$2:$D$260,0)),IFERROR(INDEX(Shrinkage!$P$2:$P$260,MATCH(SUBSTITUTE($A137," SS","  SS"),Shrinkage!$D$2:$D$260,0)),"NA"))</f>
        <v>-5403</v>
      </c>
      <c r="E137" s="65" t="n">
        <f aca="false">IFERROR(INDEX('Inventory Hygiene'!$I$3:$I$254,MATCH($A137,'Inventory Hygiene'!$B$3:$B$254,0)),IFERROR(INDEX('Inventory Hygiene'!$I$3:$I$254,MATCH(SUBSTITUTE($A137," SS","  SS"),'Inventory Hygiene'!$B$3:$B$254,0)),"NA"))</f>
        <v>0.72</v>
      </c>
      <c r="F137" s="64" t="n">
        <f aca="false">IFERROR(INDEX('Bad Bins'!$K$3:$K$253,MATCH($A137,'Bad Bins'!$B$3:$B$253,0)),IFERROR(INDEX('Bad Bins'!$K$3:$K$253,MATCH(SUBSTITUTE($A137," SS","  SS"),'Bad Bins'!$B$3:$B$253,0)),"NA"))</f>
        <v>138</v>
      </c>
      <c r="G137" s="64" t="n">
        <f aca="false">IFERROR(INDEX('RSTO &gt; 48hrs'!$H$2:$H$134,MATCH($A137,'RSTO &gt; 48hrs'!$B$2:$B$134,0)),IFERROR(INDEX('RSTO &gt; 48hrs'!$H$2:$H$134,MATCH(SUBSTITUTE($A137," SS","  SS"),'RSTO &gt; 48hrs'!$B$2:$B$134,0)),"NA"))</f>
        <v>10</v>
      </c>
      <c r="H137" s="64" t="n">
        <f aca="false">IFERROR(INDEX('Recirculation &gt; 24 hrs'!$K$3:$K$151,MATCH($A137,'Recirculation &gt; 24 hrs'!$B$3:$B$151,0)),IFERROR(INDEX('Recirculation &gt; 24 hrs'!$K$3:$K$151,MATCH(SUBSTITUTE($A137," SS","  SS"),'Recirculation &gt; 24 hrs'!$B$3:$B$151,0)),"NA"))</f>
        <v>477</v>
      </c>
      <c r="I137" s="64" t="n">
        <f aca="false">IFERROR(INDEX('Pending Putaway'!$E$2:$E$1537,MATCH($A137,'Pending Putaway'!$B$2:$B$1537,0)),IFERROR(INDEX('Pending Putaway'!$E$2:$E$1537,MATCH(SUBSTITUTE($A137," SS","  SS"),'Pending Putaway'!$B$2:$B$1537,0)),"NA"))</f>
        <v>1462</v>
      </c>
      <c r="J137" s="64" t="n">
        <f aca="false">IFERROR(INDEX('Pending Putaway'!$L$2:$L$1537,MATCH($A137,'Pending Putaway'!$B$2:$B$1537,0)),IFERROR(INDEX('Pending Putaway'!$L$2:$L$1537,MATCH(SUBSTITUTE($A137," SS","  SS"),'Pending Putaway'!$B$2:$B$1537,0)),"NA"))</f>
        <v>0</v>
      </c>
    </row>
    <row r="138" customFormat="false" ht="15" hidden="false" customHeight="false" outlineLevel="0" collapsed="false">
      <c r="A138" s="63" t="s">
        <v>37</v>
      </c>
      <c r="B138" s="63" t="str">
        <f aca="false">IFERROR(INDEX('CLM &amp; IM Mapping'!$B$2:$B$270,MATCH($A138,'CLM &amp; IM Mapping'!$A$2:$A$270,0)),"Not Mapped")</f>
        <v>Balaji G</v>
      </c>
      <c r="C138" s="63" t="str">
        <f aca="false">IFERROR(INDEX('CLM &amp; IM Mapping'!$C$2:$C$270,MATCH($A138,'CLM &amp; IM Mapping'!$A$2:$A$270,0)),"Not Mapped")</f>
        <v>Mohammed Akbar</v>
      </c>
      <c r="D138" s="64" t="n">
        <f aca="false">IFERROR(INDEX(Shrinkage!$P$2:$P$260,MATCH($A138,Shrinkage!$D$2:$D$260,0)),IFERROR(INDEX(Shrinkage!$P$2:$P$260,MATCH(SUBSTITUTE($A138," SS","  SS"),Shrinkage!$D$2:$D$260,0)),"NA"))</f>
        <v>7536</v>
      </c>
      <c r="E138" s="65" t="n">
        <f aca="false">IFERROR(INDEX('Inventory Hygiene'!$I$3:$I$254,MATCH($A138,'Inventory Hygiene'!$B$3:$B$254,0)),IFERROR(INDEX('Inventory Hygiene'!$I$3:$I$254,MATCH(SUBSTITUTE($A138," SS","  SS"),'Inventory Hygiene'!$B$3:$B$254,0)),"NA"))</f>
        <v>0.58</v>
      </c>
      <c r="F138" s="64" t="n">
        <f aca="false">IFERROR(INDEX('Bad Bins'!$K$3:$K$253,MATCH($A138,'Bad Bins'!$B$3:$B$253,0)),IFERROR(INDEX('Bad Bins'!$K$3:$K$253,MATCH(SUBSTITUTE($A138," SS","  SS"),'Bad Bins'!$B$3:$B$253,0)),"NA"))</f>
        <v>141</v>
      </c>
      <c r="G138" s="64" t="str">
        <f aca="false">IFERROR(INDEX('RSTO &gt; 48hrs'!$H$2:$H$134,MATCH($A138,'RSTO &gt; 48hrs'!$B$2:$B$134,0)),IFERROR(INDEX('RSTO &gt; 48hrs'!$H$2:$H$134,MATCH(SUBSTITUTE($A138," SS","  SS"),'RSTO &gt; 48hrs'!$B$2:$B$134,0)),"NA"))</f>
        <v>NA</v>
      </c>
      <c r="H138" s="64" t="str">
        <f aca="false">IFERROR(INDEX('Recirculation &gt; 24 hrs'!$K$3:$K$151,MATCH($A138,'Recirculation &gt; 24 hrs'!$B$3:$B$151,0)),IFERROR(INDEX('Recirculation &gt; 24 hrs'!$K$3:$K$151,MATCH(SUBSTITUTE($A138," SS","  SS"),'Recirculation &gt; 24 hrs'!$B$3:$B$151,0)),"NA"))</f>
        <v>NA</v>
      </c>
      <c r="I138" s="64" t="n">
        <f aca="false">IFERROR(INDEX('Pending Putaway'!$E$2:$E$1537,MATCH($A138,'Pending Putaway'!$B$2:$B$1537,0)),IFERROR(INDEX('Pending Putaway'!$E$2:$E$1537,MATCH(SUBSTITUTE($A138," SS","  SS"),'Pending Putaway'!$B$2:$B$1537,0)),"NA"))</f>
        <v>3325</v>
      </c>
      <c r="J138" s="64" t="n">
        <f aca="false">IFERROR(INDEX('Pending Putaway'!$L$2:$L$1537,MATCH($A138,'Pending Putaway'!$B$2:$B$1537,0)),IFERROR(INDEX('Pending Putaway'!$L$2:$L$1537,MATCH(SUBSTITUTE($A138," SS","  SS"),'Pending Putaway'!$B$2:$B$1537,0)),"NA"))</f>
        <v>1</v>
      </c>
    </row>
    <row r="139" customFormat="false" ht="15" hidden="false" customHeight="false" outlineLevel="0" collapsed="false">
      <c r="A139" s="63" t="s">
        <v>221</v>
      </c>
      <c r="B139" s="63" t="str">
        <f aca="false">IFERROR(INDEX('CLM &amp; IM Mapping'!$B$2:$B$270,MATCH($A139,'CLM &amp; IM Mapping'!$A$2:$A$270,0)),"Not Mapped")</f>
        <v>Balaji G</v>
      </c>
      <c r="C139" s="63" t="str">
        <f aca="false">IFERROR(INDEX('CLM &amp; IM Mapping'!$C$2:$C$270,MATCH($A139,'CLM &amp; IM Mapping'!$A$2:$A$270,0)),"Not Mapped")</f>
        <v>Mohammed Akbar</v>
      </c>
      <c r="D139" s="64" t="n">
        <f aca="false">IFERROR(INDEX(Shrinkage!$P$2:$P$260,MATCH($A139,Shrinkage!$D$2:$D$260,0)),IFERROR(INDEX(Shrinkage!$P$2:$P$260,MATCH(SUBSTITUTE($A139," SS","  SS"),Shrinkage!$D$2:$D$260,0)),"NA"))</f>
        <v>-6720</v>
      </c>
      <c r="E139" s="65" t="n">
        <f aca="false">IFERROR(INDEX('Inventory Hygiene'!$I$3:$I$254,MATCH($A139,'Inventory Hygiene'!$B$3:$B$254,0)),IFERROR(INDEX('Inventory Hygiene'!$I$3:$I$254,MATCH(SUBSTITUTE($A139," SS","  SS"),'Inventory Hygiene'!$B$3:$B$254,0)),"NA"))</f>
        <v>0.92</v>
      </c>
      <c r="F139" s="64" t="n">
        <f aca="false">IFERROR(INDEX('Bad Bins'!$K$3:$K$253,MATCH($A139,'Bad Bins'!$B$3:$B$253,0)),IFERROR(INDEX('Bad Bins'!$K$3:$K$253,MATCH(SUBSTITUTE($A139," SS","  SS"),'Bad Bins'!$B$3:$B$253,0)),"NA"))</f>
        <v>17</v>
      </c>
      <c r="G139" s="64" t="n">
        <f aca="false">IFERROR(INDEX('RSTO &gt; 48hrs'!$H$2:$H$134,MATCH($A139,'RSTO &gt; 48hrs'!$B$2:$B$134,0)),IFERROR(INDEX('RSTO &gt; 48hrs'!$H$2:$H$134,MATCH(SUBSTITUTE($A139," SS","  SS"),'RSTO &gt; 48hrs'!$B$2:$B$134,0)),"NA"))</f>
        <v>13</v>
      </c>
      <c r="H139" s="64" t="str">
        <f aca="false">IFERROR(INDEX('Recirculation &gt; 24 hrs'!$K$3:$K$151,MATCH($A139,'Recirculation &gt; 24 hrs'!$B$3:$B$151,0)),IFERROR(INDEX('Recirculation &gt; 24 hrs'!$K$3:$K$151,MATCH(SUBSTITUTE($A139," SS","  SS"),'Recirculation &gt; 24 hrs'!$B$3:$B$151,0)),"NA"))</f>
        <v>NA</v>
      </c>
      <c r="I139" s="64" t="n">
        <f aca="false">IFERROR(INDEX('Pending Putaway'!$E$2:$E$1537,MATCH($A139,'Pending Putaway'!$B$2:$B$1537,0)),IFERROR(INDEX('Pending Putaway'!$E$2:$E$1537,MATCH(SUBSTITUTE($A139," SS","  SS"),'Pending Putaway'!$B$2:$B$1537,0)),"NA"))</f>
        <v>0</v>
      </c>
      <c r="J139" s="64" t="n">
        <f aca="false">IFERROR(INDEX('Pending Putaway'!$L$2:$L$1537,MATCH($A139,'Pending Putaway'!$B$2:$B$1537,0)),IFERROR(INDEX('Pending Putaway'!$L$2:$L$1537,MATCH(SUBSTITUTE($A139," SS","  SS"),'Pending Putaway'!$B$2:$B$1537,0)),"NA"))</f>
        <v>0</v>
      </c>
    </row>
    <row r="140" customFormat="false" ht="15" hidden="false" customHeight="false" outlineLevel="0" collapsed="false">
      <c r="A140" s="63" t="s">
        <v>182</v>
      </c>
      <c r="B140" s="63" t="str">
        <f aca="false">IFERROR(INDEX('CLM &amp; IM Mapping'!$B$2:$B$270,MATCH($A140,'CLM &amp; IM Mapping'!$A$2:$A$270,0)),"Not Mapped")</f>
        <v>Balaji G</v>
      </c>
      <c r="C140" s="63" t="str">
        <f aca="false">IFERROR(INDEX('CLM &amp; IM Mapping'!$C$2:$C$270,MATCH($A140,'CLM &amp; IM Mapping'!$A$2:$A$270,0)),"Not Mapped")</f>
        <v>Mohammed Akbar</v>
      </c>
      <c r="D140" s="64" t="n">
        <f aca="false">IFERROR(INDEX(Shrinkage!$P$2:$P$260,MATCH($A140,Shrinkage!$D$2:$D$260,0)),IFERROR(INDEX(Shrinkage!$P$2:$P$260,MATCH(SUBSTITUTE($A140," SS","  SS"),Shrinkage!$D$2:$D$260,0)),"NA"))</f>
        <v>-1467</v>
      </c>
      <c r="E140" s="65" t="n">
        <f aca="false">IFERROR(INDEX('Inventory Hygiene'!$I$3:$I$254,MATCH($A140,'Inventory Hygiene'!$B$3:$B$254,0)),IFERROR(INDEX('Inventory Hygiene'!$I$3:$I$254,MATCH(SUBSTITUTE($A140," SS","  SS"),'Inventory Hygiene'!$B$3:$B$254,0)),"NA"))</f>
        <v>0.75</v>
      </c>
      <c r="F140" s="64" t="n">
        <f aca="false">IFERROR(INDEX('Bad Bins'!$K$3:$K$253,MATCH($A140,'Bad Bins'!$B$3:$B$253,0)),IFERROR(INDEX('Bad Bins'!$K$3:$K$253,MATCH(SUBSTITUTE($A140," SS","  SS"),'Bad Bins'!$B$3:$B$253,0)),"NA"))</f>
        <v>54</v>
      </c>
      <c r="G140" s="64" t="n">
        <f aca="false">IFERROR(INDEX('RSTO &gt; 48hrs'!$H$2:$H$134,MATCH($A140,'RSTO &gt; 48hrs'!$B$2:$B$134,0)),IFERROR(INDEX('RSTO &gt; 48hrs'!$H$2:$H$134,MATCH(SUBSTITUTE($A140," SS","  SS"),'RSTO &gt; 48hrs'!$B$2:$B$134,0)),"NA"))</f>
        <v>2</v>
      </c>
      <c r="H140" s="64" t="str">
        <f aca="false">IFERROR(INDEX('Recirculation &gt; 24 hrs'!$K$3:$K$151,MATCH($A140,'Recirculation &gt; 24 hrs'!$B$3:$B$151,0)),IFERROR(INDEX('Recirculation &gt; 24 hrs'!$K$3:$K$151,MATCH(SUBSTITUTE($A140," SS","  SS"),'Recirculation &gt; 24 hrs'!$B$3:$B$151,0)),"NA"))</f>
        <v>NA</v>
      </c>
      <c r="I140" s="64" t="n">
        <f aca="false">IFERROR(INDEX('Pending Putaway'!$E$2:$E$1537,MATCH($A140,'Pending Putaway'!$B$2:$B$1537,0)),IFERROR(INDEX('Pending Putaway'!$E$2:$E$1537,MATCH(SUBSTITUTE($A140," SS","  SS"),'Pending Putaway'!$B$2:$B$1537,0)),"NA"))</f>
        <v>0</v>
      </c>
      <c r="J140" s="64" t="n">
        <f aca="false">IFERROR(INDEX('Pending Putaway'!$L$2:$L$1537,MATCH($A140,'Pending Putaway'!$B$2:$B$1537,0)),IFERROR(INDEX('Pending Putaway'!$L$2:$L$1537,MATCH(SUBSTITUTE($A140," SS","  SS"),'Pending Putaway'!$B$2:$B$1537,0)),"NA"))</f>
        <v>0</v>
      </c>
    </row>
    <row r="141" customFormat="false" ht="15" hidden="false" customHeight="false" outlineLevel="0" collapsed="false">
      <c r="A141" s="63" t="s">
        <v>74</v>
      </c>
      <c r="B141" s="63" t="str">
        <f aca="false">IFERROR(INDEX('CLM &amp; IM Mapping'!$B$2:$B$270,MATCH($A141,'CLM &amp; IM Mapping'!$A$2:$A$270,0)),"Not Mapped")</f>
        <v>Balaji G</v>
      </c>
      <c r="C141" s="63" t="str">
        <f aca="false">IFERROR(INDEX('CLM &amp; IM Mapping'!$C$2:$C$270,MATCH($A141,'CLM &amp; IM Mapping'!$A$2:$A$270,0)),"Not Mapped")</f>
        <v>Mohammed Akbar</v>
      </c>
      <c r="D141" s="64" t="n">
        <f aca="false">IFERROR(INDEX(Shrinkage!$P$2:$P$260,MATCH($A141,Shrinkage!$D$2:$D$260,0)),IFERROR(INDEX(Shrinkage!$P$2:$P$260,MATCH(SUBSTITUTE($A141," SS","  SS"),Shrinkage!$D$2:$D$260,0)),"NA"))</f>
        <v>-11314</v>
      </c>
      <c r="E141" s="65" t="n">
        <f aca="false">IFERROR(INDEX('Inventory Hygiene'!$I$3:$I$254,MATCH($A141,'Inventory Hygiene'!$B$3:$B$254,0)),IFERROR(INDEX('Inventory Hygiene'!$I$3:$I$254,MATCH(SUBSTITUTE($A141," SS","  SS"),'Inventory Hygiene'!$B$3:$B$254,0)),"NA"))</f>
        <v>0.91</v>
      </c>
      <c r="F141" s="64" t="n">
        <f aca="false">IFERROR(INDEX('Bad Bins'!$K$3:$K$253,MATCH($A141,'Bad Bins'!$B$3:$B$253,0)),IFERROR(INDEX('Bad Bins'!$K$3:$K$253,MATCH(SUBSTITUTE($A141," SS","  SS"),'Bad Bins'!$B$3:$B$253,0)),"NA"))</f>
        <v>201</v>
      </c>
      <c r="G141" s="64" t="str">
        <f aca="false">IFERROR(INDEX('RSTO &gt; 48hrs'!$H$2:$H$134,MATCH($A141,'RSTO &gt; 48hrs'!$B$2:$B$134,0)),IFERROR(INDEX('RSTO &gt; 48hrs'!$H$2:$H$134,MATCH(SUBSTITUTE($A141," SS","  SS"),'RSTO &gt; 48hrs'!$B$2:$B$134,0)),"NA"))</f>
        <v>NA</v>
      </c>
      <c r="H141" s="64" t="str">
        <f aca="false">IFERROR(INDEX('Recirculation &gt; 24 hrs'!$K$3:$K$151,MATCH($A141,'Recirculation &gt; 24 hrs'!$B$3:$B$151,0)),IFERROR(INDEX('Recirculation &gt; 24 hrs'!$K$3:$K$151,MATCH(SUBSTITUTE($A141," SS","  SS"),'Recirculation &gt; 24 hrs'!$B$3:$B$151,0)),"NA"))</f>
        <v>NA</v>
      </c>
      <c r="I141" s="64" t="n">
        <f aca="false">IFERROR(INDEX('Pending Putaway'!$E$2:$E$1537,MATCH($A141,'Pending Putaway'!$B$2:$B$1537,0)),IFERROR(INDEX('Pending Putaway'!$E$2:$E$1537,MATCH(SUBSTITUTE($A141," SS","  SS"),'Pending Putaway'!$B$2:$B$1537,0)),"NA"))</f>
        <v>1918</v>
      </c>
      <c r="J141" s="64" t="n">
        <f aca="false">IFERROR(INDEX('Pending Putaway'!$L$2:$L$1537,MATCH($A141,'Pending Putaway'!$B$2:$B$1537,0)),IFERROR(INDEX('Pending Putaway'!$L$2:$L$1537,MATCH(SUBSTITUTE($A141," SS","  SS"),'Pending Putaway'!$B$2:$B$1537,0)),"NA"))</f>
        <v>0</v>
      </c>
    </row>
    <row r="142" customFormat="false" ht="15" hidden="false" customHeight="false" outlineLevel="0" collapsed="false">
      <c r="A142" s="63" t="s">
        <v>178</v>
      </c>
      <c r="B142" s="63" t="str">
        <f aca="false">IFERROR(INDEX('CLM &amp; IM Mapping'!$B$2:$B$270,MATCH($A142,'CLM &amp; IM Mapping'!$A$2:$A$270,0)),"Not Mapped")</f>
        <v>Balaji G</v>
      </c>
      <c r="C142" s="63" t="str">
        <f aca="false">IFERROR(INDEX('CLM &amp; IM Mapping'!$C$2:$C$270,MATCH($A142,'CLM &amp; IM Mapping'!$A$2:$A$270,0)),"Not Mapped")</f>
        <v>Mohammed Akbar</v>
      </c>
      <c r="D142" s="64" t="n">
        <f aca="false">IFERROR(INDEX(Shrinkage!$P$2:$P$260,MATCH($A142,Shrinkage!$D$2:$D$260,0)),IFERROR(INDEX(Shrinkage!$P$2:$P$260,MATCH(SUBSTITUTE($A142," SS","  SS"),Shrinkage!$D$2:$D$260,0)),"NA"))</f>
        <v>40242</v>
      </c>
      <c r="E142" s="65" t="n">
        <f aca="false">IFERROR(INDEX('Inventory Hygiene'!$I$3:$I$254,MATCH($A142,'Inventory Hygiene'!$B$3:$B$254,0)),IFERROR(INDEX('Inventory Hygiene'!$I$3:$I$254,MATCH(SUBSTITUTE($A142," SS","  SS"),'Inventory Hygiene'!$B$3:$B$254,0)),"NA"))</f>
        <v>0.82</v>
      </c>
      <c r="F142" s="64" t="n">
        <f aca="false">IFERROR(INDEX('Bad Bins'!$K$3:$K$253,MATCH($A142,'Bad Bins'!$B$3:$B$253,0)),IFERROR(INDEX('Bad Bins'!$K$3:$K$253,MATCH(SUBSTITUTE($A142," SS","  SS"),'Bad Bins'!$B$3:$B$253,0)),"NA"))</f>
        <v>170</v>
      </c>
      <c r="G142" s="64" t="n">
        <f aca="false">IFERROR(INDEX('RSTO &gt; 48hrs'!$H$2:$H$134,MATCH($A142,'RSTO &gt; 48hrs'!$B$2:$B$134,0)),IFERROR(INDEX('RSTO &gt; 48hrs'!$H$2:$H$134,MATCH(SUBSTITUTE($A142," SS","  SS"),'RSTO &gt; 48hrs'!$B$2:$B$134,0)),"NA"))</f>
        <v>7</v>
      </c>
      <c r="H142" s="64" t="str">
        <f aca="false">IFERROR(INDEX('Recirculation &gt; 24 hrs'!$K$3:$K$151,MATCH($A142,'Recirculation &gt; 24 hrs'!$B$3:$B$151,0)),IFERROR(INDEX('Recirculation &gt; 24 hrs'!$K$3:$K$151,MATCH(SUBSTITUTE($A142," SS","  SS"),'Recirculation &gt; 24 hrs'!$B$3:$B$151,0)),"NA"))</f>
        <v>NA</v>
      </c>
      <c r="I142" s="64" t="n">
        <f aca="false">IFERROR(INDEX('Pending Putaway'!$E$2:$E$1537,MATCH($A142,'Pending Putaway'!$B$2:$B$1537,0)),IFERROR(INDEX('Pending Putaway'!$E$2:$E$1537,MATCH(SUBSTITUTE($A142," SS","  SS"),'Pending Putaway'!$B$2:$B$1537,0)),"NA"))</f>
        <v>0</v>
      </c>
      <c r="J142" s="64" t="n">
        <f aca="false">IFERROR(INDEX('Pending Putaway'!$L$2:$L$1537,MATCH($A142,'Pending Putaway'!$B$2:$B$1537,0)),IFERROR(INDEX('Pending Putaway'!$L$2:$L$1537,MATCH(SUBSTITUTE($A142," SS","  SS"),'Pending Putaway'!$B$2:$B$1537,0)),"NA"))</f>
        <v>0</v>
      </c>
    </row>
    <row r="143" customFormat="false" ht="15" hidden="false" customHeight="false" outlineLevel="0" collapsed="false">
      <c r="A143" s="63" t="s">
        <v>324</v>
      </c>
      <c r="B143" s="63" t="str">
        <f aca="false">IFERROR(INDEX('CLM &amp; IM Mapping'!$B$2:$B$270,MATCH($A143,'CLM &amp; IM Mapping'!$A$2:$A$270,0)),"Not Mapped")</f>
        <v>Balaji G</v>
      </c>
      <c r="C143" s="63" t="str">
        <f aca="false">IFERROR(INDEX('CLM &amp; IM Mapping'!$C$2:$C$270,MATCH($A143,'CLM &amp; IM Mapping'!$A$2:$A$270,0)),"Not Mapped")</f>
        <v>Mohammed Akbar</v>
      </c>
      <c r="D143" s="64" t="str">
        <f aca="false">IFERROR(INDEX(Shrinkage!$P$2:$P$260,MATCH($A143,Shrinkage!$D$2:$D$260,0)),IFERROR(INDEX(Shrinkage!$P$2:$P$260,MATCH(SUBSTITUTE($A143," SS","  SS"),Shrinkage!$D$2:$D$260,0)),"NA"))</f>
        <v>NA</v>
      </c>
      <c r="E143" s="65" t="str">
        <f aca="false">IFERROR(INDEX('Inventory Hygiene'!$I$3:$I$254,MATCH($A143,'Inventory Hygiene'!$B$3:$B$254,0)),IFERROR(INDEX('Inventory Hygiene'!$I$3:$I$254,MATCH(SUBSTITUTE($A143," SS","  SS"),'Inventory Hygiene'!$B$3:$B$254,0)),"NA"))</f>
        <v>NA</v>
      </c>
      <c r="F143" s="64" t="str">
        <f aca="false">IFERROR(INDEX('Bad Bins'!$K$3:$K$253,MATCH($A143,'Bad Bins'!$B$3:$B$253,0)),IFERROR(INDEX('Bad Bins'!$K$3:$K$253,MATCH(SUBSTITUTE($A143," SS","  SS"),'Bad Bins'!$B$3:$B$253,0)),"NA"))</f>
        <v>NA</v>
      </c>
      <c r="G143" s="64" t="str">
        <f aca="false">IFERROR(INDEX('RSTO &gt; 48hrs'!$H$2:$H$134,MATCH($A143,'RSTO &gt; 48hrs'!$B$2:$B$134,0)),IFERROR(INDEX('RSTO &gt; 48hrs'!$H$2:$H$134,MATCH(SUBSTITUTE($A143," SS","  SS"),'RSTO &gt; 48hrs'!$B$2:$B$134,0)),"NA"))</f>
        <v>NA</v>
      </c>
      <c r="H143" s="64" t="str">
        <f aca="false">IFERROR(INDEX('Recirculation &gt; 24 hrs'!$K$3:$K$151,MATCH($A143,'Recirculation &gt; 24 hrs'!$B$3:$B$151,0)),IFERROR(INDEX('Recirculation &gt; 24 hrs'!$K$3:$K$151,MATCH(SUBSTITUTE($A143," SS","  SS"),'Recirculation &gt; 24 hrs'!$B$3:$B$151,0)),"NA"))</f>
        <v>NA</v>
      </c>
      <c r="I143" s="64" t="str">
        <f aca="false">IFERROR(INDEX('Pending Putaway'!$E$2:$E$1537,MATCH($A143,'Pending Putaway'!$B$2:$B$1537,0)),IFERROR(INDEX('Pending Putaway'!$E$2:$E$1537,MATCH(SUBSTITUTE($A143," SS","  SS"),'Pending Putaway'!$B$2:$B$1537,0)),"NA"))</f>
        <v>NA</v>
      </c>
      <c r="J143" s="64" t="str">
        <f aca="false">IFERROR(INDEX('Pending Putaway'!$L$2:$L$1537,MATCH($A143,'Pending Putaway'!$B$2:$B$1537,0)),IFERROR(INDEX('Pending Putaway'!$L$2:$L$1537,MATCH(SUBSTITUTE($A143," SS","  SS"),'Pending Putaway'!$B$2:$B$1537,0)),"NA"))</f>
        <v>NA</v>
      </c>
    </row>
    <row r="144" customFormat="false" ht="15" hidden="false" customHeight="false" outlineLevel="0" collapsed="false">
      <c r="A144" s="63" t="s">
        <v>118</v>
      </c>
      <c r="B144" s="63" t="str">
        <f aca="false">IFERROR(INDEX('CLM &amp; IM Mapping'!$B$2:$B$270,MATCH($A144,'CLM &amp; IM Mapping'!$A$2:$A$270,0)),"Not Mapped")</f>
        <v>Balaji G</v>
      </c>
      <c r="C144" s="63" t="str">
        <f aca="false">IFERROR(INDEX('CLM &amp; IM Mapping'!$C$2:$C$270,MATCH($A144,'CLM &amp; IM Mapping'!$A$2:$A$270,0)),"Not Mapped")</f>
        <v>Mohammed Akbar</v>
      </c>
      <c r="D144" s="64" t="n">
        <f aca="false">IFERROR(INDEX(Shrinkage!$P$2:$P$260,MATCH($A144,Shrinkage!$D$2:$D$260,0)),IFERROR(INDEX(Shrinkage!$P$2:$P$260,MATCH(SUBSTITUTE($A144," SS","  SS"),Shrinkage!$D$2:$D$260,0)),"NA"))</f>
        <v>-22597</v>
      </c>
      <c r="E144" s="65" t="n">
        <f aca="false">IFERROR(INDEX('Inventory Hygiene'!$I$3:$I$254,MATCH($A144,'Inventory Hygiene'!$B$3:$B$254,0)),IFERROR(INDEX('Inventory Hygiene'!$I$3:$I$254,MATCH(SUBSTITUTE($A144," SS","  SS"),'Inventory Hygiene'!$B$3:$B$254,0)),"NA"))</f>
        <v>1</v>
      </c>
      <c r="F144" s="64" t="n">
        <f aca="false">IFERROR(INDEX('Bad Bins'!$K$3:$K$253,MATCH($A144,'Bad Bins'!$B$3:$B$253,0)),IFERROR(INDEX('Bad Bins'!$K$3:$K$253,MATCH(SUBSTITUTE($A144," SS","  SS"),'Bad Bins'!$B$3:$B$253,0)),"NA"))</f>
        <v>24</v>
      </c>
      <c r="G144" s="64" t="n">
        <f aca="false">IFERROR(INDEX('RSTO &gt; 48hrs'!$H$2:$H$134,MATCH($A144,'RSTO &gt; 48hrs'!$B$2:$B$134,0)),IFERROR(INDEX('RSTO &gt; 48hrs'!$H$2:$H$134,MATCH(SUBSTITUTE($A144," SS","  SS"),'RSTO &gt; 48hrs'!$B$2:$B$134,0)),"NA"))</f>
        <v>1</v>
      </c>
      <c r="H144" s="64" t="str">
        <f aca="false">IFERROR(INDEX('Recirculation &gt; 24 hrs'!$K$3:$K$151,MATCH($A144,'Recirculation &gt; 24 hrs'!$B$3:$B$151,0)),IFERROR(INDEX('Recirculation &gt; 24 hrs'!$K$3:$K$151,MATCH(SUBSTITUTE($A144," SS","  SS"),'Recirculation &gt; 24 hrs'!$B$3:$B$151,0)),"NA"))</f>
        <v>NA</v>
      </c>
      <c r="I144" s="64" t="n">
        <f aca="false">IFERROR(INDEX('Pending Putaway'!$E$2:$E$1537,MATCH($A144,'Pending Putaway'!$B$2:$B$1537,0)),IFERROR(INDEX('Pending Putaway'!$E$2:$E$1537,MATCH(SUBSTITUTE($A144," SS","  SS"),'Pending Putaway'!$B$2:$B$1537,0)),"NA"))</f>
        <v>0</v>
      </c>
      <c r="J144" s="64" t="n">
        <f aca="false">IFERROR(INDEX('Pending Putaway'!$L$2:$L$1537,MATCH($A144,'Pending Putaway'!$B$2:$B$1537,0)),IFERROR(INDEX('Pending Putaway'!$L$2:$L$1537,MATCH(SUBSTITUTE($A144," SS","  SS"),'Pending Putaway'!$B$2:$B$1537,0)),"NA"))</f>
        <v>0</v>
      </c>
    </row>
    <row r="145" customFormat="false" ht="15" hidden="false" customHeight="false" outlineLevel="0" collapsed="false">
      <c r="A145" s="63" t="s">
        <v>261</v>
      </c>
      <c r="B145" s="63" t="str">
        <f aca="false">IFERROR(INDEX('CLM &amp; IM Mapping'!$B$2:$B$270,MATCH($A145,'CLM &amp; IM Mapping'!$A$2:$A$270,0)),"Not Mapped")</f>
        <v>Balaji G</v>
      </c>
      <c r="C145" s="63" t="str">
        <f aca="false">IFERROR(INDEX('CLM &amp; IM Mapping'!$C$2:$C$270,MATCH($A145,'CLM &amp; IM Mapping'!$A$2:$A$270,0)),"Not Mapped")</f>
        <v>Mohammed Akbar</v>
      </c>
      <c r="D145" s="64" t="n">
        <f aca="false">IFERROR(INDEX(Shrinkage!$P$2:$P$260,MATCH($A145,Shrinkage!$D$2:$D$260,0)),IFERROR(INDEX(Shrinkage!$P$2:$P$260,MATCH(SUBSTITUTE($A145," SS","  SS"),Shrinkage!$D$2:$D$260,0)),"NA"))</f>
        <v>28377</v>
      </c>
      <c r="E145" s="65" t="n">
        <f aca="false">IFERROR(INDEX('Inventory Hygiene'!$I$3:$I$254,MATCH($A145,'Inventory Hygiene'!$B$3:$B$254,0)),IFERROR(INDEX('Inventory Hygiene'!$I$3:$I$254,MATCH(SUBSTITUTE($A145," SS","  SS"),'Inventory Hygiene'!$B$3:$B$254,0)),"NA"))</f>
        <v>0.66</v>
      </c>
      <c r="F145" s="64" t="n">
        <f aca="false">IFERROR(INDEX('Bad Bins'!$K$3:$K$253,MATCH($A145,'Bad Bins'!$B$3:$B$253,0)),IFERROR(INDEX('Bad Bins'!$K$3:$K$253,MATCH(SUBSTITUTE($A145," SS","  SS"),'Bad Bins'!$B$3:$B$253,0)),"NA"))</f>
        <v>298</v>
      </c>
      <c r="G145" s="64" t="n">
        <f aca="false">IFERROR(INDEX('RSTO &gt; 48hrs'!$H$2:$H$134,MATCH($A145,'RSTO &gt; 48hrs'!$B$2:$B$134,0)),IFERROR(INDEX('RSTO &gt; 48hrs'!$H$2:$H$134,MATCH(SUBSTITUTE($A145," SS","  SS"),'RSTO &gt; 48hrs'!$B$2:$B$134,0)),"NA"))</f>
        <v>25</v>
      </c>
      <c r="H145" s="64" t="str">
        <f aca="false">IFERROR(INDEX('Recirculation &gt; 24 hrs'!$K$3:$K$151,MATCH($A145,'Recirculation &gt; 24 hrs'!$B$3:$B$151,0)),IFERROR(INDEX('Recirculation &gt; 24 hrs'!$K$3:$K$151,MATCH(SUBSTITUTE($A145," SS","  SS"),'Recirculation &gt; 24 hrs'!$B$3:$B$151,0)),"NA"))</f>
        <v>NA</v>
      </c>
      <c r="I145" s="64" t="n">
        <f aca="false">IFERROR(INDEX('Pending Putaway'!$E$2:$E$1537,MATCH($A145,'Pending Putaway'!$B$2:$B$1537,0)),IFERROR(INDEX('Pending Putaway'!$E$2:$E$1537,MATCH(SUBSTITUTE($A145," SS","  SS"),'Pending Putaway'!$B$2:$B$1537,0)),"NA"))</f>
        <v>5334</v>
      </c>
      <c r="J145" s="64" t="n">
        <f aca="false">IFERROR(INDEX('Pending Putaway'!$L$2:$L$1537,MATCH($A145,'Pending Putaway'!$B$2:$B$1537,0)),IFERROR(INDEX('Pending Putaway'!$L$2:$L$1537,MATCH(SUBSTITUTE($A145," SS","  SS"),'Pending Putaway'!$B$2:$B$1537,0)),"NA"))</f>
        <v>214</v>
      </c>
    </row>
    <row r="146" customFormat="false" ht="15" hidden="false" customHeight="false" outlineLevel="0" collapsed="false">
      <c r="A146" s="63" t="s">
        <v>279</v>
      </c>
      <c r="B146" s="63" t="str">
        <f aca="false">IFERROR(INDEX('CLM &amp; IM Mapping'!$B$2:$B$270,MATCH($A146,'CLM &amp; IM Mapping'!$A$2:$A$270,0)),"Not Mapped")</f>
        <v>Balaji G</v>
      </c>
      <c r="C146" s="63" t="str">
        <f aca="false">IFERROR(INDEX('CLM &amp; IM Mapping'!$C$2:$C$270,MATCH($A146,'CLM &amp; IM Mapping'!$A$2:$A$270,0)),"Not Mapped")</f>
        <v>Mohammed Akbar</v>
      </c>
      <c r="D146" s="64" t="n">
        <f aca="false">IFERROR(INDEX(Shrinkage!$P$2:$P$260,MATCH($A146,Shrinkage!$D$2:$D$260,0)),IFERROR(INDEX(Shrinkage!$P$2:$P$260,MATCH(SUBSTITUTE($A146," SS","  SS"),Shrinkage!$D$2:$D$260,0)),"NA"))</f>
        <v>6380</v>
      </c>
      <c r="E146" s="65" t="n">
        <f aca="false">IFERROR(INDEX('Inventory Hygiene'!$I$3:$I$254,MATCH($A146,'Inventory Hygiene'!$B$3:$B$254,0)),IFERROR(INDEX('Inventory Hygiene'!$I$3:$I$254,MATCH(SUBSTITUTE($A146," SS","  SS"),'Inventory Hygiene'!$B$3:$B$254,0)),"NA"))</f>
        <v>0.56</v>
      </c>
      <c r="F146" s="64" t="n">
        <f aca="false">IFERROR(INDEX('Bad Bins'!$K$3:$K$253,MATCH($A146,'Bad Bins'!$B$3:$B$253,0)),IFERROR(INDEX('Bad Bins'!$K$3:$K$253,MATCH(SUBSTITUTE($A146," SS","  SS"),'Bad Bins'!$B$3:$B$253,0)),"NA"))</f>
        <v>82</v>
      </c>
      <c r="G146" s="64" t="n">
        <f aca="false">IFERROR(INDEX('RSTO &gt; 48hrs'!$H$2:$H$134,MATCH($A146,'RSTO &gt; 48hrs'!$B$2:$B$134,0)),IFERROR(INDEX('RSTO &gt; 48hrs'!$H$2:$H$134,MATCH(SUBSTITUTE($A146," SS","  SS"),'RSTO &gt; 48hrs'!$B$2:$B$134,0)),"NA"))</f>
        <v>17</v>
      </c>
      <c r="H146" s="64" t="n">
        <f aca="false">IFERROR(INDEX('Recirculation &gt; 24 hrs'!$K$3:$K$151,MATCH($A146,'Recirculation &gt; 24 hrs'!$B$3:$B$151,0)),IFERROR(INDEX('Recirculation &gt; 24 hrs'!$K$3:$K$151,MATCH(SUBSTITUTE($A146," SS","  SS"),'Recirculation &gt; 24 hrs'!$B$3:$B$151,0)),"NA"))</f>
        <v>25</v>
      </c>
      <c r="I146" s="64" t="n">
        <f aca="false">IFERROR(INDEX('Pending Putaway'!$E$2:$E$1537,MATCH($A146,'Pending Putaway'!$B$2:$B$1537,0)),IFERROR(INDEX('Pending Putaway'!$E$2:$E$1537,MATCH(SUBSTITUTE($A146," SS","  SS"),'Pending Putaway'!$B$2:$B$1537,0)),"NA"))</f>
        <v>45</v>
      </c>
      <c r="J146" s="64" t="n">
        <f aca="false">IFERROR(INDEX('Pending Putaway'!$L$2:$L$1537,MATCH($A146,'Pending Putaway'!$B$2:$B$1537,0)),IFERROR(INDEX('Pending Putaway'!$L$2:$L$1537,MATCH(SUBSTITUTE($A146," SS","  SS"),'Pending Putaway'!$B$2:$B$1537,0)),"NA"))</f>
        <v>45</v>
      </c>
    </row>
    <row r="147" customFormat="false" ht="15" hidden="false" customHeight="false" outlineLevel="0" collapsed="false">
      <c r="A147" s="63" t="s">
        <v>207</v>
      </c>
      <c r="B147" s="63" t="str">
        <f aca="false">IFERROR(INDEX('CLM &amp; IM Mapping'!$B$2:$B$270,MATCH($A147,'CLM &amp; IM Mapping'!$A$2:$A$270,0)),"Not Mapped")</f>
        <v>Keshav G</v>
      </c>
      <c r="C147" s="63" t="str">
        <f aca="false">IFERROR(INDEX('CLM &amp; IM Mapping'!$C$2:$C$270,MATCH($A147,'CLM &amp; IM Mapping'!$A$2:$A$270,0)),"Not Mapped")</f>
        <v>Mohammed Akbar</v>
      </c>
      <c r="D147" s="64" t="n">
        <f aca="false">IFERROR(INDEX(Shrinkage!$P$2:$P$260,MATCH($A147,Shrinkage!$D$2:$D$260,0)),IFERROR(INDEX(Shrinkage!$P$2:$P$260,MATCH(SUBSTITUTE($A147," SS","  SS"),Shrinkage!$D$2:$D$260,0)),"NA"))</f>
        <v>47094</v>
      </c>
      <c r="E147" s="65" t="n">
        <f aca="false">IFERROR(INDEX('Inventory Hygiene'!$I$3:$I$254,MATCH($A147,'Inventory Hygiene'!$B$3:$B$254,0)),IFERROR(INDEX('Inventory Hygiene'!$I$3:$I$254,MATCH(SUBSTITUTE($A147," SS","  SS"),'Inventory Hygiene'!$B$3:$B$254,0)),"NA"))</f>
        <v>0.77</v>
      </c>
      <c r="F147" s="64" t="n">
        <f aca="false">IFERROR(INDEX('Bad Bins'!$K$3:$K$253,MATCH($A147,'Bad Bins'!$B$3:$B$253,0)),IFERROR(INDEX('Bad Bins'!$K$3:$K$253,MATCH(SUBSTITUTE($A147," SS","  SS"),'Bad Bins'!$B$3:$B$253,0)),"NA"))</f>
        <v>566</v>
      </c>
      <c r="G147" s="64" t="n">
        <f aca="false">IFERROR(INDEX('RSTO &gt; 48hrs'!$H$2:$H$134,MATCH($A147,'RSTO &gt; 48hrs'!$B$2:$B$134,0)),IFERROR(INDEX('RSTO &gt; 48hrs'!$H$2:$H$134,MATCH(SUBSTITUTE($A147," SS","  SS"),'RSTO &gt; 48hrs'!$B$2:$B$134,0)),"NA"))</f>
        <v>643</v>
      </c>
      <c r="H147" s="64" t="n">
        <f aca="false">IFERROR(INDEX('Recirculation &gt; 24 hrs'!$K$3:$K$151,MATCH($A147,'Recirculation &gt; 24 hrs'!$B$3:$B$151,0)),IFERROR(INDEX('Recirculation &gt; 24 hrs'!$K$3:$K$151,MATCH(SUBSTITUTE($A147," SS","  SS"),'Recirculation &gt; 24 hrs'!$B$3:$B$151,0)),"NA"))</f>
        <v>130</v>
      </c>
      <c r="I147" s="64" t="n">
        <f aca="false">IFERROR(INDEX('Pending Putaway'!$E$2:$E$1537,MATCH($A147,'Pending Putaway'!$B$2:$B$1537,0)),IFERROR(INDEX('Pending Putaway'!$E$2:$E$1537,MATCH(SUBSTITUTE($A147," SS","  SS"),'Pending Putaway'!$B$2:$B$1537,0)),"NA"))</f>
        <v>13848</v>
      </c>
      <c r="J147" s="64" t="n">
        <f aca="false">IFERROR(INDEX('Pending Putaway'!$L$2:$L$1537,MATCH($A147,'Pending Putaway'!$B$2:$B$1537,0)),IFERROR(INDEX('Pending Putaway'!$L$2:$L$1537,MATCH(SUBSTITUTE($A147," SS","  SS"),'Pending Putaway'!$B$2:$B$1537,0)),"NA"))</f>
        <v>3651</v>
      </c>
    </row>
    <row r="148" customFormat="false" ht="15" hidden="false" customHeight="false" outlineLevel="0" collapsed="false">
      <c r="A148" s="63" t="s">
        <v>186</v>
      </c>
      <c r="B148" s="63" t="str">
        <f aca="false">IFERROR(INDEX('CLM &amp; IM Mapping'!$B$2:$B$270,MATCH($A148,'CLM &amp; IM Mapping'!$A$2:$A$270,0)),"Not Mapped")</f>
        <v>Balaji G</v>
      </c>
      <c r="C148" s="63" t="str">
        <f aca="false">IFERROR(INDEX('CLM &amp; IM Mapping'!$C$2:$C$270,MATCH($A148,'CLM &amp; IM Mapping'!$A$2:$A$270,0)),"Not Mapped")</f>
        <v>Mohammed Akbar</v>
      </c>
      <c r="D148" s="64" t="n">
        <f aca="false">IFERROR(INDEX(Shrinkage!$P$2:$P$260,MATCH($A148,Shrinkage!$D$2:$D$260,0)),IFERROR(INDEX(Shrinkage!$P$2:$P$260,MATCH(SUBSTITUTE($A148," SS","  SS"),Shrinkage!$D$2:$D$260,0)),"NA"))</f>
        <v>-34746</v>
      </c>
      <c r="E148" s="65" t="n">
        <f aca="false">IFERROR(INDEX('Inventory Hygiene'!$I$3:$I$254,MATCH($A148,'Inventory Hygiene'!$B$3:$B$254,0)),IFERROR(INDEX('Inventory Hygiene'!$I$3:$I$254,MATCH(SUBSTITUTE($A148," SS","  SS"),'Inventory Hygiene'!$B$3:$B$254,0)),"NA"))</f>
        <v>0.97</v>
      </c>
      <c r="F148" s="64" t="n">
        <f aca="false">IFERROR(INDEX('Bad Bins'!$K$3:$K$253,MATCH($A148,'Bad Bins'!$B$3:$B$253,0)),IFERROR(INDEX('Bad Bins'!$K$3:$K$253,MATCH(SUBSTITUTE($A148," SS","  SS"),'Bad Bins'!$B$3:$B$253,0)),"NA"))</f>
        <v>75</v>
      </c>
      <c r="G148" s="64" t="n">
        <f aca="false">IFERROR(INDEX('RSTO &gt; 48hrs'!$H$2:$H$134,MATCH($A148,'RSTO &gt; 48hrs'!$B$2:$B$134,0)),IFERROR(INDEX('RSTO &gt; 48hrs'!$H$2:$H$134,MATCH(SUBSTITUTE($A148," SS","  SS"),'RSTO &gt; 48hrs'!$B$2:$B$134,0)),"NA"))</f>
        <v>1</v>
      </c>
      <c r="H148" s="64" t="str">
        <f aca="false">IFERROR(INDEX('Recirculation &gt; 24 hrs'!$K$3:$K$151,MATCH($A148,'Recirculation &gt; 24 hrs'!$B$3:$B$151,0)),IFERROR(INDEX('Recirculation &gt; 24 hrs'!$K$3:$K$151,MATCH(SUBSTITUTE($A148," SS","  SS"),'Recirculation &gt; 24 hrs'!$B$3:$B$151,0)),"NA"))</f>
        <v>NA</v>
      </c>
      <c r="I148" s="64" t="n">
        <f aca="false">IFERROR(INDEX('Pending Putaway'!$E$2:$E$1537,MATCH($A148,'Pending Putaway'!$B$2:$B$1537,0)),IFERROR(INDEX('Pending Putaway'!$E$2:$E$1537,MATCH(SUBSTITUTE($A148," SS","  SS"),'Pending Putaway'!$B$2:$B$1537,0)),"NA"))</f>
        <v>365</v>
      </c>
      <c r="J148" s="64" t="n">
        <f aca="false">IFERROR(INDEX('Pending Putaway'!$L$2:$L$1537,MATCH($A148,'Pending Putaway'!$B$2:$B$1537,0)),IFERROR(INDEX('Pending Putaway'!$L$2:$L$1537,MATCH(SUBSTITUTE($A148," SS","  SS"),'Pending Putaway'!$B$2:$B$1537,0)),"NA"))</f>
        <v>0</v>
      </c>
    </row>
    <row r="149" customFormat="false" ht="15" hidden="false" customHeight="false" outlineLevel="0" collapsed="false">
      <c r="A149" s="63" t="s">
        <v>84</v>
      </c>
      <c r="B149" s="63" t="str">
        <f aca="false">IFERROR(INDEX('CLM &amp; IM Mapping'!$B$2:$B$270,MATCH($A149,'CLM &amp; IM Mapping'!$A$2:$A$270,0)),"Not Mapped")</f>
        <v>Mohaideen DH</v>
      </c>
      <c r="C149" s="63" t="str">
        <f aca="false">IFERROR(INDEX('CLM &amp; IM Mapping'!$C$2:$C$270,MATCH($A149,'CLM &amp; IM Mapping'!$A$2:$A$270,0)),"Not Mapped")</f>
        <v>Mohammed Akbar</v>
      </c>
      <c r="D149" s="64" t="n">
        <f aca="false">IFERROR(INDEX(Shrinkage!$P$2:$P$260,MATCH($A149,Shrinkage!$D$2:$D$260,0)),IFERROR(INDEX(Shrinkage!$P$2:$P$260,MATCH(SUBSTITUTE($A149," SS","  SS"),Shrinkage!$D$2:$D$260,0)),"NA"))</f>
        <v>-30854</v>
      </c>
      <c r="E149" s="65" t="n">
        <f aca="false">IFERROR(INDEX('Inventory Hygiene'!$I$3:$I$254,MATCH($A149,'Inventory Hygiene'!$B$3:$B$254,0)),IFERROR(INDEX('Inventory Hygiene'!$I$3:$I$254,MATCH(SUBSTITUTE($A149," SS","  SS"),'Inventory Hygiene'!$B$3:$B$254,0)),"NA"))</f>
        <v>1</v>
      </c>
      <c r="F149" s="64" t="n">
        <f aca="false">IFERROR(INDEX('Bad Bins'!$K$3:$K$253,MATCH($A149,'Bad Bins'!$B$3:$B$253,0)),IFERROR(INDEX('Bad Bins'!$K$3:$K$253,MATCH(SUBSTITUTE($A149," SS","  SS"),'Bad Bins'!$B$3:$B$253,0)),"NA"))</f>
        <v>275</v>
      </c>
      <c r="G149" s="64" t="n">
        <f aca="false">IFERROR(INDEX('RSTO &gt; 48hrs'!$H$2:$H$134,MATCH($A149,'RSTO &gt; 48hrs'!$B$2:$B$134,0)),IFERROR(INDEX('RSTO &gt; 48hrs'!$H$2:$H$134,MATCH(SUBSTITUTE($A149," SS","  SS"),'RSTO &gt; 48hrs'!$B$2:$B$134,0)),"NA"))</f>
        <v>71</v>
      </c>
      <c r="H149" s="64" t="str">
        <f aca="false">IFERROR(INDEX('Recirculation &gt; 24 hrs'!$K$3:$K$151,MATCH($A149,'Recirculation &gt; 24 hrs'!$B$3:$B$151,0)),IFERROR(INDEX('Recirculation &gt; 24 hrs'!$K$3:$K$151,MATCH(SUBSTITUTE($A149," SS","  SS"),'Recirculation &gt; 24 hrs'!$B$3:$B$151,0)),"NA"))</f>
        <v>NA</v>
      </c>
      <c r="I149" s="64" t="n">
        <f aca="false">IFERROR(INDEX('Pending Putaway'!$E$2:$E$1537,MATCH($A149,'Pending Putaway'!$B$2:$B$1537,0)),IFERROR(INDEX('Pending Putaway'!$E$2:$E$1537,MATCH(SUBSTITUTE($A149," SS","  SS"),'Pending Putaway'!$B$2:$B$1537,0)),"NA"))</f>
        <v>1053</v>
      </c>
      <c r="J149" s="64" t="n">
        <f aca="false">IFERROR(INDEX('Pending Putaway'!$L$2:$L$1537,MATCH($A149,'Pending Putaway'!$B$2:$B$1537,0)),IFERROR(INDEX('Pending Putaway'!$L$2:$L$1537,MATCH(SUBSTITUTE($A149," SS","  SS"),'Pending Putaway'!$B$2:$B$1537,0)),"NA"))</f>
        <v>627</v>
      </c>
    </row>
    <row r="150" customFormat="false" ht="15" hidden="false" customHeight="false" outlineLevel="0" collapsed="false">
      <c r="A150" s="63" t="s">
        <v>210</v>
      </c>
      <c r="B150" s="63" t="str">
        <f aca="false">IFERROR(INDEX('CLM &amp; IM Mapping'!$B$2:$B$270,MATCH($A150,'CLM &amp; IM Mapping'!$A$2:$A$270,0)),"Not Mapped")</f>
        <v>Mohaideen DH</v>
      </c>
      <c r="C150" s="63" t="str">
        <f aca="false">IFERROR(INDEX('CLM &amp; IM Mapping'!$C$2:$C$270,MATCH($A150,'CLM &amp; IM Mapping'!$A$2:$A$270,0)),"Not Mapped")</f>
        <v>Mohammed Akbar</v>
      </c>
      <c r="D150" s="64" t="n">
        <f aca="false">IFERROR(INDEX(Shrinkage!$P$2:$P$260,MATCH($A150,Shrinkage!$D$2:$D$260,0)),IFERROR(INDEX(Shrinkage!$P$2:$P$260,MATCH(SUBSTITUTE($A150," SS","  SS"),Shrinkage!$D$2:$D$260,0)),"NA"))</f>
        <v>34942</v>
      </c>
      <c r="E150" s="65" t="n">
        <f aca="false">IFERROR(INDEX('Inventory Hygiene'!$I$3:$I$254,MATCH($A150,'Inventory Hygiene'!$B$3:$B$254,0)),IFERROR(INDEX('Inventory Hygiene'!$I$3:$I$254,MATCH(SUBSTITUTE($A150," SS","  SS"),'Inventory Hygiene'!$B$3:$B$254,0)),"NA"))</f>
        <v>0.7</v>
      </c>
      <c r="F150" s="64" t="n">
        <f aca="false">IFERROR(INDEX('Bad Bins'!$K$3:$K$253,MATCH($A150,'Bad Bins'!$B$3:$B$253,0)),IFERROR(INDEX('Bad Bins'!$K$3:$K$253,MATCH(SUBSTITUTE($A150," SS","  SS"),'Bad Bins'!$B$3:$B$253,0)),"NA"))</f>
        <v>382</v>
      </c>
      <c r="G150" s="64" t="n">
        <f aca="false">IFERROR(INDEX('RSTO &gt; 48hrs'!$H$2:$H$134,MATCH($A150,'RSTO &gt; 48hrs'!$B$2:$B$134,0)),IFERROR(INDEX('RSTO &gt; 48hrs'!$H$2:$H$134,MATCH(SUBSTITUTE($A150," SS","  SS"),'RSTO &gt; 48hrs'!$B$2:$B$134,0)),"NA"))</f>
        <v>116</v>
      </c>
      <c r="H150" s="64" t="n">
        <f aca="false">IFERROR(INDEX('Recirculation &gt; 24 hrs'!$K$3:$K$151,MATCH($A150,'Recirculation &gt; 24 hrs'!$B$3:$B$151,0)),IFERROR(INDEX('Recirculation &gt; 24 hrs'!$K$3:$K$151,MATCH(SUBSTITUTE($A150," SS","  SS"),'Recirculation &gt; 24 hrs'!$B$3:$B$151,0)),"NA"))</f>
        <v>223</v>
      </c>
      <c r="I150" s="64" t="n">
        <f aca="false">IFERROR(INDEX('Pending Putaway'!$E$2:$E$1537,MATCH($A150,'Pending Putaway'!$B$2:$B$1537,0)),IFERROR(INDEX('Pending Putaway'!$E$2:$E$1537,MATCH(SUBSTITUTE($A150," SS","  SS"),'Pending Putaway'!$B$2:$B$1537,0)),"NA"))</f>
        <v>5117</v>
      </c>
      <c r="J150" s="64" t="n">
        <f aca="false">IFERROR(INDEX('Pending Putaway'!$L$2:$L$1537,MATCH($A150,'Pending Putaway'!$B$2:$B$1537,0)),IFERROR(INDEX('Pending Putaway'!$L$2:$L$1537,MATCH(SUBSTITUTE($A150," SS","  SS"),'Pending Putaway'!$B$2:$B$1537,0)),"NA"))</f>
        <v>2692</v>
      </c>
    </row>
    <row r="151" customFormat="false" ht="15" hidden="false" customHeight="false" outlineLevel="0" collapsed="false">
      <c r="A151" s="63" t="s">
        <v>140</v>
      </c>
      <c r="B151" s="63" t="str">
        <f aca="false">IFERROR(INDEX('CLM &amp; IM Mapping'!$B$2:$B$270,MATCH($A151,'CLM &amp; IM Mapping'!$A$2:$A$270,0)),"Not Mapped")</f>
        <v>Mohaideen DH</v>
      </c>
      <c r="C151" s="63" t="str">
        <f aca="false">IFERROR(INDEX('CLM &amp; IM Mapping'!$C$2:$C$270,MATCH($A151,'CLM &amp; IM Mapping'!$A$2:$A$270,0)),"Not Mapped")</f>
        <v>Mohammed Akbar</v>
      </c>
      <c r="D151" s="64" t="n">
        <f aca="false">IFERROR(INDEX(Shrinkage!$P$2:$P$260,MATCH($A151,Shrinkage!$D$2:$D$260,0)),IFERROR(INDEX(Shrinkage!$P$2:$P$260,MATCH(SUBSTITUTE($A151," SS","  SS"),Shrinkage!$D$2:$D$260,0)),"NA"))</f>
        <v>37186</v>
      </c>
      <c r="E151" s="65" t="n">
        <f aca="false">IFERROR(INDEX('Inventory Hygiene'!$I$3:$I$254,MATCH($A151,'Inventory Hygiene'!$B$3:$B$254,0)),IFERROR(INDEX('Inventory Hygiene'!$I$3:$I$254,MATCH(SUBSTITUTE($A151," SS","  SS"),'Inventory Hygiene'!$B$3:$B$254,0)),"NA"))</f>
        <v>0.74</v>
      </c>
      <c r="F151" s="64" t="n">
        <f aca="false">IFERROR(INDEX('Bad Bins'!$K$3:$K$253,MATCH($A151,'Bad Bins'!$B$3:$B$253,0)),IFERROR(INDEX('Bad Bins'!$K$3:$K$253,MATCH(SUBSTITUTE($A151," SS","  SS"),'Bad Bins'!$B$3:$B$253,0)),"NA"))</f>
        <v>363</v>
      </c>
      <c r="G151" s="64" t="n">
        <f aca="false">IFERROR(INDEX('RSTO &gt; 48hrs'!$H$2:$H$134,MATCH($A151,'RSTO &gt; 48hrs'!$B$2:$B$134,0)),IFERROR(INDEX('RSTO &gt; 48hrs'!$H$2:$H$134,MATCH(SUBSTITUTE($A151," SS","  SS"),'RSTO &gt; 48hrs'!$B$2:$B$134,0)),"NA"))</f>
        <v>48</v>
      </c>
      <c r="H151" s="64" t="n">
        <f aca="false">IFERROR(INDEX('Recirculation &gt; 24 hrs'!$K$3:$K$151,MATCH($A151,'Recirculation &gt; 24 hrs'!$B$3:$B$151,0)),IFERROR(INDEX('Recirculation &gt; 24 hrs'!$K$3:$K$151,MATCH(SUBSTITUTE($A151," SS","  SS"),'Recirculation &gt; 24 hrs'!$B$3:$B$151,0)),"NA"))</f>
        <v>3</v>
      </c>
      <c r="I151" s="64" t="n">
        <f aca="false">IFERROR(INDEX('Pending Putaway'!$E$2:$E$1537,MATCH($A151,'Pending Putaway'!$B$2:$B$1537,0)),IFERROR(INDEX('Pending Putaway'!$E$2:$E$1537,MATCH(SUBSTITUTE($A151," SS","  SS"),'Pending Putaway'!$B$2:$B$1537,0)),"NA"))</f>
        <v>4553</v>
      </c>
      <c r="J151" s="64" t="n">
        <f aca="false">IFERROR(INDEX('Pending Putaway'!$L$2:$L$1537,MATCH($A151,'Pending Putaway'!$B$2:$B$1537,0)),IFERROR(INDEX('Pending Putaway'!$L$2:$L$1537,MATCH(SUBSTITUTE($A151," SS","  SS"),'Pending Putaway'!$B$2:$B$1537,0)),"NA"))</f>
        <v>56</v>
      </c>
    </row>
    <row r="152" customFormat="false" ht="15" hidden="false" customHeight="false" outlineLevel="0" collapsed="false">
      <c r="A152" s="63" t="s">
        <v>56</v>
      </c>
      <c r="B152" s="63" t="str">
        <f aca="false">IFERROR(INDEX('CLM &amp; IM Mapping'!$B$2:$B$270,MATCH($A152,'CLM &amp; IM Mapping'!$A$2:$A$270,0)),"Not Mapped")</f>
        <v>Balaji G</v>
      </c>
      <c r="C152" s="63" t="str">
        <f aca="false">IFERROR(INDEX('CLM &amp; IM Mapping'!$C$2:$C$270,MATCH($A152,'CLM &amp; IM Mapping'!$A$2:$A$270,0)),"Not Mapped")</f>
        <v>Mohammed Akbar</v>
      </c>
      <c r="D152" s="64" t="n">
        <f aca="false">IFERROR(INDEX(Shrinkage!$P$2:$P$260,MATCH($A152,Shrinkage!$D$2:$D$260,0)),IFERROR(INDEX(Shrinkage!$P$2:$P$260,MATCH(SUBSTITUTE($A152," SS","  SS"),Shrinkage!$D$2:$D$260,0)),"NA"))</f>
        <v>-5133</v>
      </c>
      <c r="E152" s="65" t="n">
        <f aca="false">IFERROR(INDEX('Inventory Hygiene'!$I$3:$I$254,MATCH($A152,'Inventory Hygiene'!$B$3:$B$254,0)),IFERROR(INDEX('Inventory Hygiene'!$I$3:$I$254,MATCH(SUBSTITUTE($A152," SS","  SS"),'Inventory Hygiene'!$B$3:$B$254,0)),"NA"))</f>
        <v>0.79</v>
      </c>
      <c r="F152" s="64" t="n">
        <f aca="false">IFERROR(INDEX('Bad Bins'!$K$3:$K$253,MATCH($A152,'Bad Bins'!$B$3:$B$253,0)),IFERROR(INDEX('Bad Bins'!$K$3:$K$253,MATCH(SUBSTITUTE($A152," SS","  SS"),'Bad Bins'!$B$3:$B$253,0)),"NA"))</f>
        <v>144</v>
      </c>
      <c r="G152" s="64" t="str">
        <f aca="false">IFERROR(INDEX('RSTO &gt; 48hrs'!$H$2:$H$134,MATCH($A152,'RSTO &gt; 48hrs'!$B$2:$B$134,0)),IFERROR(INDEX('RSTO &gt; 48hrs'!$H$2:$H$134,MATCH(SUBSTITUTE($A152," SS","  SS"),'RSTO &gt; 48hrs'!$B$2:$B$134,0)),"NA"))</f>
        <v>NA</v>
      </c>
      <c r="H152" s="64" t="str">
        <f aca="false">IFERROR(INDEX('Recirculation &gt; 24 hrs'!$K$3:$K$151,MATCH($A152,'Recirculation &gt; 24 hrs'!$B$3:$B$151,0)),IFERROR(INDEX('Recirculation &gt; 24 hrs'!$K$3:$K$151,MATCH(SUBSTITUTE($A152," SS","  SS"),'Recirculation &gt; 24 hrs'!$B$3:$B$151,0)),"NA"))</f>
        <v>NA</v>
      </c>
      <c r="I152" s="64" t="n">
        <f aca="false">IFERROR(INDEX('Pending Putaway'!$E$2:$E$1537,MATCH($A152,'Pending Putaway'!$B$2:$B$1537,0)),IFERROR(INDEX('Pending Putaway'!$E$2:$E$1537,MATCH(SUBSTITUTE($A152," SS","  SS"),'Pending Putaway'!$B$2:$B$1537,0)),"NA"))</f>
        <v>5</v>
      </c>
      <c r="J152" s="64" t="n">
        <f aca="false">IFERROR(INDEX('Pending Putaway'!$L$2:$L$1537,MATCH($A152,'Pending Putaway'!$B$2:$B$1537,0)),IFERROR(INDEX('Pending Putaway'!$L$2:$L$1537,MATCH(SUBSTITUTE($A152," SS","  SS"),'Pending Putaway'!$B$2:$B$1537,0)),"NA"))</f>
        <v>0</v>
      </c>
    </row>
    <row r="153" customFormat="false" ht="15" hidden="false" customHeight="false" outlineLevel="0" collapsed="false">
      <c r="A153" s="63" t="s">
        <v>214</v>
      </c>
      <c r="B153" s="63" t="str">
        <f aca="false">IFERROR(INDEX('CLM &amp; IM Mapping'!$B$2:$B$270,MATCH($A153,'CLM &amp; IM Mapping'!$A$2:$A$270,0)),"Not Mapped")</f>
        <v>Balaji G</v>
      </c>
      <c r="C153" s="63" t="str">
        <f aca="false">IFERROR(INDEX('CLM &amp; IM Mapping'!$C$2:$C$270,MATCH($A153,'CLM &amp; IM Mapping'!$A$2:$A$270,0)),"Not Mapped")</f>
        <v>Mohammed Akbar</v>
      </c>
      <c r="D153" s="64" t="n">
        <f aca="false">IFERROR(INDEX(Shrinkage!$P$2:$P$260,MATCH($A153,Shrinkage!$D$2:$D$260,0)),IFERROR(INDEX(Shrinkage!$P$2:$P$260,MATCH(SUBSTITUTE($A153," SS","  SS"),Shrinkage!$D$2:$D$260,0)),"NA"))</f>
        <v>-11643</v>
      </c>
      <c r="E153" s="65" t="n">
        <f aca="false">IFERROR(INDEX('Inventory Hygiene'!$I$3:$I$254,MATCH($A153,'Inventory Hygiene'!$B$3:$B$254,0)),IFERROR(INDEX('Inventory Hygiene'!$I$3:$I$254,MATCH(SUBSTITUTE($A153," SS","  SS"),'Inventory Hygiene'!$B$3:$B$254,0)),"NA"))</f>
        <v>0.99</v>
      </c>
      <c r="F153" s="64" t="n">
        <f aca="false">IFERROR(INDEX('Bad Bins'!$K$3:$K$253,MATCH($A153,'Bad Bins'!$B$3:$B$253,0)),IFERROR(INDEX('Bad Bins'!$K$3:$K$253,MATCH(SUBSTITUTE($A153," SS","  SS"),'Bad Bins'!$B$3:$B$253,0)),"NA"))</f>
        <v>158</v>
      </c>
      <c r="G153" s="64" t="str">
        <f aca="false">IFERROR(INDEX('RSTO &gt; 48hrs'!$H$2:$H$134,MATCH($A153,'RSTO &gt; 48hrs'!$B$2:$B$134,0)),IFERROR(INDEX('RSTO &gt; 48hrs'!$H$2:$H$134,MATCH(SUBSTITUTE($A153," SS","  SS"),'RSTO &gt; 48hrs'!$B$2:$B$134,0)),"NA"))</f>
        <v>NA</v>
      </c>
      <c r="H153" s="64" t="str">
        <f aca="false">IFERROR(INDEX('Recirculation &gt; 24 hrs'!$K$3:$K$151,MATCH($A153,'Recirculation &gt; 24 hrs'!$B$3:$B$151,0)),IFERROR(INDEX('Recirculation &gt; 24 hrs'!$K$3:$K$151,MATCH(SUBSTITUTE($A153," SS","  SS"),'Recirculation &gt; 24 hrs'!$B$3:$B$151,0)),"NA"))</f>
        <v>NA</v>
      </c>
      <c r="I153" s="64" t="n">
        <f aca="false">IFERROR(INDEX('Pending Putaway'!$E$2:$E$1537,MATCH($A153,'Pending Putaway'!$B$2:$B$1537,0)),IFERROR(INDEX('Pending Putaway'!$E$2:$E$1537,MATCH(SUBSTITUTE($A153," SS","  SS"),'Pending Putaway'!$B$2:$B$1537,0)),"NA"))</f>
        <v>899</v>
      </c>
      <c r="J153" s="64" t="n">
        <f aca="false">IFERROR(INDEX('Pending Putaway'!$L$2:$L$1537,MATCH($A153,'Pending Putaway'!$B$2:$B$1537,0)),IFERROR(INDEX('Pending Putaway'!$L$2:$L$1537,MATCH(SUBSTITUTE($A153," SS","  SS"),'Pending Putaway'!$B$2:$B$1537,0)),"NA"))</f>
        <v>899</v>
      </c>
    </row>
    <row r="154" customFormat="false" ht="15" hidden="false" customHeight="false" outlineLevel="0" collapsed="false">
      <c r="A154" s="63" t="s">
        <v>227</v>
      </c>
      <c r="B154" s="63" t="str">
        <f aca="false">IFERROR(INDEX('CLM &amp; IM Mapping'!$B$2:$B$270,MATCH($A154,'CLM &amp; IM Mapping'!$A$2:$A$270,0)),"Not Mapped")</f>
        <v>Mohaideen DH</v>
      </c>
      <c r="C154" s="63" t="str">
        <f aca="false">IFERROR(INDEX('CLM &amp; IM Mapping'!$C$2:$C$270,MATCH($A154,'CLM &amp; IM Mapping'!$A$2:$A$270,0)),"Not Mapped")</f>
        <v>Mohammed Akbar</v>
      </c>
      <c r="D154" s="64" t="n">
        <f aca="false">IFERROR(INDEX(Shrinkage!$P$2:$P$260,MATCH($A154,Shrinkage!$D$2:$D$260,0)),IFERROR(INDEX(Shrinkage!$P$2:$P$260,MATCH(SUBSTITUTE($A154," SS","  SS"),Shrinkage!$D$2:$D$260,0)),"NA"))</f>
        <v>6880</v>
      </c>
      <c r="E154" s="65" t="n">
        <f aca="false">IFERROR(INDEX('Inventory Hygiene'!$I$3:$I$254,MATCH($A154,'Inventory Hygiene'!$B$3:$B$254,0)),IFERROR(INDEX('Inventory Hygiene'!$I$3:$I$254,MATCH(SUBSTITUTE($A154," SS","  SS"),'Inventory Hygiene'!$B$3:$B$254,0)),"NA"))</f>
        <v>0.42</v>
      </c>
      <c r="F154" s="64" t="n">
        <f aca="false">IFERROR(INDEX('Bad Bins'!$K$3:$K$253,MATCH($A154,'Bad Bins'!$B$3:$B$253,0)),IFERROR(INDEX('Bad Bins'!$K$3:$K$253,MATCH(SUBSTITUTE($A154," SS","  SS"),'Bad Bins'!$B$3:$B$253,0)),"NA"))</f>
        <v>218</v>
      </c>
      <c r="G154" s="64" t="n">
        <f aca="false">IFERROR(INDEX('RSTO &gt; 48hrs'!$H$2:$H$134,MATCH($A154,'RSTO &gt; 48hrs'!$B$2:$B$134,0)),IFERROR(INDEX('RSTO &gt; 48hrs'!$H$2:$H$134,MATCH(SUBSTITUTE($A154," SS","  SS"),'RSTO &gt; 48hrs'!$B$2:$B$134,0)),"NA"))</f>
        <v>249</v>
      </c>
      <c r="H154" s="64" t="n">
        <f aca="false">IFERROR(INDEX('Recirculation &gt; 24 hrs'!$K$3:$K$151,MATCH($A154,'Recirculation &gt; 24 hrs'!$B$3:$B$151,0)),IFERROR(INDEX('Recirculation &gt; 24 hrs'!$K$3:$K$151,MATCH(SUBSTITUTE($A154," SS","  SS"),'Recirculation &gt; 24 hrs'!$B$3:$B$151,0)),"NA"))</f>
        <v>2</v>
      </c>
      <c r="I154" s="64" t="n">
        <f aca="false">IFERROR(INDEX('Pending Putaway'!$E$2:$E$1537,MATCH($A154,'Pending Putaway'!$B$2:$B$1537,0)),IFERROR(INDEX('Pending Putaway'!$E$2:$E$1537,MATCH(SUBSTITUTE($A154," SS","  SS"),'Pending Putaway'!$B$2:$B$1537,0)),"NA"))</f>
        <v>1909</v>
      </c>
      <c r="J154" s="64" t="n">
        <f aca="false">IFERROR(INDEX('Pending Putaway'!$L$2:$L$1537,MATCH($A154,'Pending Putaway'!$B$2:$B$1537,0)),IFERROR(INDEX('Pending Putaway'!$L$2:$L$1537,MATCH(SUBSTITUTE($A154," SS","  SS"),'Pending Putaway'!$B$2:$B$1537,0)),"NA"))</f>
        <v>660</v>
      </c>
    </row>
    <row r="155" customFormat="false" ht="15" hidden="false" customHeight="false" outlineLevel="0" collapsed="false">
      <c r="A155" s="63" t="s">
        <v>24</v>
      </c>
      <c r="B155" s="63" t="str">
        <f aca="false">IFERROR(INDEX('CLM &amp; IM Mapping'!$B$2:$B$270,MATCH($A155,'CLM &amp; IM Mapping'!$A$2:$A$270,0)),"Not Mapped")</f>
        <v>Balaji G</v>
      </c>
      <c r="C155" s="63" t="str">
        <f aca="false">IFERROR(INDEX('CLM &amp; IM Mapping'!$C$2:$C$270,MATCH($A155,'CLM &amp; IM Mapping'!$A$2:$A$270,0)),"Not Mapped")</f>
        <v>Mohammed Akbar</v>
      </c>
      <c r="D155" s="64" t="n">
        <f aca="false">IFERROR(INDEX(Shrinkage!$P$2:$P$260,MATCH($A155,Shrinkage!$D$2:$D$260,0)),IFERROR(INDEX(Shrinkage!$P$2:$P$260,MATCH(SUBSTITUTE($A155," SS","  SS"),Shrinkage!$D$2:$D$260,0)),"NA"))</f>
        <v>-45174</v>
      </c>
      <c r="E155" s="65" t="n">
        <f aca="false">IFERROR(INDEX('Inventory Hygiene'!$I$3:$I$254,MATCH($A155,'Inventory Hygiene'!$B$3:$B$254,0)),IFERROR(INDEX('Inventory Hygiene'!$I$3:$I$254,MATCH(SUBSTITUTE($A155," SS","  SS"),'Inventory Hygiene'!$B$3:$B$254,0)),"NA"))</f>
        <v>0.95</v>
      </c>
      <c r="F155" s="64" t="n">
        <f aca="false">IFERROR(INDEX('Bad Bins'!$K$3:$K$253,MATCH($A155,'Bad Bins'!$B$3:$B$253,0)),IFERROR(INDEX('Bad Bins'!$K$3:$K$253,MATCH(SUBSTITUTE($A155," SS","  SS"),'Bad Bins'!$B$3:$B$253,0)),"NA"))</f>
        <v>208</v>
      </c>
      <c r="G155" s="64" t="n">
        <f aca="false">IFERROR(INDEX('RSTO &gt; 48hrs'!$H$2:$H$134,MATCH($A155,'RSTO &gt; 48hrs'!$B$2:$B$134,0)),IFERROR(INDEX('RSTO &gt; 48hrs'!$H$2:$H$134,MATCH(SUBSTITUTE($A155," SS","  SS"),'RSTO &gt; 48hrs'!$B$2:$B$134,0)),"NA"))</f>
        <v>5</v>
      </c>
      <c r="H155" s="64" t="str">
        <f aca="false">IFERROR(INDEX('Recirculation &gt; 24 hrs'!$K$3:$K$151,MATCH($A155,'Recirculation &gt; 24 hrs'!$B$3:$B$151,0)),IFERROR(INDEX('Recirculation &gt; 24 hrs'!$K$3:$K$151,MATCH(SUBSTITUTE($A155," SS","  SS"),'Recirculation &gt; 24 hrs'!$B$3:$B$151,0)),"NA"))</f>
        <v>NA</v>
      </c>
      <c r="I155" s="64" t="n">
        <f aca="false">IFERROR(INDEX('Pending Putaway'!$E$2:$E$1537,MATCH($A155,'Pending Putaway'!$B$2:$B$1537,0)),IFERROR(INDEX('Pending Putaway'!$E$2:$E$1537,MATCH(SUBSTITUTE($A155," SS","  SS"),'Pending Putaway'!$B$2:$B$1537,0)),"NA"))</f>
        <v>692</v>
      </c>
      <c r="J155" s="64" t="n">
        <f aca="false">IFERROR(INDEX('Pending Putaway'!$L$2:$L$1537,MATCH($A155,'Pending Putaway'!$B$2:$B$1537,0)),IFERROR(INDEX('Pending Putaway'!$L$2:$L$1537,MATCH(SUBSTITUTE($A155," SS","  SS"),'Pending Putaway'!$B$2:$B$1537,0)),"NA"))</f>
        <v>103</v>
      </c>
    </row>
    <row r="156" customFormat="false" ht="15" hidden="false" customHeight="false" outlineLevel="0" collapsed="false">
      <c r="A156" s="63" t="s">
        <v>244</v>
      </c>
      <c r="B156" s="63" t="str">
        <f aca="false">IFERROR(INDEX('CLM &amp; IM Mapping'!$B$2:$B$270,MATCH($A156,'CLM &amp; IM Mapping'!$A$2:$A$270,0)),"Not Mapped")</f>
        <v>Balaji G</v>
      </c>
      <c r="C156" s="63" t="str">
        <f aca="false">IFERROR(INDEX('CLM &amp; IM Mapping'!$C$2:$C$270,MATCH($A156,'CLM &amp; IM Mapping'!$A$2:$A$270,0)),"Not Mapped")</f>
        <v>Mohammed Akbar</v>
      </c>
      <c r="D156" s="64" t="n">
        <f aca="false">IFERROR(INDEX(Shrinkage!$P$2:$P$260,MATCH($A156,Shrinkage!$D$2:$D$260,0)),IFERROR(INDEX(Shrinkage!$P$2:$P$260,MATCH(SUBSTITUTE($A156," SS","  SS"),Shrinkage!$D$2:$D$260,0)),"NA"))</f>
        <v>9465</v>
      </c>
      <c r="E156" s="65" t="n">
        <f aca="false">IFERROR(INDEX('Inventory Hygiene'!$I$3:$I$254,MATCH($A156,'Inventory Hygiene'!$B$3:$B$254,0)),IFERROR(INDEX('Inventory Hygiene'!$I$3:$I$254,MATCH(SUBSTITUTE($A156," SS","  SS"),'Inventory Hygiene'!$B$3:$B$254,0)),"NA"))</f>
        <v>0.76</v>
      </c>
      <c r="F156" s="64" t="n">
        <f aca="false">IFERROR(INDEX('Bad Bins'!$K$3:$K$253,MATCH($A156,'Bad Bins'!$B$3:$B$253,0)),IFERROR(INDEX('Bad Bins'!$K$3:$K$253,MATCH(SUBSTITUTE($A156," SS","  SS"),'Bad Bins'!$B$3:$B$253,0)),"NA"))</f>
        <v>94</v>
      </c>
      <c r="G156" s="64" t="n">
        <f aca="false">IFERROR(INDEX('RSTO &gt; 48hrs'!$H$2:$H$134,MATCH($A156,'RSTO &gt; 48hrs'!$B$2:$B$134,0)),IFERROR(INDEX('RSTO &gt; 48hrs'!$H$2:$H$134,MATCH(SUBSTITUTE($A156," SS","  SS"),'RSTO &gt; 48hrs'!$B$2:$B$134,0)),"NA"))</f>
        <v>1</v>
      </c>
      <c r="H156" s="64" t="n">
        <f aca="false">IFERROR(INDEX('Recirculation &gt; 24 hrs'!$K$3:$K$151,MATCH($A156,'Recirculation &gt; 24 hrs'!$B$3:$B$151,0)),IFERROR(INDEX('Recirculation &gt; 24 hrs'!$K$3:$K$151,MATCH(SUBSTITUTE($A156," SS","  SS"),'Recirculation &gt; 24 hrs'!$B$3:$B$151,0)),"NA"))</f>
        <v>64</v>
      </c>
      <c r="I156" s="64" t="n">
        <f aca="false">IFERROR(INDEX('Pending Putaway'!$E$2:$E$1537,MATCH($A156,'Pending Putaway'!$B$2:$B$1537,0)),IFERROR(INDEX('Pending Putaway'!$E$2:$E$1537,MATCH(SUBSTITUTE($A156," SS","  SS"),'Pending Putaway'!$B$2:$B$1537,0)),"NA"))</f>
        <v>0</v>
      </c>
      <c r="J156" s="64" t="n">
        <f aca="false">IFERROR(INDEX('Pending Putaway'!$L$2:$L$1537,MATCH($A156,'Pending Putaway'!$B$2:$B$1537,0)),IFERROR(INDEX('Pending Putaway'!$L$2:$L$1537,MATCH(SUBSTITUTE($A156," SS","  SS"),'Pending Putaway'!$B$2:$B$1537,0)),"NA"))</f>
        <v>0</v>
      </c>
    </row>
    <row r="157" customFormat="false" ht="15" hidden="false" customHeight="false" outlineLevel="0" collapsed="false">
      <c r="A157" s="63" t="s">
        <v>280</v>
      </c>
      <c r="B157" s="63" t="str">
        <f aca="false">IFERROR(INDEX('CLM &amp; IM Mapping'!$B$2:$B$270,MATCH($A157,'CLM &amp; IM Mapping'!$A$2:$A$270,0)),"Not Mapped")</f>
        <v>Adhavan Subramani</v>
      </c>
      <c r="C157" s="63" t="str">
        <f aca="false">IFERROR(INDEX('CLM &amp; IM Mapping'!$C$2:$C$270,MATCH($A157,'CLM &amp; IM Mapping'!$A$2:$A$270,0)),"Not Mapped")</f>
        <v>Mohammed Akbar</v>
      </c>
      <c r="D157" s="64" t="n">
        <f aca="false">IFERROR(INDEX(Shrinkage!$P$2:$P$260,MATCH($A157,Shrinkage!$D$2:$D$260,0)),IFERROR(INDEX(Shrinkage!$P$2:$P$260,MATCH(SUBSTITUTE($A157," SS","  SS"),Shrinkage!$D$2:$D$260,0)),"NA"))</f>
        <v>9473</v>
      </c>
      <c r="E157" s="65" t="n">
        <f aca="false">IFERROR(INDEX('Inventory Hygiene'!$I$3:$I$254,MATCH($A157,'Inventory Hygiene'!$B$3:$B$254,0)),IFERROR(INDEX('Inventory Hygiene'!$I$3:$I$254,MATCH(SUBSTITUTE($A157," SS","  SS"),'Inventory Hygiene'!$B$3:$B$254,0)),"NA"))</f>
        <v>0.4</v>
      </c>
      <c r="F157" s="64" t="n">
        <f aca="false">IFERROR(INDEX('Bad Bins'!$K$3:$K$253,MATCH($A157,'Bad Bins'!$B$3:$B$253,0)),IFERROR(INDEX('Bad Bins'!$K$3:$K$253,MATCH(SUBSTITUTE($A157," SS","  SS"),'Bad Bins'!$B$3:$B$253,0)),"NA"))</f>
        <v>302</v>
      </c>
      <c r="G157" s="64" t="n">
        <f aca="false">IFERROR(INDEX('RSTO &gt; 48hrs'!$H$2:$H$134,MATCH($A157,'RSTO &gt; 48hrs'!$B$2:$B$134,0)),IFERROR(INDEX('RSTO &gt; 48hrs'!$H$2:$H$134,MATCH(SUBSTITUTE($A157," SS","  SS"),'RSTO &gt; 48hrs'!$B$2:$B$134,0)),"NA"))</f>
        <v>94</v>
      </c>
      <c r="H157" s="64" t="str">
        <f aca="false">IFERROR(INDEX('Recirculation &gt; 24 hrs'!$K$3:$K$151,MATCH($A157,'Recirculation &gt; 24 hrs'!$B$3:$B$151,0)),IFERROR(INDEX('Recirculation &gt; 24 hrs'!$K$3:$K$151,MATCH(SUBSTITUTE($A157," SS","  SS"),'Recirculation &gt; 24 hrs'!$B$3:$B$151,0)),"NA"))</f>
        <v>NA</v>
      </c>
      <c r="I157" s="64" t="n">
        <f aca="false">IFERROR(INDEX('Pending Putaway'!$E$2:$E$1537,MATCH($A157,'Pending Putaway'!$B$2:$B$1537,0)),IFERROR(INDEX('Pending Putaway'!$E$2:$E$1537,MATCH(SUBSTITUTE($A157," SS","  SS"),'Pending Putaway'!$B$2:$B$1537,0)),"NA"))</f>
        <v>5560</v>
      </c>
      <c r="J157" s="64" t="n">
        <f aca="false">IFERROR(INDEX('Pending Putaway'!$L$2:$L$1537,MATCH($A157,'Pending Putaway'!$B$2:$B$1537,0)),IFERROR(INDEX('Pending Putaway'!$L$2:$L$1537,MATCH(SUBSTITUTE($A157," SS","  SS"),'Pending Putaway'!$B$2:$B$1537,0)),"NA"))</f>
        <v>1886</v>
      </c>
    </row>
    <row r="158" customFormat="false" ht="15" hidden="false" customHeight="false" outlineLevel="0" collapsed="false">
      <c r="A158" s="63" t="s">
        <v>153</v>
      </c>
      <c r="B158" s="63" t="str">
        <f aca="false">IFERROR(INDEX('CLM &amp; IM Mapping'!$B$2:$B$270,MATCH($A158,'CLM &amp; IM Mapping'!$A$2:$A$270,0)),"Not Mapped")</f>
        <v>MH</v>
      </c>
      <c r="C158" s="63" t="str">
        <f aca="false">IFERROR(INDEX('CLM &amp; IM Mapping'!$C$2:$C$270,MATCH($A158,'CLM &amp; IM Mapping'!$A$2:$A$270,0)),"Not Mapped")</f>
        <v>MH</v>
      </c>
      <c r="D158" s="64" t="n">
        <f aca="false">IFERROR(INDEX(Shrinkage!$P$2:$P$260,MATCH($A158,Shrinkage!$D$2:$D$260,0)),IFERROR(INDEX(Shrinkage!$P$2:$P$260,MATCH(SUBSTITUTE($A158," SS","  SS"),Shrinkage!$D$2:$D$260,0)),"NA"))</f>
        <v>-9363</v>
      </c>
      <c r="E158" s="65" t="n">
        <f aca="false">IFERROR(INDEX('Inventory Hygiene'!$I$3:$I$254,MATCH($A158,'Inventory Hygiene'!$B$3:$B$254,0)),IFERROR(INDEX('Inventory Hygiene'!$I$3:$I$254,MATCH(SUBSTITUTE($A158," SS","  SS"),'Inventory Hygiene'!$B$3:$B$254,0)),"NA"))</f>
        <v>0</v>
      </c>
      <c r="F158" s="64" t="str">
        <f aca="false">IFERROR(INDEX('Bad Bins'!$K$3:$K$253,MATCH($A158,'Bad Bins'!$B$3:$B$253,0)),IFERROR(INDEX('Bad Bins'!$K$3:$K$253,MATCH(SUBSTITUTE($A158," SS","  SS"),'Bad Bins'!$B$3:$B$253,0)),"NA"))</f>
        <v>NA</v>
      </c>
      <c r="G158" s="64" t="str">
        <f aca="false">IFERROR(INDEX('RSTO &gt; 48hrs'!$H$2:$H$134,MATCH($A158,'RSTO &gt; 48hrs'!$B$2:$B$134,0)),IFERROR(INDEX('RSTO &gt; 48hrs'!$H$2:$H$134,MATCH(SUBSTITUTE($A158," SS","  SS"),'RSTO &gt; 48hrs'!$B$2:$B$134,0)),"NA"))</f>
        <v>NA</v>
      </c>
      <c r="H158" s="64" t="str">
        <f aca="false">IFERROR(INDEX('Recirculation &gt; 24 hrs'!$K$3:$K$151,MATCH($A158,'Recirculation &gt; 24 hrs'!$B$3:$B$151,0)),IFERROR(INDEX('Recirculation &gt; 24 hrs'!$K$3:$K$151,MATCH(SUBSTITUTE($A158," SS","  SS"),'Recirculation &gt; 24 hrs'!$B$3:$B$151,0)),"NA"))</f>
        <v>NA</v>
      </c>
      <c r="I158" s="64" t="n">
        <f aca="false">IFERROR(INDEX('Pending Putaway'!$E$2:$E$1537,MATCH($A158,'Pending Putaway'!$B$2:$B$1537,0)),IFERROR(INDEX('Pending Putaway'!$E$2:$E$1537,MATCH(SUBSTITUTE($A158," SS","  SS"),'Pending Putaway'!$B$2:$B$1537,0)),"NA"))</f>
        <v>0</v>
      </c>
      <c r="J158" s="64" t="n">
        <f aca="false">IFERROR(INDEX('Pending Putaway'!$L$2:$L$1537,MATCH($A158,'Pending Putaway'!$B$2:$B$1537,0)),IFERROR(INDEX('Pending Putaway'!$L$2:$L$1537,MATCH(SUBSTITUTE($A158," SS","  SS"),'Pending Putaway'!$B$2:$B$1537,0)),"NA"))</f>
        <v>0</v>
      </c>
    </row>
    <row r="159" customFormat="false" ht="15" hidden="false" customHeight="false" outlineLevel="0" collapsed="false">
      <c r="A159" s="63" t="s">
        <v>162</v>
      </c>
      <c r="B159" s="63" t="str">
        <f aca="false">IFERROR(INDEX('CLM &amp; IM Mapping'!$B$2:$B$270,MATCH($A159,'CLM &amp; IM Mapping'!$A$2:$A$270,0)),"Not Mapped")</f>
        <v>MH</v>
      </c>
      <c r="C159" s="63" t="str">
        <f aca="false">IFERROR(INDEX('CLM &amp; IM Mapping'!$C$2:$C$270,MATCH($A159,'CLM &amp; IM Mapping'!$A$2:$A$270,0)),"Not Mapped")</f>
        <v>MH</v>
      </c>
      <c r="D159" s="64" t="n">
        <f aca="false">IFERROR(INDEX(Shrinkage!$P$2:$P$260,MATCH($A159,Shrinkage!$D$2:$D$260,0)),IFERROR(INDEX(Shrinkage!$P$2:$P$260,MATCH(SUBSTITUTE($A159," SS","  SS"),Shrinkage!$D$2:$D$260,0)),"NA"))</f>
        <v>690</v>
      </c>
      <c r="E159" s="65" t="str">
        <f aca="false">IFERROR(INDEX('Inventory Hygiene'!$I$3:$I$254,MATCH($A159,'Inventory Hygiene'!$B$3:$B$254,0)),IFERROR(INDEX('Inventory Hygiene'!$I$3:$I$254,MATCH(SUBSTITUTE($A159," SS","  SS"),'Inventory Hygiene'!$B$3:$B$254,0)),"NA"))</f>
        <v>NA</v>
      </c>
      <c r="F159" s="64" t="str">
        <f aca="false">IFERROR(INDEX('Bad Bins'!$K$3:$K$253,MATCH($A159,'Bad Bins'!$B$3:$B$253,0)),IFERROR(INDEX('Bad Bins'!$K$3:$K$253,MATCH(SUBSTITUTE($A159," SS","  SS"),'Bad Bins'!$B$3:$B$253,0)),"NA"))</f>
        <v>NA</v>
      </c>
      <c r="G159" s="64" t="str">
        <f aca="false">IFERROR(INDEX('RSTO &gt; 48hrs'!$H$2:$H$134,MATCH($A159,'RSTO &gt; 48hrs'!$B$2:$B$134,0)),IFERROR(INDEX('RSTO &gt; 48hrs'!$H$2:$H$134,MATCH(SUBSTITUTE($A159," SS","  SS"),'RSTO &gt; 48hrs'!$B$2:$B$134,0)),"NA"))</f>
        <v>NA</v>
      </c>
      <c r="H159" s="64" t="str">
        <f aca="false">IFERROR(INDEX('Recirculation &gt; 24 hrs'!$K$3:$K$151,MATCH($A159,'Recirculation &gt; 24 hrs'!$B$3:$B$151,0)),IFERROR(INDEX('Recirculation &gt; 24 hrs'!$K$3:$K$151,MATCH(SUBSTITUTE($A159," SS","  SS"),'Recirculation &gt; 24 hrs'!$B$3:$B$151,0)),"NA"))</f>
        <v>NA</v>
      </c>
      <c r="I159" s="64" t="n">
        <f aca="false">IFERROR(INDEX('Pending Putaway'!$E$2:$E$1537,MATCH($A159,'Pending Putaway'!$B$2:$B$1537,0)),IFERROR(INDEX('Pending Putaway'!$E$2:$E$1537,MATCH(SUBSTITUTE($A159," SS","  SS"),'Pending Putaway'!$B$2:$B$1537,0)),"NA"))</f>
        <v>0</v>
      </c>
      <c r="J159" s="64" t="n">
        <f aca="false">IFERROR(INDEX('Pending Putaway'!$L$2:$L$1537,MATCH($A159,'Pending Putaway'!$B$2:$B$1537,0)),IFERROR(INDEX('Pending Putaway'!$L$2:$L$1537,MATCH(SUBSTITUTE($A159," SS","  SS"),'Pending Putaway'!$B$2:$B$1537,0)),"NA"))</f>
        <v>0</v>
      </c>
    </row>
    <row r="160" customFormat="false" ht="15" hidden="false" customHeight="false" outlineLevel="0" collapsed="false">
      <c r="A160" s="63" t="s">
        <v>238</v>
      </c>
      <c r="B160" s="63" t="str">
        <f aca="false">IFERROR(INDEX('CLM &amp; IM Mapping'!$B$2:$B$270,MATCH($A160,'CLM &amp; IM Mapping'!$A$2:$A$270,0)),"Not Mapped")</f>
        <v>Bangareppa CS</v>
      </c>
      <c r="C160" s="63" t="str">
        <f aca="false">IFERROR(INDEX('CLM &amp; IM Mapping'!$C$2:$C$270,MATCH($A160,'CLM &amp; IM Mapping'!$A$2:$A$270,0)),"Not Mapped")</f>
        <v>Kishor K</v>
      </c>
      <c r="D160" s="64" t="n">
        <f aca="false">IFERROR(INDEX(Shrinkage!$P$2:$P$260,MATCH($A160,Shrinkage!$D$2:$D$260,0)),IFERROR(INDEX(Shrinkage!$P$2:$P$260,MATCH(SUBSTITUTE($A160," SS","  SS"),Shrinkage!$D$2:$D$260,0)),"NA"))</f>
        <v>-2154</v>
      </c>
      <c r="E160" s="65" t="n">
        <f aca="false">IFERROR(INDEX('Inventory Hygiene'!$I$3:$I$254,MATCH($A160,'Inventory Hygiene'!$B$3:$B$254,0)),IFERROR(INDEX('Inventory Hygiene'!$I$3:$I$254,MATCH(SUBSTITUTE($A160," SS","  SS"),'Inventory Hygiene'!$B$3:$B$254,0)),"NA"))</f>
        <v>0.75</v>
      </c>
      <c r="F160" s="64" t="n">
        <f aca="false">IFERROR(INDEX('Bad Bins'!$K$3:$K$253,MATCH($A160,'Bad Bins'!$B$3:$B$253,0)),IFERROR(INDEX('Bad Bins'!$K$3:$K$253,MATCH(SUBSTITUTE($A160," SS","  SS"),'Bad Bins'!$B$3:$B$253,0)),"NA"))</f>
        <v>119</v>
      </c>
      <c r="G160" s="64" t="str">
        <f aca="false">IFERROR(INDEX('RSTO &gt; 48hrs'!$H$2:$H$134,MATCH($A160,'RSTO &gt; 48hrs'!$B$2:$B$134,0)),IFERROR(INDEX('RSTO &gt; 48hrs'!$H$2:$H$134,MATCH(SUBSTITUTE($A160," SS","  SS"),'RSTO &gt; 48hrs'!$B$2:$B$134,0)),"NA"))</f>
        <v>NA</v>
      </c>
      <c r="H160" s="64" t="str">
        <f aca="false">IFERROR(INDEX('Recirculation &gt; 24 hrs'!$K$3:$K$151,MATCH($A160,'Recirculation &gt; 24 hrs'!$B$3:$B$151,0)),IFERROR(INDEX('Recirculation &gt; 24 hrs'!$K$3:$K$151,MATCH(SUBSTITUTE($A160," SS","  SS"),'Recirculation &gt; 24 hrs'!$B$3:$B$151,0)),"NA"))</f>
        <v>NA</v>
      </c>
      <c r="I160" s="64" t="n">
        <f aca="false">IFERROR(INDEX('Pending Putaway'!$E$2:$E$1537,MATCH($A160,'Pending Putaway'!$B$2:$B$1537,0)),IFERROR(INDEX('Pending Putaway'!$E$2:$E$1537,MATCH(SUBSTITUTE($A160," SS","  SS"),'Pending Putaway'!$B$2:$B$1537,0)),"NA"))</f>
        <v>209</v>
      </c>
      <c r="J160" s="64" t="n">
        <f aca="false">IFERROR(INDEX('Pending Putaway'!$L$2:$L$1537,MATCH($A160,'Pending Putaway'!$B$2:$B$1537,0)),IFERROR(INDEX('Pending Putaway'!$L$2:$L$1537,MATCH(SUBSTITUTE($A160," SS","  SS"),'Pending Putaway'!$B$2:$B$1537,0)),"NA"))</f>
        <v>0</v>
      </c>
    </row>
    <row r="161" customFormat="false" ht="15" hidden="false" customHeight="false" outlineLevel="0" collapsed="false">
      <c r="A161" s="63" t="s">
        <v>229</v>
      </c>
      <c r="B161" s="63" t="str">
        <f aca="false">IFERROR(INDEX('CLM &amp; IM Mapping'!$B$2:$B$270,MATCH($A161,'CLM &amp; IM Mapping'!$A$2:$A$270,0)),"Not Mapped")</f>
        <v>Bangareppa CS</v>
      </c>
      <c r="C161" s="63" t="str">
        <f aca="false">IFERROR(INDEX('CLM &amp; IM Mapping'!$C$2:$C$270,MATCH($A161,'CLM &amp; IM Mapping'!$A$2:$A$270,0)),"Not Mapped")</f>
        <v>Kishor K</v>
      </c>
      <c r="D161" s="64" t="n">
        <f aca="false">IFERROR(INDEX(Shrinkage!$P$2:$P$260,MATCH($A161,Shrinkage!$D$2:$D$260,0)),IFERROR(INDEX(Shrinkage!$P$2:$P$260,MATCH(SUBSTITUTE($A161," SS","  SS"),Shrinkage!$D$2:$D$260,0)),"NA"))</f>
        <v>-1558</v>
      </c>
      <c r="E161" s="65" t="n">
        <f aca="false">IFERROR(INDEX('Inventory Hygiene'!$I$3:$I$254,MATCH($A161,'Inventory Hygiene'!$B$3:$B$254,0)),IFERROR(INDEX('Inventory Hygiene'!$I$3:$I$254,MATCH(SUBSTITUTE($A161," SS","  SS"),'Inventory Hygiene'!$B$3:$B$254,0)),"NA"))</f>
        <v>0.55</v>
      </c>
      <c r="F161" s="64" t="n">
        <f aca="false">IFERROR(INDEX('Bad Bins'!$K$3:$K$253,MATCH($A161,'Bad Bins'!$B$3:$B$253,0)),IFERROR(INDEX('Bad Bins'!$K$3:$K$253,MATCH(SUBSTITUTE($A161," SS","  SS"),'Bad Bins'!$B$3:$B$253,0)),"NA"))</f>
        <v>149</v>
      </c>
      <c r="G161" s="64" t="n">
        <f aca="false">IFERROR(INDEX('RSTO &gt; 48hrs'!$H$2:$H$134,MATCH($A161,'RSTO &gt; 48hrs'!$B$2:$B$134,0)),IFERROR(INDEX('RSTO &gt; 48hrs'!$H$2:$H$134,MATCH(SUBSTITUTE($A161," SS","  SS"),'RSTO &gt; 48hrs'!$B$2:$B$134,0)),"NA"))</f>
        <v>7</v>
      </c>
      <c r="H161" s="64" t="n">
        <f aca="false">IFERROR(INDEX('Recirculation &gt; 24 hrs'!$K$3:$K$151,MATCH($A161,'Recirculation &gt; 24 hrs'!$B$3:$B$151,0)),IFERROR(INDEX('Recirculation &gt; 24 hrs'!$K$3:$K$151,MATCH(SUBSTITUTE($A161," SS","  SS"),'Recirculation &gt; 24 hrs'!$B$3:$B$151,0)),"NA"))</f>
        <v>2</v>
      </c>
      <c r="I161" s="64" t="n">
        <f aca="false">IFERROR(INDEX('Pending Putaway'!$E$2:$E$1537,MATCH($A161,'Pending Putaway'!$B$2:$B$1537,0)),IFERROR(INDEX('Pending Putaway'!$E$2:$E$1537,MATCH(SUBSTITUTE($A161," SS","  SS"),'Pending Putaway'!$B$2:$B$1537,0)),"NA"))</f>
        <v>39</v>
      </c>
      <c r="J161" s="64" t="n">
        <f aca="false">IFERROR(INDEX('Pending Putaway'!$L$2:$L$1537,MATCH($A161,'Pending Putaway'!$B$2:$B$1537,0)),IFERROR(INDEX('Pending Putaway'!$L$2:$L$1537,MATCH(SUBSTITUTE($A161," SS","  SS"),'Pending Putaway'!$B$2:$B$1537,0)),"NA"))</f>
        <v>0</v>
      </c>
    </row>
    <row r="162" customFormat="false" ht="15" hidden="false" customHeight="false" outlineLevel="0" collapsed="false">
      <c r="A162" s="63" t="s">
        <v>208</v>
      </c>
      <c r="B162" s="63" t="str">
        <f aca="false">IFERROR(INDEX('CLM &amp; IM Mapping'!$B$2:$B$270,MATCH($A162,'CLM &amp; IM Mapping'!$A$2:$A$270,0)),"Not Mapped")</f>
        <v>Bangareppa CS</v>
      </c>
      <c r="C162" s="63" t="str">
        <f aca="false">IFERROR(INDEX('CLM &amp; IM Mapping'!$C$2:$C$270,MATCH($A162,'CLM &amp; IM Mapping'!$A$2:$A$270,0)),"Not Mapped")</f>
        <v>Kishor K</v>
      </c>
      <c r="D162" s="64" t="n">
        <f aca="false">IFERROR(INDEX(Shrinkage!$P$2:$P$260,MATCH($A162,Shrinkage!$D$2:$D$260,0)),IFERROR(INDEX(Shrinkage!$P$2:$P$260,MATCH(SUBSTITUTE($A162," SS","  SS"),Shrinkage!$D$2:$D$260,0)),"NA"))</f>
        <v>5899</v>
      </c>
      <c r="E162" s="65" t="n">
        <f aca="false">IFERROR(INDEX('Inventory Hygiene'!$I$3:$I$254,MATCH($A162,'Inventory Hygiene'!$B$3:$B$254,0)),IFERROR(INDEX('Inventory Hygiene'!$I$3:$I$254,MATCH(SUBSTITUTE($A162," SS","  SS"),'Inventory Hygiene'!$B$3:$B$254,0)),"NA"))</f>
        <v>0.34</v>
      </c>
      <c r="F162" s="64" t="n">
        <f aca="false">IFERROR(INDEX('Bad Bins'!$K$3:$K$253,MATCH($A162,'Bad Bins'!$B$3:$B$253,0)),IFERROR(INDEX('Bad Bins'!$K$3:$K$253,MATCH(SUBSTITUTE($A162," SS","  SS"),'Bad Bins'!$B$3:$B$253,0)),"NA"))</f>
        <v>75</v>
      </c>
      <c r="G162" s="64" t="str">
        <f aca="false">IFERROR(INDEX('RSTO &gt; 48hrs'!$H$2:$H$134,MATCH($A162,'RSTO &gt; 48hrs'!$B$2:$B$134,0)),IFERROR(INDEX('RSTO &gt; 48hrs'!$H$2:$H$134,MATCH(SUBSTITUTE($A162," SS","  SS"),'RSTO &gt; 48hrs'!$B$2:$B$134,0)),"NA"))</f>
        <v>NA</v>
      </c>
      <c r="H162" s="64" t="n">
        <f aca="false">IFERROR(INDEX('Recirculation &gt; 24 hrs'!$K$3:$K$151,MATCH($A162,'Recirculation &gt; 24 hrs'!$B$3:$B$151,0)),IFERROR(INDEX('Recirculation &gt; 24 hrs'!$K$3:$K$151,MATCH(SUBSTITUTE($A162," SS","  SS"),'Recirculation &gt; 24 hrs'!$B$3:$B$151,0)),"NA"))</f>
        <v>1</v>
      </c>
      <c r="I162" s="64" t="n">
        <f aca="false">IFERROR(INDEX('Pending Putaway'!$E$2:$E$1537,MATCH($A162,'Pending Putaway'!$B$2:$B$1537,0)),IFERROR(INDEX('Pending Putaway'!$E$2:$E$1537,MATCH(SUBSTITUTE($A162," SS","  SS"),'Pending Putaway'!$B$2:$B$1537,0)),"NA"))</f>
        <v>787</v>
      </c>
      <c r="J162" s="64" t="n">
        <f aca="false">IFERROR(INDEX('Pending Putaway'!$L$2:$L$1537,MATCH($A162,'Pending Putaway'!$B$2:$B$1537,0)),IFERROR(INDEX('Pending Putaway'!$L$2:$L$1537,MATCH(SUBSTITUTE($A162," SS","  SS"),'Pending Putaway'!$B$2:$B$1537,0)),"NA"))</f>
        <v>0</v>
      </c>
    </row>
    <row r="163" customFormat="false" ht="15" hidden="false" customHeight="false" outlineLevel="0" collapsed="false">
      <c r="A163" s="63" t="s">
        <v>115</v>
      </c>
      <c r="B163" s="63" t="str">
        <f aca="false">IFERROR(INDEX('CLM &amp; IM Mapping'!$B$2:$B$270,MATCH($A163,'CLM &amp; IM Mapping'!$A$2:$A$270,0)),"Not Mapped")</f>
        <v>Bangareppa CS</v>
      </c>
      <c r="C163" s="63" t="str">
        <f aca="false">IFERROR(INDEX('CLM &amp; IM Mapping'!$C$2:$C$270,MATCH($A163,'CLM &amp; IM Mapping'!$A$2:$A$270,0)),"Not Mapped")</f>
        <v>Kishor K</v>
      </c>
      <c r="D163" s="64" t="n">
        <f aca="false">IFERROR(INDEX(Shrinkage!$P$2:$P$260,MATCH($A163,Shrinkage!$D$2:$D$260,0)),IFERROR(INDEX(Shrinkage!$P$2:$P$260,MATCH(SUBSTITUTE($A163," SS","  SS"),Shrinkage!$D$2:$D$260,0)),"NA"))</f>
        <v>-8566</v>
      </c>
      <c r="E163" s="65" t="n">
        <f aca="false">IFERROR(INDEX('Inventory Hygiene'!$I$3:$I$254,MATCH($A163,'Inventory Hygiene'!$B$3:$B$254,0)),IFERROR(INDEX('Inventory Hygiene'!$I$3:$I$254,MATCH(SUBSTITUTE($A163," SS","  SS"),'Inventory Hygiene'!$B$3:$B$254,0)),"NA"))</f>
        <v>0.55</v>
      </c>
      <c r="F163" s="64" t="n">
        <f aca="false">IFERROR(INDEX('Bad Bins'!$K$3:$K$253,MATCH($A163,'Bad Bins'!$B$3:$B$253,0)),IFERROR(INDEX('Bad Bins'!$K$3:$K$253,MATCH(SUBSTITUTE($A163," SS","  SS"),'Bad Bins'!$B$3:$B$253,0)),"NA"))</f>
        <v>81</v>
      </c>
      <c r="G163" s="64" t="n">
        <f aca="false">IFERROR(INDEX('RSTO &gt; 48hrs'!$H$2:$H$134,MATCH($A163,'RSTO &gt; 48hrs'!$B$2:$B$134,0)),IFERROR(INDEX('RSTO &gt; 48hrs'!$H$2:$H$134,MATCH(SUBSTITUTE($A163," SS","  SS"),'RSTO &gt; 48hrs'!$B$2:$B$134,0)),"NA"))</f>
        <v>158</v>
      </c>
      <c r="H163" s="64" t="n">
        <f aca="false">IFERROR(INDEX('Recirculation &gt; 24 hrs'!$K$3:$K$151,MATCH($A163,'Recirculation &gt; 24 hrs'!$B$3:$B$151,0)),IFERROR(INDEX('Recirculation &gt; 24 hrs'!$K$3:$K$151,MATCH(SUBSTITUTE($A163," SS","  SS"),'Recirculation &gt; 24 hrs'!$B$3:$B$151,0)),"NA"))</f>
        <v>1</v>
      </c>
      <c r="I163" s="64" t="n">
        <f aca="false">IFERROR(INDEX('Pending Putaway'!$E$2:$E$1537,MATCH($A163,'Pending Putaway'!$B$2:$B$1537,0)),IFERROR(INDEX('Pending Putaway'!$E$2:$E$1537,MATCH(SUBSTITUTE($A163," SS","  SS"),'Pending Putaway'!$B$2:$B$1537,0)),"NA"))</f>
        <v>167</v>
      </c>
      <c r="J163" s="64" t="n">
        <f aca="false">IFERROR(INDEX('Pending Putaway'!$L$2:$L$1537,MATCH($A163,'Pending Putaway'!$B$2:$B$1537,0)),IFERROR(INDEX('Pending Putaway'!$L$2:$L$1537,MATCH(SUBSTITUTE($A163," SS","  SS"),'Pending Putaway'!$B$2:$B$1537,0)),"NA"))</f>
        <v>0</v>
      </c>
    </row>
    <row r="164" customFormat="false" ht="15" hidden="false" customHeight="false" outlineLevel="0" collapsed="false">
      <c r="A164" s="63" t="s">
        <v>93</v>
      </c>
      <c r="B164" s="63" t="str">
        <f aca="false">IFERROR(INDEX('CLM &amp; IM Mapping'!$B$2:$B$270,MATCH($A164,'CLM &amp; IM Mapping'!$A$2:$A$270,0)),"Not Mapped")</f>
        <v>Bangareppa CS</v>
      </c>
      <c r="C164" s="63" t="str">
        <f aca="false">IFERROR(INDEX('CLM &amp; IM Mapping'!$C$2:$C$270,MATCH($A164,'CLM &amp; IM Mapping'!$A$2:$A$270,0)),"Not Mapped")</f>
        <v>Kishor K</v>
      </c>
      <c r="D164" s="64" t="n">
        <f aca="false">IFERROR(INDEX(Shrinkage!$P$2:$P$260,MATCH($A164,Shrinkage!$D$2:$D$260,0)),IFERROR(INDEX(Shrinkage!$P$2:$P$260,MATCH(SUBSTITUTE($A164," SS","  SS"),Shrinkage!$D$2:$D$260,0)),"NA"))</f>
        <v>20817</v>
      </c>
      <c r="E164" s="65" t="n">
        <f aca="false">IFERROR(INDEX('Inventory Hygiene'!$I$3:$I$254,MATCH($A164,'Inventory Hygiene'!$B$3:$B$254,0)),IFERROR(INDEX('Inventory Hygiene'!$I$3:$I$254,MATCH(SUBSTITUTE($A164," SS","  SS"),'Inventory Hygiene'!$B$3:$B$254,0)),"NA"))</f>
        <v>0.37</v>
      </c>
      <c r="F164" s="64" t="n">
        <f aca="false">IFERROR(INDEX('Bad Bins'!$K$3:$K$253,MATCH($A164,'Bad Bins'!$B$3:$B$253,0)),IFERROR(INDEX('Bad Bins'!$K$3:$K$253,MATCH(SUBSTITUTE($A164," SS","  SS"),'Bad Bins'!$B$3:$B$253,0)),"NA"))</f>
        <v>201</v>
      </c>
      <c r="G164" s="64" t="str">
        <f aca="false">IFERROR(INDEX('RSTO &gt; 48hrs'!$H$2:$H$134,MATCH($A164,'RSTO &gt; 48hrs'!$B$2:$B$134,0)),IFERROR(INDEX('RSTO &gt; 48hrs'!$H$2:$H$134,MATCH(SUBSTITUTE($A164," SS","  SS"),'RSTO &gt; 48hrs'!$B$2:$B$134,0)),"NA"))</f>
        <v>NA</v>
      </c>
      <c r="H164" s="64" t="str">
        <f aca="false">IFERROR(INDEX('Recirculation &gt; 24 hrs'!$K$3:$K$151,MATCH($A164,'Recirculation &gt; 24 hrs'!$B$3:$B$151,0)),IFERROR(INDEX('Recirculation &gt; 24 hrs'!$K$3:$K$151,MATCH(SUBSTITUTE($A164," SS","  SS"),'Recirculation &gt; 24 hrs'!$B$3:$B$151,0)),"NA"))</f>
        <v>NA</v>
      </c>
      <c r="I164" s="64" t="n">
        <f aca="false">IFERROR(INDEX('Pending Putaway'!$E$2:$E$1537,MATCH($A164,'Pending Putaway'!$B$2:$B$1537,0)),IFERROR(INDEX('Pending Putaway'!$E$2:$E$1537,MATCH(SUBSTITUTE($A164," SS","  SS"),'Pending Putaway'!$B$2:$B$1537,0)),"NA"))</f>
        <v>20</v>
      </c>
      <c r="J164" s="64" t="n">
        <f aca="false">IFERROR(INDEX('Pending Putaway'!$L$2:$L$1537,MATCH($A164,'Pending Putaway'!$B$2:$B$1537,0)),IFERROR(INDEX('Pending Putaway'!$L$2:$L$1537,MATCH(SUBSTITUTE($A164," SS","  SS"),'Pending Putaway'!$B$2:$B$1537,0)),"NA"))</f>
        <v>0</v>
      </c>
    </row>
    <row r="165" customFormat="false" ht="15" hidden="false" customHeight="false" outlineLevel="0" collapsed="false">
      <c r="A165" s="63" t="s">
        <v>212</v>
      </c>
      <c r="B165" s="63" t="str">
        <f aca="false">IFERROR(INDEX('CLM &amp; IM Mapping'!$B$2:$B$270,MATCH($A165,'CLM &amp; IM Mapping'!$A$2:$A$270,0)),"Not Mapped")</f>
        <v>Narasimhamurthy R</v>
      </c>
      <c r="C165" s="63" t="str">
        <f aca="false">IFERROR(INDEX('CLM &amp; IM Mapping'!$C$2:$C$270,MATCH($A165,'CLM &amp; IM Mapping'!$A$2:$A$270,0)),"Not Mapped")</f>
        <v>Kishor K</v>
      </c>
      <c r="D165" s="64" t="n">
        <f aca="false">IFERROR(INDEX(Shrinkage!$P$2:$P$260,MATCH($A165,Shrinkage!$D$2:$D$260,0)),IFERROR(INDEX(Shrinkage!$P$2:$P$260,MATCH(SUBSTITUTE($A165," SS","  SS"),Shrinkage!$D$2:$D$260,0)),"NA"))</f>
        <v>5158</v>
      </c>
      <c r="E165" s="65" t="n">
        <f aca="false">IFERROR(INDEX('Inventory Hygiene'!$I$3:$I$254,MATCH($A165,'Inventory Hygiene'!$B$3:$B$254,0)),IFERROR(INDEX('Inventory Hygiene'!$I$3:$I$254,MATCH(SUBSTITUTE($A165," SS","  SS"),'Inventory Hygiene'!$B$3:$B$254,0)),"NA"))</f>
        <v>0.51</v>
      </c>
      <c r="F165" s="64" t="n">
        <f aca="false">IFERROR(INDEX('Bad Bins'!$K$3:$K$253,MATCH($A165,'Bad Bins'!$B$3:$B$253,0)),IFERROR(INDEX('Bad Bins'!$K$3:$K$253,MATCH(SUBSTITUTE($A165," SS","  SS"),'Bad Bins'!$B$3:$B$253,0)),"NA"))</f>
        <v>658</v>
      </c>
      <c r="G165" s="64" t="str">
        <f aca="false">IFERROR(INDEX('RSTO &gt; 48hrs'!$H$2:$H$134,MATCH($A165,'RSTO &gt; 48hrs'!$B$2:$B$134,0)),IFERROR(INDEX('RSTO &gt; 48hrs'!$H$2:$H$134,MATCH(SUBSTITUTE($A165," SS","  SS"),'RSTO &gt; 48hrs'!$B$2:$B$134,0)),"NA"))</f>
        <v>NA</v>
      </c>
      <c r="H165" s="64" t="n">
        <f aca="false">IFERROR(INDEX('Recirculation &gt; 24 hrs'!$K$3:$K$151,MATCH($A165,'Recirculation &gt; 24 hrs'!$B$3:$B$151,0)),IFERROR(INDEX('Recirculation &gt; 24 hrs'!$K$3:$K$151,MATCH(SUBSTITUTE($A165," SS","  SS"),'Recirculation &gt; 24 hrs'!$B$3:$B$151,0)),"NA"))</f>
        <v>9</v>
      </c>
      <c r="I165" s="64" t="n">
        <f aca="false">IFERROR(INDEX('Pending Putaway'!$E$2:$E$1537,MATCH($A165,'Pending Putaway'!$B$2:$B$1537,0)),IFERROR(INDEX('Pending Putaway'!$E$2:$E$1537,MATCH(SUBSTITUTE($A165," SS","  SS"),'Pending Putaway'!$B$2:$B$1537,0)),"NA"))</f>
        <v>6957</v>
      </c>
      <c r="J165" s="64" t="n">
        <f aca="false">IFERROR(INDEX('Pending Putaway'!$L$2:$L$1537,MATCH($A165,'Pending Putaway'!$B$2:$B$1537,0)),IFERROR(INDEX('Pending Putaway'!$L$2:$L$1537,MATCH(SUBSTITUTE($A165," SS","  SS"),'Pending Putaway'!$B$2:$B$1537,0)),"NA"))</f>
        <v>776</v>
      </c>
    </row>
    <row r="166" customFormat="false" ht="15" hidden="false" customHeight="false" outlineLevel="0" collapsed="false">
      <c r="A166" s="63" t="s">
        <v>30</v>
      </c>
      <c r="B166" s="63" t="str">
        <f aca="false">IFERROR(INDEX('CLM &amp; IM Mapping'!$B$2:$B$270,MATCH($A166,'CLM &amp; IM Mapping'!$A$2:$A$270,0)),"Not Mapped")</f>
        <v>Ravishankar gowda</v>
      </c>
      <c r="C166" s="63" t="str">
        <f aca="false">IFERROR(INDEX('CLM &amp; IM Mapping'!$C$2:$C$270,MATCH($A166,'CLM &amp; IM Mapping'!$A$2:$A$270,0)),"Not Mapped")</f>
        <v>Kishor K</v>
      </c>
      <c r="D166" s="64" t="n">
        <f aca="false">IFERROR(INDEX(Shrinkage!$P$2:$P$260,MATCH($A166,Shrinkage!$D$2:$D$260,0)),IFERROR(INDEX(Shrinkage!$P$2:$P$260,MATCH(SUBSTITUTE($A166," SS","  SS"),Shrinkage!$D$2:$D$260,0)),"NA"))</f>
        <v>1975</v>
      </c>
      <c r="E166" s="65" t="n">
        <f aca="false">IFERROR(INDEX('Inventory Hygiene'!$I$3:$I$254,MATCH($A166,'Inventory Hygiene'!$B$3:$B$254,0)),IFERROR(INDEX('Inventory Hygiene'!$I$3:$I$254,MATCH(SUBSTITUTE($A166," SS","  SS"),'Inventory Hygiene'!$B$3:$B$254,0)),"NA"))</f>
        <v>0.39</v>
      </c>
      <c r="F166" s="64" t="n">
        <f aca="false">IFERROR(INDEX('Bad Bins'!$K$3:$K$253,MATCH($A166,'Bad Bins'!$B$3:$B$253,0)),IFERROR(INDEX('Bad Bins'!$K$3:$K$253,MATCH(SUBSTITUTE($A166," SS","  SS"),'Bad Bins'!$B$3:$B$253,0)),"NA"))</f>
        <v>9</v>
      </c>
      <c r="G166" s="64" t="str">
        <f aca="false">IFERROR(INDEX('RSTO &gt; 48hrs'!$H$2:$H$134,MATCH($A166,'RSTO &gt; 48hrs'!$B$2:$B$134,0)),IFERROR(INDEX('RSTO &gt; 48hrs'!$H$2:$H$134,MATCH(SUBSTITUTE($A166," SS","  SS"),'RSTO &gt; 48hrs'!$B$2:$B$134,0)),"NA"))</f>
        <v>NA</v>
      </c>
      <c r="H166" s="64" t="str">
        <f aca="false">IFERROR(INDEX('Recirculation &gt; 24 hrs'!$K$3:$K$151,MATCH($A166,'Recirculation &gt; 24 hrs'!$B$3:$B$151,0)),IFERROR(INDEX('Recirculation &gt; 24 hrs'!$K$3:$K$151,MATCH(SUBSTITUTE($A166," SS","  SS"),'Recirculation &gt; 24 hrs'!$B$3:$B$151,0)),"NA"))</f>
        <v>NA</v>
      </c>
      <c r="I166" s="64" t="n">
        <f aca="false">IFERROR(INDEX('Pending Putaway'!$E$2:$E$1537,MATCH($A166,'Pending Putaway'!$B$2:$B$1537,0)),IFERROR(INDEX('Pending Putaway'!$E$2:$E$1537,MATCH(SUBSTITUTE($A166," SS","  SS"),'Pending Putaway'!$B$2:$B$1537,0)),"NA"))</f>
        <v>5</v>
      </c>
      <c r="J166" s="64" t="n">
        <f aca="false">IFERROR(INDEX('Pending Putaway'!$L$2:$L$1537,MATCH($A166,'Pending Putaway'!$B$2:$B$1537,0)),IFERROR(INDEX('Pending Putaway'!$L$2:$L$1537,MATCH(SUBSTITUTE($A166," SS","  SS"),'Pending Putaway'!$B$2:$B$1537,0)),"NA"))</f>
        <v>0</v>
      </c>
    </row>
    <row r="167" customFormat="false" ht="15" hidden="false" customHeight="false" outlineLevel="0" collapsed="false">
      <c r="A167" s="63" t="s">
        <v>129</v>
      </c>
      <c r="B167" s="63" t="str">
        <f aca="false">IFERROR(INDEX('CLM &amp; IM Mapping'!$B$2:$B$270,MATCH($A167,'CLM &amp; IM Mapping'!$A$2:$A$270,0)),"Not Mapped")</f>
        <v>Ravishankar gowda</v>
      </c>
      <c r="C167" s="63" t="str">
        <f aca="false">IFERROR(INDEX('CLM &amp; IM Mapping'!$C$2:$C$270,MATCH($A167,'CLM &amp; IM Mapping'!$A$2:$A$270,0)),"Not Mapped")</f>
        <v>Kishor K</v>
      </c>
      <c r="D167" s="64" t="n">
        <f aca="false">IFERROR(INDEX(Shrinkage!$P$2:$P$260,MATCH($A167,Shrinkage!$D$2:$D$260,0)),IFERROR(INDEX(Shrinkage!$P$2:$P$260,MATCH(SUBSTITUTE($A167," SS","  SS"),Shrinkage!$D$2:$D$260,0)),"NA"))</f>
        <v>-13822</v>
      </c>
      <c r="E167" s="65" t="n">
        <f aca="false">IFERROR(INDEX('Inventory Hygiene'!$I$3:$I$254,MATCH($A167,'Inventory Hygiene'!$B$3:$B$254,0)),IFERROR(INDEX('Inventory Hygiene'!$I$3:$I$254,MATCH(SUBSTITUTE($A167," SS","  SS"),'Inventory Hygiene'!$B$3:$B$254,0)),"NA"))</f>
        <v>0.58</v>
      </c>
      <c r="F167" s="64" t="n">
        <f aca="false">IFERROR(INDEX('Bad Bins'!$K$3:$K$253,MATCH($A167,'Bad Bins'!$B$3:$B$253,0)),IFERROR(INDEX('Bad Bins'!$K$3:$K$253,MATCH(SUBSTITUTE($A167," SS","  SS"),'Bad Bins'!$B$3:$B$253,0)),"NA"))</f>
        <v>171</v>
      </c>
      <c r="G167" s="64" t="str">
        <f aca="false">IFERROR(INDEX('RSTO &gt; 48hrs'!$H$2:$H$134,MATCH($A167,'RSTO &gt; 48hrs'!$B$2:$B$134,0)),IFERROR(INDEX('RSTO &gt; 48hrs'!$H$2:$H$134,MATCH(SUBSTITUTE($A167," SS","  SS"),'RSTO &gt; 48hrs'!$B$2:$B$134,0)),"NA"))</f>
        <v>NA</v>
      </c>
      <c r="H167" s="64" t="n">
        <f aca="false">IFERROR(INDEX('Recirculation &gt; 24 hrs'!$K$3:$K$151,MATCH($A167,'Recirculation &gt; 24 hrs'!$B$3:$B$151,0)),IFERROR(INDEX('Recirculation &gt; 24 hrs'!$K$3:$K$151,MATCH(SUBSTITUTE($A167," SS","  SS"),'Recirculation &gt; 24 hrs'!$B$3:$B$151,0)),"NA"))</f>
        <v>622</v>
      </c>
      <c r="I167" s="64" t="n">
        <f aca="false">IFERROR(INDEX('Pending Putaway'!$E$2:$E$1537,MATCH($A167,'Pending Putaway'!$B$2:$B$1537,0)),IFERROR(INDEX('Pending Putaway'!$E$2:$E$1537,MATCH(SUBSTITUTE($A167," SS","  SS"),'Pending Putaway'!$B$2:$B$1537,0)),"NA"))</f>
        <v>23</v>
      </c>
      <c r="J167" s="64" t="n">
        <f aca="false">IFERROR(INDEX('Pending Putaway'!$L$2:$L$1537,MATCH($A167,'Pending Putaway'!$B$2:$B$1537,0)),IFERROR(INDEX('Pending Putaway'!$L$2:$L$1537,MATCH(SUBSTITUTE($A167," SS","  SS"),'Pending Putaway'!$B$2:$B$1537,0)),"NA"))</f>
        <v>23</v>
      </c>
    </row>
    <row r="168" customFormat="false" ht="15" hidden="false" customHeight="false" outlineLevel="0" collapsed="false">
      <c r="A168" s="63" t="s">
        <v>63</v>
      </c>
      <c r="B168" s="63" t="str">
        <f aca="false">IFERROR(INDEX('CLM &amp; IM Mapping'!$B$2:$B$270,MATCH($A168,'CLM &amp; IM Mapping'!$A$2:$A$270,0)),"Not Mapped")</f>
        <v>Ravishankar gowda</v>
      </c>
      <c r="C168" s="63" t="str">
        <f aca="false">IFERROR(INDEX('CLM &amp; IM Mapping'!$C$2:$C$270,MATCH($A168,'CLM &amp; IM Mapping'!$A$2:$A$270,0)),"Not Mapped")</f>
        <v>Kishor K</v>
      </c>
      <c r="D168" s="64" t="n">
        <f aca="false">IFERROR(INDEX(Shrinkage!$P$2:$P$260,MATCH($A168,Shrinkage!$D$2:$D$260,0)),IFERROR(INDEX(Shrinkage!$P$2:$P$260,MATCH(SUBSTITUTE($A168," SS","  SS"),Shrinkage!$D$2:$D$260,0)),"NA"))</f>
        <v>6342</v>
      </c>
      <c r="E168" s="65" t="n">
        <f aca="false">IFERROR(INDEX('Inventory Hygiene'!$I$3:$I$254,MATCH($A168,'Inventory Hygiene'!$B$3:$B$254,0)),IFERROR(INDEX('Inventory Hygiene'!$I$3:$I$254,MATCH(SUBSTITUTE($A168," SS","  SS"),'Inventory Hygiene'!$B$3:$B$254,0)),"NA"))</f>
        <v>0.26</v>
      </c>
      <c r="F168" s="64" t="n">
        <f aca="false">IFERROR(INDEX('Bad Bins'!$K$3:$K$253,MATCH($A168,'Bad Bins'!$B$3:$B$253,0)),IFERROR(INDEX('Bad Bins'!$K$3:$K$253,MATCH(SUBSTITUTE($A168," SS","  SS"),'Bad Bins'!$B$3:$B$253,0)),"NA"))</f>
        <v>24</v>
      </c>
      <c r="G168" s="64" t="str">
        <f aca="false">IFERROR(INDEX('RSTO &gt; 48hrs'!$H$2:$H$134,MATCH($A168,'RSTO &gt; 48hrs'!$B$2:$B$134,0)),IFERROR(INDEX('RSTO &gt; 48hrs'!$H$2:$H$134,MATCH(SUBSTITUTE($A168," SS","  SS"),'RSTO &gt; 48hrs'!$B$2:$B$134,0)),"NA"))</f>
        <v>NA</v>
      </c>
      <c r="H168" s="64" t="str">
        <f aca="false">IFERROR(INDEX('Recirculation &gt; 24 hrs'!$K$3:$K$151,MATCH($A168,'Recirculation &gt; 24 hrs'!$B$3:$B$151,0)),IFERROR(INDEX('Recirculation &gt; 24 hrs'!$K$3:$K$151,MATCH(SUBSTITUTE($A168," SS","  SS"),'Recirculation &gt; 24 hrs'!$B$3:$B$151,0)),"NA"))</f>
        <v>NA</v>
      </c>
      <c r="I168" s="64" t="n">
        <f aca="false">IFERROR(INDEX('Pending Putaway'!$E$2:$E$1537,MATCH($A168,'Pending Putaway'!$B$2:$B$1537,0)),IFERROR(INDEX('Pending Putaway'!$E$2:$E$1537,MATCH(SUBSTITUTE($A168," SS","  SS"),'Pending Putaway'!$B$2:$B$1537,0)),"NA"))</f>
        <v>0</v>
      </c>
      <c r="J168" s="64" t="n">
        <f aca="false">IFERROR(INDEX('Pending Putaway'!$L$2:$L$1537,MATCH($A168,'Pending Putaway'!$B$2:$B$1537,0)),IFERROR(INDEX('Pending Putaway'!$L$2:$L$1537,MATCH(SUBSTITUTE($A168," SS","  SS"),'Pending Putaway'!$B$2:$B$1537,0)),"NA"))</f>
        <v>0</v>
      </c>
    </row>
    <row r="169" customFormat="false" ht="15" hidden="false" customHeight="false" outlineLevel="0" collapsed="false">
      <c r="A169" s="63" t="s">
        <v>28</v>
      </c>
      <c r="B169" s="63" t="str">
        <f aca="false">IFERROR(INDEX('CLM &amp; IM Mapping'!$B$2:$B$270,MATCH($A169,'CLM &amp; IM Mapping'!$A$2:$A$270,0)),"Not Mapped")</f>
        <v>Ravishankar gowda</v>
      </c>
      <c r="C169" s="63" t="str">
        <f aca="false">IFERROR(INDEX('CLM &amp; IM Mapping'!$C$2:$C$270,MATCH($A169,'CLM &amp; IM Mapping'!$A$2:$A$270,0)),"Not Mapped")</f>
        <v>Kishor K</v>
      </c>
      <c r="D169" s="64" t="n">
        <f aca="false">IFERROR(INDEX(Shrinkage!$P$2:$P$260,MATCH($A169,Shrinkage!$D$2:$D$260,0)),IFERROR(INDEX(Shrinkage!$P$2:$P$260,MATCH(SUBSTITUTE($A169," SS","  SS"),Shrinkage!$D$2:$D$260,0)),"NA"))</f>
        <v>-1928</v>
      </c>
      <c r="E169" s="65" t="n">
        <f aca="false">IFERROR(INDEX('Inventory Hygiene'!$I$3:$I$254,MATCH($A169,'Inventory Hygiene'!$B$3:$B$254,0)),IFERROR(INDEX('Inventory Hygiene'!$I$3:$I$254,MATCH(SUBSTITUTE($A169," SS","  SS"),'Inventory Hygiene'!$B$3:$B$254,0)),"NA"))</f>
        <v>0.77</v>
      </c>
      <c r="F169" s="64" t="n">
        <f aca="false">IFERROR(INDEX('Bad Bins'!$K$3:$K$253,MATCH($A169,'Bad Bins'!$B$3:$B$253,0)),IFERROR(INDEX('Bad Bins'!$K$3:$K$253,MATCH(SUBSTITUTE($A169," SS","  SS"),'Bad Bins'!$B$3:$B$253,0)),"NA"))</f>
        <v>240</v>
      </c>
      <c r="G169" s="64" t="n">
        <f aca="false">IFERROR(INDEX('RSTO &gt; 48hrs'!$H$2:$H$134,MATCH($A169,'RSTO &gt; 48hrs'!$B$2:$B$134,0)),IFERROR(INDEX('RSTO &gt; 48hrs'!$H$2:$H$134,MATCH(SUBSTITUTE($A169," SS","  SS"),'RSTO &gt; 48hrs'!$B$2:$B$134,0)),"NA"))</f>
        <v>47</v>
      </c>
      <c r="H169" s="64" t="n">
        <f aca="false">IFERROR(INDEX('Recirculation &gt; 24 hrs'!$K$3:$K$151,MATCH($A169,'Recirculation &gt; 24 hrs'!$B$3:$B$151,0)),IFERROR(INDEX('Recirculation &gt; 24 hrs'!$K$3:$K$151,MATCH(SUBSTITUTE($A169," SS","  SS"),'Recirculation &gt; 24 hrs'!$B$3:$B$151,0)),"NA"))</f>
        <v>1</v>
      </c>
      <c r="I169" s="64" t="n">
        <f aca="false">IFERROR(INDEX('Pending Putaway'!$E$2:$E$1537,MATCH($A169,'Pending Putaway'!$B$2:$B$1537,0)),IFERROR(INDEX('Pending Putaway'!$E$2:$E$1537,MATCH(SUBSTITUTE($A169," SS","  SS"),'Pending Putaway'!$B$2:$B$1537,0)),"NA"))</f>
        <v>2432</v>
      </c>
      <c r="J169" s="64" t="n">
        <f aca="false">IFERROR(INDEX('Pending Putaway'!$L$2:$L$1537,MATCH($A169,'Pending Putaway'!$B$2:$B$1537,0)),IFERROR(INDEX('Pending Putaway'!$L$2:$L$1537,MATCH(SUBSTITUTE($A169," SS","  SS"),'Pending Putaway'!$B$2:$B$1537,0)),"NA"))</f>
        <v>2432</v>
      </c>
    </row>
    <row r="170" customFormat="false" ht="15" hidden="false" customHeight="false" outlineLevel="0" collapsed="false">
      <c r="A170" s="63" t="s">
        <v>195</v>
      </c>
      <c r="B170" s="63" t="str">
        <f aca="false">IFERROR(INDEX('CLM &amp; IM Mapping'!$B$2:$B$270,MATCH($A170,'CLM &amp; IM Mapping'!$A$2:$A$270,0)),"Not Mapped")</f>
        <v>Ravishankar gowda</v>
      </c>
      <c r="C170" s="63" t="str">
        <f aca="false">IFERROR(INDEX('CLM &amp; IM Mapping'!$C$2:$C$270,MATCH($A170,'CLM &amp; IM Mapping'!$A$2:$A$270,0)),"Not Mapped")</f>
        <v>Kishor K</v>
      </c>
      <c r="D170" s="64" t="n">
        <f aca="false">IFERROR(INDEX(Shrinkage!$P$2:$P$260,MATCH($A170,Shrinkage!$D$2:$D$260,0)),IFERROR(INDEX(Shrinkage!$P$2:$P$260,MATCH(SUBSTITUTE($A170," SS","  SS"),Shrinkage!$D$2:$D$260,0)),"NA"))</f>
        <v>-16691</v>
      </c>
      <c r="E170" s="65" t="n">
        <f aca="false">IFERROR(INDEX('Inventory Hygiene'!$I$3:$I$254,MATCH($A170,'Inventory Hygiene'!$B$3:$B$254,0)),IFERROR(INDEX('Inventory Hygiene'!$I$3:$I$254,MATCH(SUBSTITUTE($A170," SS","  SS"),'Inventory Hygiene'!$B$3:$B$254,0)),"NA"))</f>
        <v>0.83</v>
      </c>
      <c r="F170" s="64" t="n">
        <f aca="false">IFERROR(INDEX('Bad Bins'!$K$3:$K$253,MATCH($A170,'Bad Bins'!$B$3:$B$253,0)),IFERROR(INDEX('Bad Bins'!$K$3:$K$253,MATCH(SUBSTITUTE($A170," SS","  SS"),'Bad Bins'!$B$3:$B$253,0)),"NA"))</f>
        <v>163</v>
      </c>
      <c r="G170" s="64" t="n">
        <f aca="false">IFERROR(INDEX('RSTO &gt; 48hrs'!$H$2:$H$134,MATCH($A170,'RSTO &gt; 48hrs'!$B$2:$B$134,0)),IFERROR(INDEX('RSTO &gt; 48hrs'!$H$2:$H$134,MATCH(SUBSTITUTE($A170," SS","  SS"),'RSTO &gt; 48hrs'!$B$2:$B$134,0)),"NA"))</f>
        <v>6</v>
      </c>
      <c r="H170" s="64" t="str">
        <f aca="false">IFERROR(INDEX('Recirculation &gt; 24 hrs'!$K$3:$K$151,MATCH($A170,'Recirculation &gt; 24 hrs'!$B$3:$B$151,0)),IFERROR(INDEX('Recirculation &gt; 24 hrs'!$K$3:$K$151,MATCH(SUBSTITUTE($A170," SS","  SS"),'Recirculation &gt; 24 hrs'!$B$3:$B$151,0)),"NA"))</f>
        <v>NA</v>
      </c>
      <c r="I170" s="64" t="n">
        <f aca="false">IFERROR(INDEX('Pending Putaway'!$E$2:$E$1537,MATCH($A170,'Pending Putaway'!$B$2:$B$1537,0)),IFERROR(INDEX('Pending Putaway'!$E$2:$E$1537,MATCH(SUBSTITUTE($A170," SS","  SS"),'Pending Putaway'!$B$2:$B$1537,0)),"NA"))</f>
        <v>7312</v>
      </c>
      <c r="J170" s="64" t="n">
        <f aca="false">IFERROR(INDEX('Pending Putaway'!$L$2:$L$1537,MATCH($A170,'Pending Putaway'!$B$2:$B$1537,0)),IFERROR(INDEX('Pending Putaway'!$L$2:$L$1537,MATCH(SUBSTITUTE($A170," SS","  SS"),'Pending Putaway'!$B$2:$B$1537,0)),"NA"))</f>
        <v>0</v>
      </c>
    </row>
    <row r="171" customFormat="false" ht="15" hidden="false" customHeight="false" outlineLevel="0" collapsed="false">
      <c r="A171" s="63" t="s">
        <v>237</v>
      </c>
      <c r="B171" s="63" t="str">
        <f aca="false">IFERROR(INDEX('CLM &amp; IM Mapping'!$B$2:$B$270,MATCH($A171,'CLM &amp; IM Mapping'!$A$2:$A$270,0)),"Not Mapped")</f>
        <v>Ravishankar gowda</v>
      </c>
      <c r="C171" s="63" t="str">
        <f aca="false">IFERROR(INDEX('CLM &amp; IM Mapping'!$C$2:$C$270,MATCH($A171,'CLM &amp; IM Mapping'!$A$2:$A$270,0)),"Not Mapped")</f>
        <v>Kishor K</v>
      </c>
      <c r="D171" s="64" t="n">
        <f aca="false">IFERROR(INDEX(Shrinkage!$P$2:$P$260,MATCH($A171,Shrinkage!$D$2:$D$260,0)),IFERROR(INDEX(Shrinkage!$P$2:$P$260,MATCH(SUBSTITUTE($A171," SS","  SS"),Shrinkage!$D$2:$D$260,0)),"NA"))</f>
        <v>-2840</v>
      </c>
      <c r="E171" s="65" t="n">
        <f aca="false">IFERROR(INDEX('Inventory Hygiene'!$I$3:$I$254,MATCH($A171,'Inventory Hygiene'!$B$3:$B$254,0)),IFERROR(INDEX('Inventory Hygiene'!$I$3:$I$254,MATCH(SUBSTITUTE($A171," SS","  SS"),'Inventory Hygiene'!$B$3:$B$254,0)),"NA"))</f>
        <v>0.34</v>
      </c>
      <c r="F171" s="64" t="n">
        <f aca="false">IFERROR(INDEX('Bad Bins'!$K$3:$K$253,MATCH($A171,'Bad Bins'!$B$3:$B$253,0)),IFERROR(INDEX('Bad Bins'!$K$3:$K$253,MATCH(SUBSTITUTE($A171," SS","  SS"),'Bad Bins'!$B$3:$B$253,0)),"NA"))</f>
        <v>118</v>
      </c>
      <c r="G171" s="64" t="str">
        <f aca="false">IFERROR(INDEX('RSTO &gt; 48hrs'!$H$2:$H$134,MATCH($A171,'RSTO &gt; 48hrs'!$B$2:$B$134,0)),IFERROR(INDEX('RSTO &gt; 48hrs'!$H$2:$H$134,MATCH(SUBSTITUTE($A171," SS","  SS"),'RSTO &gt; 48hrs'!$B$2:$B$134,0)),"NA"))</f>
        <v>NA</v>
      </c>
      <c r="H171" s="64" t="str">
        <f aca="false">IFERROR(INDEX('Recirculation &gt; 24 hrs'!$K$3:$K$151,MATCH($A171,'Recirculation &gt; 24 hrs'!$B$3:$B$151,0)),IFERROR(INDEX('Recirculation &gt; 24 hrs'!$K$3:$K$151,MATCH(SUBSTITUTE($A171," SS","  SS"),'Recirculation &gt; 24 hrs'!$B$3:$B$151,0)),"NA"))</f>
        <v>NA</v>
      </c>
      <c r="I171" s="64" t="n">
        <f aca="false">IFERROR(INDEX('Pending Putaway'!$E$2:$E$1537,MATCH($A171,'Pending Putaway'!$B$2:$B$1537,0)),IFERROR(INDEX('Pending Putaway'!$E$2:$E$1537,MATCH(SUBSTITUTE($A171," SS","  SS"),'Pending Putaway'!$B$2:$B$1537,0)),"NA"))</f>
        <v>3503</v>
      </c>
      <c r="J171" s="64" t="n">
        <f aca="false">IFERROR(INDEX('Pending Putaway'!$L$2:$L$1537,MATCH($A171,'Pending Putaway'!$B$2:$B$1537,0)),IFERROR(INDEX('Pending Putaway'!$L$2:$L$1537,MATCH(SUBSTITUTE($A171," SS","  SS"),'Pending Putaway'!$B$2:$B$1537,0)),"NA"))</f>
        <v>13</v>
      </c>
    </row>
    <row r="172" customFormat="false" ht="15" hidden="false" customHeight="false" outlineLevel="0" collapsed="false">
      <c r="A172" s="63" t="s">
        <v>235</v>
      </c>
      <c r="B172" s="63" t="str">
        <f aca="false">IFERROR(INDEX('CLM &amp; IM Mapping'!$B$2:$B$270,MATCH($A172,'CLM &amp; IM Mapping'!$A$2:$A$270,0)),"Not Mapped")</f>
        <v>Ravishankar gowda</v>
      </c>
      <c r="C172" s="63" t="str">
        <f aca="false">IFERROR(INDEX('CLM &amp; IM Mapping'!$C$2:$C$270,MATCH($A172,'CLM &amp; IM Mapping'!$A$2:$A$270,0)),"Not Mapped")</f>
        <v>Kishor K</v>
      </c>
      <c r="D172" s="64" t="n">
        <f aca="false">IFERROR(INDEX(Shrinkage!$P$2:$P$260,MATCH($A172,Shrinkage!$D$2:$D$260,0)),IFERROR(INDEX(Shrinkage!$P$2:$P$260,MATCH(SUBSTITUTE($A172," SS","  SS"),Shrinkage!$D$2:$D$260,0)),"NA"))</f>
        <v>-4178</v>
      </c>
      <c r="E172" s="65" t="n">
        <f aca="false">IFERROR(INDEX('Inventory Hygiene'!$I$3:$I$254,MATCH($A172,'Inventory Hygiene'!$B$3:$B$254,0)),IFERROR(INDEX('Inventory Hygiene'!$I$3:$I$254,MATCH(SUBSTITUTE($A172," SS","  SS"),'Inventory Hygiene'!$B$3:$B$254,0)),"NA"))</f>
        <v>0.79</v>
      </c>
      <c r="F172" s="64" t="n">
        <f aca="false">IFERROR(INDEX('Bad Bins'!$K$3:$K$253,MATCH($A172,'Bad Bins'!$B$3:$B$253,0)),IFERROR(INDEX('Bad Bins'!$K$3:$K$253,MATCH(SUBSTITUTE($A172," SS","  SS"),'Bad Bins'!$B$3:$B$253,0)),"NA"))</f>
        <v>52</v>
      </c>
      <c r="G172" s="64" t="n">
        <f aca="false">IFERROR(INDEX('RSTO &gt; 48hrs'!$H$2:$H$134,MATCH($A172,'RSTO &gt; 48hrs'!$B$2:$B$134,0)),IFERROR(INDEX('RSTO &gt; 48hrs'!$H$2:$H$134,MATCH(SUBSTITUTE($A172," SS","  SS"),'RSTO &gt; 48hrs'!$B$2:$B$134,0)),"NA"))</f>
        <v>1</v>
      </c>
      <c r="H172" s="64" t="str">
        <f aca="false">IFERROR(INDEX('Recirculation &gt; 24 hrs'!$K$3:$K$151,MATCH($A172,'Recirculation &gt; 24 hrs'!$B$3:$B$151,0)),IFERROR(INDEX('Recirculation &gt; 24 hrs'!$K$3:$K$151,MATCH(SUBSTITUTE($A172," SS","  SS"),'Recirculation &gt; 24 hrs'!$B$3:$B$151,0)),"NA"))</f>
        <v>NA</v>
      </c>
      <c r="I172" s="64" t="n">
        <f aca="false">IFERROR(INDEX('Pending Putaway'!$E$2:$E$1537,MATCH($A172,'Pending Putaway'!$B$2:$B$1537,0)),IFERROR(INDEX('Pending Putaway'!$E$2:$E$1537,MATCH(SUBSTITUTE($A172," SS","  SS"),'Pending Putaway'!$B$2:$B$1537,0)),"NA"))</f>
        <v>329</v>
      </c>
      <c r="J172" s="64" t="n">
        <f aca="false">IFERROR(INDEX('Pending Putaway'!$L$2:$L$1537,MATCH($A172,'Pending Putaway'!$B$2:$B$1537,0)),IFERROR(INDEX('Pending Putaway'!$L$2:$L$1537,MATCH(SUBSTITUTE($A172," SS","  SS"),'Pending Putaway'!$B$2:$B$1537,0)),"NA"))</f>
        <v>0</v>
      </c>
    </row>
    <row r="173" customFormat="false" ht="15" hidden="false" customHeight="false" outlineLevel="0" collapsed="false">
      <c r="A173" s="63" t="s">
        <v>156</v>
      </c>
      <c r="B173" s="63" t="str">
        <f aca="false">IFERROR(INDEX('CLM &amp; IM Mapping'!$B$2:$B$270,MATCH($A173,'CLM &amp; IM Mapping'!$A$2:$A$270,0)),"Not Mapped")</f>
        <v>Majid Kakatikar</v>
      </c>
      <c r="C173" s="63" t="str">
        <f aca="false">IFERROR(INDEX('CLM &amp; IM Mapping'!$C$2:$C$270,MATCH($A173,'CLM &amp; IM Mapping'!$A$2:$A$270,0)),"Not Mapped")</f>
        <v>Kishor K</v>
      </c>
      <c r="D173" s="64" t="n">
        <f aca="false">IFERROR(INDEX(Shrinkage!$P$2:$P$260,MATCH($A173,Shrinkage!$D$2:$D$260,0)),IFERROR(INDEX(Shrinkage!$P$2:$P$260,MATCH(SUBSTITUTE($A173," SS","  SS"),Shrinkage!$D$2:$D$260,0)),"NA"))</f>
        <v>9545</v>
      </c>
      <c r="E173" s="65" t="n">
        <f aca="false">IFERROR(INDEX('Inventory Hygiene'!$I$3:$I$254,MATCH($A173,'Inventory Hygiene'!$B$3:$B$254,0)),IFERROR(INDEX('Inventory Hygiene'!$I$3:$I$254,MATCH(SUBSTITUTE($A173," SS","  SS"),'Inventory Hygiene'!$B$3:$B$254,0)),"NA"))</f>
        <v>0.35</v>
      </c>
      <c r="F173" s="64" t="n">
        <f aca="false">IFERROR(INDEX('Bad Bins'!$K$3:$K$253,MATCH($A173,'Bad Bins'!$B$3:$B$253,0)),IFERROR(INDEX('Bad Bins'!$K$3:$K$253,MATCH(SUBSTITUTE($A173," SS","  SS"),'Bad Bins'!$B$3:$B$253,0)),"NA"))</f>
        <v>74</v>
      </c>
      <c r="G173" s="64" t="str">
        <f aca="false">IFERROR(INDEX('RSTO &gt; 48hrs'!$H$2:$H$134,MATCH($A173,'RSTO &gt; 48hrs'!$B$2:$B$134,0)),IFERROR(INDEX('RSTO &gt; 48hrs'!$H$2:$H$134,MATCH(SUBSTITUTE($A173," SS","  SS"),'RSTO &gt; 48hrs'!$B$2:$B$134,0)),"NA"))</f>
        <v>NA</v>
      </c>
      <c r="H173" s="64" t="str">
        <f aca="false">IFERROR(INDEX('Recirculation &gt; 24 hrs'!$K$3:$K$151,MATCH($A173,'Recirculation &gt; 24 hrs'!$B$3:$B$151,0)),IFERROR(INDEX('Recirculation &gt; 24 hrs'!$K$3:$K$151,MATCH(SUBSTITUTE($A173," SS","  SS"),'Recirculation &gt; 24 hrs'!$B$3:$B$151,0)),"NA"))</f>
        <v>NA</v>
      </c>
      <c r="I173" s="64" t="n">
        <f aca="false">IFERROR(INDEX('Pending Putaway'!$E$2:$E$1537,MATCH($A173,'Pending Putaway'!$B$2:$B$1537,0)),IFERROR(INDEX('Pending Putaway'!$E$2:$E$1537,MATCH(SUBSTITUTE($A173," SS","  SS"),'Pending Putaway'!$B$2:$B$1537,0)),"NA"))</f>
        <v>0</v>
      </c>
      <c r="J173" s="64" t="n">
        <f aca="false">IFERROR(INDEX('Pending Putaway'!$L$2:$L$1537,MATCH($A173,'Pending Putaway'!$B$2:$B$1537,0)),IFERROR(INDEX('Pending Putaway'!$L$2:$L$1537,MATCH(SUBSTITUTE($A173," SS","  SS"),'Pending Putaway'!$B$2:$B$1537,0)),"NA"))</f>
        <v>0</v>
      </c>
    </row>
    <row r="174" customFormat="false" ht="15" hidden="false" customHeight="false" outlineLevel="0" collapsed="false">
      <c r="A174" s="63" t="s">
        <v>139</v>
      </c>
      <c r="B174" s="63" t="str">
        <f aca="false">IFERROR(INDEX('CLM &amp; IM Mapping'!$B$2:$B$270,MATCH($A174,'CLM &amp; IM Mapping'!$A$2:$A$270,0)),"Not Mapped")</f>
        <v>Majid Kakatikar</v>
      </c>
      <c r="C174" s="63" t="str">
        <f aca="false">IFERROR(INDEX('CLM &amp; IM Mapping'!$C$2:$C$270,MATCH($A174,'CLM &amp; IM Mapping'!$A$2:$A$270,0)),"Not Mapped")</f>
        <v>Kishor K</v>
      </c>
      <c r="D174" s="64" t="n">
        <f aca="false">IFERROR(INDEX(Shrinkage!$P$2:$P$260,MATCH($A174,Shrinkage!$D$2:$D$260,0)),IFERROR(INDEX(Shrinkage!$P$2:$P$260,MATCH(SUBSTITUTE($A174," SS","  SS"),Shrinkage!$D$2:$D$260,0)),"NA"))</f>
        <v>-264</v>
      </c>
      <c r="E174" s="65" t="n">
        <f aca="false">IFERROR(INDEX('Inventory Hygiene'!$I$3:$I$254,MATCH($A174,'Inventory Hygiene'!$B$3:$B$254,0)),IFERROR(INDEX('Inventory Hygiene'!$I$3:$I$254,MATCH(SUBSTITUTE($A174," SS","  SS"),'Inventory Hygiene'!$B$3:$B$254,0)),"NA"))</f>
        <v>0.69</v>
      </c>
      <c r="F174" s="64" t="n">
        <f aca="false">IFERROR(INDEX('Bad Bins'!$K$3:$K$253,MATCH($A174,'Bad Bins'!$B$3:$B$253,0)),IFERROR(INDEX('Bad Bins'!$K$3:$K$253,MATCH(SUBSTITUTE($A174," SS","  SS"),'Bad Bins'!$B$3:$B$253,0)),"NA"))</f>
        <v>58</v>
      </c>
      <c r="G174" s="64" t="str">
        <f aca="false">IFERROR(INDEX('RSTO &gt; 48hrs'!$H$2:$H$134,MATCH($A174,'RSTO &gt; 48hrs'!$B$2:$B$134,0)),IFERROR(INDEX('RSTO &gt; 48hrs'!$H$2:$H$134,MATCH(SUBSTITUTE($A174," SS","  SS"),'RSTO &gt; 48hrs'!$B$2:$B$134,0)),"NA"))</f>
        <v>NA</v>
      </c>
      <c r="H174" s="64" t="str">
        <f aca="false">IFERROR(INDEX('Recirculation &gt; 24 hrs'!$K$3:$K$151,MATCH($A174,'Recirculation &gt; 24 hrs'!$B$3:$B$151,0)),IFERROR(INDEX('Recirculation &gt; 24 hrs'!$K$3:$K$151,MATCH(SUBSTITUTE($A174," SS","  SS"),'Recirculation &gt; 24 hrs'!$B$3:$B$151,0)),"NA"))</f>
        <v>NA</v>
      </c>
      <c r="I174" s="64" t="n">
        <f aca="false">IFERROR(INDEX('Pending Putaway'!$E$2:$E$1537,MATCH($A174,'Pending Putaway'!$B$2:$B$1537,0)),IFERROR(INDEX('Pending Putaway'!$E$2:$E$1537,MATCH(SUBSTITUTE($A174," SS","  SS"),'Pending Putaway'!$B$2:$B$1537,0)),"NA"))</f>
        <v>0</v>
      </c>
      <c r="J174" s="64" t="n">
        <f aca="false">IFERROR(INDEX('Pending Putaway'!$L$2:$L$1537,MATCH($A174,'Pending Putaway'!$B$2:$B$1537,0)),IFERROR(INDEX('Pending Putaway'!$L$2:$L$1537,MATCH(SUBSTITUTE($A174," SS","  SS"),'Pending Putaway'!$B$2:$B$1537,0)),"NA"))</f>
        <v>0</v>
      </c>
    </row>
    <row r="175" customFormat="false" ht="15" hidden="false" customHeight="false" outlineLevel="0" collapsed="false">
      <c r="A175" s="63" t="s">
        <v>66</v>
      </c>
      <c r="B175" s="63" t="str">
        <f aca="false">IFERROR(INDEX('CLM &amp; IM Mapping'!$B$2:$B$270,MATCH($A175,'CLM &amp; IM Mapping'!$A$2:$A$270,0)),"Not Mapped")</f>
        <v>Narasimhamurthy R</v>
      </c>
      <c r="C175" s="63" t="str">
        <f aca="false">IFERROR(INDEX('CLM &amp; IM Mapping'!$C$2:$C$270,MATCH($A175,'CLM &amp; IM Mapping'!$A$2:$A$270,0)),"Not Mapped")</f>
        <v>Kishor K</v>
      </c>
      <c r="D175" s="64" t="n">
        <f aca="false">IFERROR(INDEX(Shrinkage!$P$2:$P$260,MATCH($A175,Shrinkage!$D$2:$D$260,0)),IFERROR(INDEX(Shrinkage!$P$2:$P$260,MATCH(SUBSTITUTE($A175," SS","  SS"),Shrinkage!$D$2:$D$260,0)),"NA"))</f>
        <v>48665</v>
      </c>
      <c r="E175" s="65" t="n">
        <f aca="false">IFERROR(INDEX('Inventory Hygiene'!$I$3:$I$254,MATCH($A175,'Inventory Hygiene'!$B$3:$B$254,0)),IFERROR(INDEX('Inventory Hygiene'!$I$3:$I$254,MATCH(SUBSTITUTE($A175," SS","  SS"),'Inventory Hygiene'!$B$3:$B$254,0)),"NA"))</f>
        <v>0.53</v>
      </c>
      <c r="F175" s="64" t="n">
        <f aca="false">IFERROR(INDEX('Bad Bins'!$K$3:$K$253,MATCH($A175,'Bad Bins'!$B$3:$B$253,0)),IFERROR(INDEX('Bad Bins'!$K$3:$K$253,MATCH(SUBSTITUTE($A175," SS","  SS"),'Bad Bins'!$B$3:$B$253,0)),"NA"))</f>
        <v>95</v>
      </c>
      <c r="G175" s="64" t="n">
        <f aca="false">IFERROR(INDEX('RSTO &gt; 48hrs'!$H$2:$H$134,MATCH($A175,'RSTO &gt; 48hrs'!$B$2:$B$134,0)),IFERROR(INDEX('RSTO &gt; 48hrs'!$H$2:$H$134,MATCH(SUBSTITUTE($A175," SS","  SS"),'RSTO &gt; 48hrs'!$B$2:$B$134,0)),"NA"))</f>
        <v>47</v>
      </c>
      <c r="H175" s="64" t="n">
        <f aca="false">IFERROR(INDEX('Recirculation &gt; 24 hrs'!$K$3:$K$151,MATCH($A175,'Recirculation &gt; 24 hrs'!$B$3:$B$151,0)),IFERROR(INDEX('Recirculation &gt; 24 hrs'!$K$3:$K$151,MATCH(SUBSTITUTE($A175," SS","  SS"),'Recirculation &gt; 24 hrs'!$B$3:$B$151,0)),"NA"))</f>
        <v>1420</v>
      </c>
      <c r="I175" s="64" t="n">
        <f aca="false">IFERROR(INDEX('Pending Putaway'!$E$2:$E$1537,MATCH($A175,'Pending Putaway'!$B$2:$B$1537,0)),IFERROR(INDEX('Pending Putaway'!$E$2:$E$1537,MATCH(SUBSTITUTE($A175," SS","  SS"),'Pending Putaway'!$B$2:$B$1537,0)),"NA"))</f>
        <v>18</v>
      </c>
      <c r="J175" s="64" t="n">
        <f aca="false">IFERROR(INDEX('Pending Putaway'!$L$2:$L$1537,MATCH($A175,'Pending Putaway'!$B$2:$B$1537,0)),IFERROR(INDEX('Pending Putaway'!$L$2:$L$1537,MATCH(SUBSTITUTE($A175," SS","  SS"),'Pending Putaway'!$B$2:$B$1537,0)),"NA"))</f>
        <v>18</v>
      </c>
    </row>
    <row r="176" customFormat="false" ht="15" hidden="false" customHeight="false" outlineLevel="0" collapsed="false">
      <c r="A176" s="63" t="s">
        <v>274</v>
      </c>
      <c r="B176" s="63" t="str">
        <f aca="false">IFERROR(INDEX('CLM &amp; IM Mapping'!$B$2:$B$270,MATCH($A176,'CLM &amp; IM Mapping'!$A$2:$A$270,0)),"Not Mapped")</f>
        <v>Narasimhamurthy R</v>
      </c>
      <c r="C176" s="63" t="str">
        <f aca="false">IFERROR(INDEX('CLM &amp; IM Mapping'!$C$2:$C$270,MATCH($A176,'CLM &amp; IM Mapping'!$A$2:$A$270,0)),"Not Mapped")</f>
        <v>Kishor K</v>
      </c>
      <c r="D176" s="64" t="n">
        <f aca="false">IFERROR(INDEX(Shrinkage!$P$2:$P$260,MATCH($A176,Shrinkage!$D$2:$D$260,0)),IFERROR(INDEX(Shrinkage!$P$2:$P$260,MATCH(SUBSTITUTE($A176," SS","  SS"),Shrinkage!$D$2:$D$260,0)),"NA"))</f>
        <v>41500</v>
      </c>
      <c r="E176" s="65" t="n">
        <f aca="false">IFERROR(INDEX('Inventory Hygiene'!$I$3:$I$254,MATCH($A176,'Inventory Hygiene'!$B$3:$B$254,0)),IFERROR(INDEX('Inventory Hygiene'!$I$3:$I$254,MATCH(SUBSTITUTE($A176," SS","  SS"),'Inventory Hygiene'!$B$3:$B$254,0)),"NA"))</f>
        <v>0.19</v>
      </c>
      <c r="F176" s="64" t="n">
        <f aca="false">IFERROR(INDEX('Bad Bins'!$K$3:$K$253,MATCH($A176,'Bad Bins'!$B$3:$B$253,0)),IFERROR(INDEX('Bad Bins'!$K$3:$K$253,MATCH(SUBSTITUTE($A176," SS","  SS"),'Bad Bins'!$B$3:$B$253,0)),"NA"))</f>
        <v>95</v>
      </c>
      <c r="G176" s="64" t="str">
        <f aca="false">IFERROR(INDEX('RSTO &gt; 48hrs'!$H$2:$H$134,MATCH($A176,'RSTO &gt; 48hrs'!$B$2:$B$134,0)),IFERROR(INDEX('RSTO &gt; 48hrs'!$H$2:$H$134,MATCH(SUBSTITUTE($A176," SS","  SS"),'RSTO &gt; 48hrs'!$B$2:$B$134,0)),"NA"))</f>
        <v>NA</v>
      </c>
      <c r="H176" s="64" t="str">
        <f aca="false">IFERROR(INDEX('Recirculation &gt; 24 hrs'!$K$3:$K$151,MATCH($A176,'Recirculation &gt; 24 hrs'!$B$3:$B$151,0)),IFERROR(INDEX('Recirculation &gt; 24 hrs'!$K$3:$K$151,MATCH(SUBSTITUTE($A176," SS","  SS"),'Recirculation &gt; 24 hrs'!$B$3:$B$151,0)),"NA"))</f>
        <v>NA</v>
      </c>
      <c r="I176" s="64" t="n">
        <f aca="false">IFERROR(INDEX('Pending Putaway'!$E$2:$E$1537,MATCH($A176,'Pending Putaway'!$B$2:$B$1537,0)),IFERROR(INDEX('Pending Putaway'!$E$2:$E$1537,MATCH(SUBSTITUTE($A176," SS","  SS"),'Pending Putaway'!$B$2:$B$1537,0)),"NA"))</f>
        <v>7663</v>
      </c>
      <c r="J176" s="64" t="n">
        <f aca="false">IFERROR(INDEX('Pending Putaway'!$L$2:$L$1537,MATCH($A176,'Pending Putaway'!$B$2:$B$1537,0)),IFERROR(INDEX('Pending Putaway'!$L$2:$L$1537,MATCH(SUBSTITUTE($A176," SS","  SS"),'Pending Putaway'!$B$2:$B$1537,0)),"NA"))</f>
        <v>1399</v>
      </c>
    </row>
    <row r="177" customFormat="false" ht="15" hidden="false" customHeight="false" outlineLevel="0" collapsed="false">
      <c r="A177" s="63" t="s">
        <v>82</v>
      </c>
      <c r="B177" s="63" t="str">
        <f aca="false">IFERROR(INDEX('CLM &amp; IM Mapping'!$B$2:$B$270,MATCH($A177,'CLM &amp; IM Mapping'!$A$2:$A$270,0)),"Not Mapped")</f>
        <v>Narasimhamurthy R</v>
      </c>
      <c r="C177" s="63" t="str">
        <f aca="false">IFERROR(INDEX('CLM &amp; IM Mapping'!$C$2:$C$270,MATCH($A177,'CLM &amp; IM Mapping'!$A$2:$A$270,0)),"Not Mapped")</f>
        <v>Kishor K</v>
      </c>
      <c r="D177" s="64" t="n">
        <f aca="false">IFERROR(INDEX(Shrinkage!$P$2:$P$260,MATCH($A177,Shrinkage!$D$2:$D$260,0)),IFERROR(INDEX(Shrinkage!$P$2:$P$260,MATCH(SUBSTITUTE($A177," SS","  SS"),Shrinkage!$D$2:$D$260,0)),"NA"))</f>
        <v>-5331</v>
      </c>
      <c r="E177" s="65" t="n">
        <f aca="false">IFERROR(INDEX('Inventory Hygiene'!$I$3:$I$254,MATCH($A177,'Inventory Hygiene'!$B$3:$B$254,0)),IFERROR(INDEX('Inventory Hygiene'!$I$3:$I$254,MATCH(SUBSTITUTE($A177," SS","  SS"),'Inventory Hygiene'!$B$3:$B$254,0)),"NA"))</f>
        <v>0.53</v>
      </c>
      <c r="F177" s="64" t="n">
        <f aca="false">IFERROR(INDEX('Bad Bins'!$K$3:$K$253,MATCH($A177,'Bad Bins'!$B$3:$B$253,0)),IFERROR(INDEX('Bad Bins'!$K$3:$K$253,MATCH(SUBSTITUTE($A177," SS","  SS"),'Bad Bins'!$B$3:$B$253,0)),"NA"))</f>
        <v>37</v>
      </c>
      <c r="G177" s="64" t="str">
        <f aca="false">IFERROR(INDEX('RSTO &gt; 48hrs'!$H$2:$H$134,MATCH($A177,'RSTO &gt; 48hrs'!$B$2:$B$134,0)),IFERROR(INDEX('RSTO &gt; 48hrs'!$H$2:$H$134,MATCH(SUBSTITUTE($A177," SS","  SS"),'RSTO &gt; 48hrs'!$B$2:$B$134,0)),"NA"))</f>
        <v>NA</v>
      </c>
      <c r="H177" s="64" t="str">
        <f aca="false">IFERROR(INDEX('Recirculation &gt; 24 hrs'!$K$3:$K$151,MATCH($A177,'Recirculation &gt; 24 hrs'!$B$3:$B$151,0)),IFERROR(INDEX('Recirculation &gt; 24 hrs'!$K$3:$K$151,MATCH(SUBSTITUTE($A177," SS","  SS"),'Recirculation &gt; 24 hrs'!$B$3:$B$151,0)),"NA"))</f>
        <v>NA</v>
      </c>
      <c r="I177" s="64" t="n">
        <f aca="false">IFERROR(INDEX('Pending Putaway'!$E$2:$E$1537,MATCH($A177,'Pending Putaway'!$B$2:$B$1537,0)),IFERROR(INDEX('Pending Putaway'!$E$2:$E$1537,MATCH(SUBSTITUTE($A177," SS","  SS"),'Pending Putaway'!$B$2:$B$1537,0)),"NA"))</f>
        <v>0</v>
      </c>
      <c r="J177" s="64" t="n">
        <f aca="false">IFERROR(INDEX('Pending Putaway'!$L$2:$L$1537,MATCH($A177,'Pending Putaway'!$B$2:$B$1537,0)),IFERROR(INDEX('Pending Putaway'!$L$2:$L$1537,MATCH(SUBSTITUTE($A177," SS","  SS"),'Pending Putaway'!$B$2:$B$1537,0)),"NA"))</f>
        <v>0</v>
      </c>
    </row>
    <row r="178" customFormat="false" ht="15" hidden="false" customHeight="false" outlineLevel="0" collapsed="false">
      <c r="A178" s="63" t="s">
        <v>85</v>
      </c>
      <c r="B178" s="63" t="str">
        <f aca="false">IFERROR(INDEX('CLM &amp; IM Mapping'!$B$2:$B$270,MATCH($A178,'CLM &amp; IM Mapping'!$A$2:$A$270,0)),"Not Mapped")</f>
        <v>Narasimhamurthy R</v>
      </c>
      <c r="C178" s="63" t="str">
        <f aca="false">IFERROR(INDEX('CLM &amp; IM Mapping'!$C$2:$C$270,MATCH($A178,'CLM &amp; IM Mapping'!$A$2:$A$270,0)),"Not Mapped")</f>
        <v>Kishor K</v>
      </c>
      <c r="D178" s="64" t="n">
        <f aca="false">IFERROR(INDEX(Shrinkage!$P$2:$P$260,MATCH($A178,Shrinkage!$D$2:$D$260,0)),IFERROR(INDEX(Shrinkage!$P$2:$P$260,MATCH(SUBSTITUTE($A178," SS","  SS"),Shrinkage!$D$2:$D$260,0)),"NA"))</f>
        <v>-13227</v>
      </c>
      <c r="E178" s="65" t="n">
        <f aca="false">IFERROR(INDEX('Inventory Hygiene'!$I$3:$I$254,MATCH($A178,'Inventory Hygiene'!$B$3:$B$254,0)),IFERROR(INDEX('Inventory Hygiene'!$I$3:$I$254,MATCH(SUBSTITUTE($A178," SS","  SS"),'Inventory Hygiene'!$B$3:$B$254,0)),"NA"))</f>
        <v>0.88</v>
      </c>
      <c r="F178" s="64" t="n">
        <f aca="false">IFERROR(INDEX('Bad Bins'!$K$3:$K$253,MATCH($A178,'Bad Bins'!$B$3:$B$253,0)),IFERROR(INDEX('Bad Bins'!$K$3:$K$253,MATCH(SUBSTITUTE($A178," SS","  SS"),'Bad Bins'!$B$3:$B$253,0)),"NA"))</f>
        <v>16</v>
      </c>
      <c r="G178" s="64" t="str">
        <f aca="false">IFERROR(INDEX('RSTO &gt; 48hrs'!$H$2:$H$134,MATCH($A178,'RSTO &gt; 48hrs'!$B$2:$B$134,0)),IFERROR(INDEX('RSTO &gt; 48hrs'!$H$2:$H$134,MATCH(SUBSTITUTE($A178," SS","  SS"),'RSTO &gt; 48hrs'!$B$2:$B$134,0)),"NA"))</f>
        <v>NA</v>
      </c>
      <c r="H178" s="64" t="n">
        <f aca="false">IFERROR(INDEX('Recirculation &gt; 24 hrs'!$K$3:$K$151,MATCH($A178,'Recirculation &gt; 24 hrs'!$B$3:$B$151,0)),IFERROR(INDEX('Recirculation &gt; 24 hrs'!$K$3:$K$151,MATCH(SUBSTITUTE($A178," SS","  SS"),'Recirculation &gt; 24 hrs'!$B$3:$B$151,0)),"NA"))</f>
        <v>997</v>
      </c>
      <c r="I178" s="64" t="n">
        <f aca="false">IFERROR(INDEX('Pending Putaway'!$E$2:$E$1537,MATCH($A178,'Pending Putaway'!$B$2:$B$1537,0)),IFERROR(INDEX('Pending Putaway'!$E$2:$E$1537,MATCH(SUBSTITUTE($A178," SS","  SS"),'Pending Putaway'!$B$2:$B$1537,0)),"NA"))</f>
        <v>0</v>
      </c>
      <c r="J178" s="64" t="n">
        <f aca="false">IFERROR(INDEX('Pending Putaway'!$L$2:$L$1537,MATCH($A178,'Pending Putaway'!$B$2:$B$1537,0)),IFERROR(INDEX('Pending Putaway'!$L$2:$L$1537,MATCH(SUBSTITUTE($A178," SS","  SS"),'Pending Putaway'!$B$2:$B$1537,0)),"NA"))</f>
        <v>0</v>
      </c>
    </row>
    <row r="179" customFormat="false" ht="15" hidden="false" customHeight="false" outlineLevel="0" collapsed="false">
      <c r="A179" s="63" t="s">
        <v>169</v>
      </c>
      <c r="B179" s="63" t="str">
        <f aca="false">IFERROR(INDEX('CLM &amp; IM Mapping'!$B$2:$B$270,MATCH($A179,'CLM &amp; IM Mapping'!$A$2:$A$270,0)),"Not Mapped")</f>
        <v>Narasimhamurthy R</v>
      </c>
      <c r="C179" s="63" t="str">
        <f aca="false">IFERROR(INDEX('CLM &amp; IM Mapping'!$C$2:$C$270,MATCH($A179,'CLM &amp; IM Mapping'!$A$2:$A$270,0)),"Not Mapped")</f>
        <v>Kishor K</v>
      </c>
      <c r="D179" s="64" t="n">
        <f aca="false">IFERROR(INDEX(Shrinkage!$P$2:$P$260,MATCH($A179,Shrinkage!$D$2:$D$260,0)),IFERROR(INDEX(Shrinkage!$P$2:$P$260,MATCH(SUBSTITUTE($A179," SS","  SS"),Shrinkage!$D$2:$D$260,0)),"NA"))</f>
        <v>-2281</v>
      </c>
      <c r="E179" s="65" t="n">
        <f aca="false">IFERROR(INDEX('Inventory Hygiene'!$I$3:$I$254,MATCH($A179,'Inventory Hygiene'!$B$3:$B$254,0)),IFERROR(INDEX('Inventory Hygiene'!$I$3:$I$254,MATCH(SUBSTITUTE($A179," SS","  SS"),'Inventory Hygiene'!$B$3:$B$254,0)),"NA"))</f>
        <v>0.69</v>
      </c>
      <c r="F179" s="64" t="n">
        <f aca="false">IFERROR(INDEX('Bad Bins'!$K$3:$K$253,MATCH($A179,'Bad Bins'!$B$3:$B$253,0)),IFERROR(INDEX('Bad Bins'!$K$3:$K$253,MATCH(SUBSTITUTE($A179," SS","  SS"),'Bad Bins'!$B$3:$B$253,0)),"NA"))</f>
        <v>50</v>
      </c>
      <c r="G179" s="64" t="str">
        <f aca="false">IFERROR(INDEX('RSTO &gt; 48hrs'!$H$2:$H$134,MATCH($A179,'RSTO &gt; 48hrs'!$B$2:$B$134,0)),IFERROR(INDEX('RSTO &gt; 48hrs'!$H$2:$H$134,MATCH(SUBSTITUTE($A179," SS","  SS"),'RSTO &gt; 48hrs'!$B$2:$B$134,0)),"NA"))</f>
        <v>NA</v>
      </c>
      <c r="H179" s="64" t="n">
        <f aca="false">IFERROR(INDEX('Recirculation &gt; 24 hrs'!$K$3:$K$151,MATCH($A179,'Recirculation &gt; 24 hrs'!$B$3:$B$151,0)),IFERROR(INDEX('Recirculation &gt; 24 hrs'!$K$3:$K$151,MATCH(SUBSTITUTE($A179," SS","  SS"),'Recirculation &gt; 24 hrs'!$B$3:$B$151,0)),"NA"))</f>
        <v>18</v>
      </c>
      <c r="I179" s="64" t="n">
        <f aca="false">IFERROR(INDEX('Pending Putaway'!$E$2:$E$1537,MATCH($A179,'Pending Putaway'!$B$2:$B$1537,0)),IFERROR(INDEX('Pending Putaway'!$E$2:$E$1537,MATCH(SUBSTITUTE($A179," SS","  SS"),'Pending Putaway'!$B$2:$B$1537,0)),"NA"))</f>
        <v>3983</v>
      </c>
      <c r="J179" s="64" t="n">
        <f aca="false">IFERROR(INDEX('Pending Putaway'!$L$2:$L$1537,MATCH($A179,'Pending Putaway'!$B$2:$B$1537,0)),IFERROR(INDEX('Pending Putaway'!$L$2:$L$1537,MATCH(SUBSTITUTE($A179," SS","  SS"),'Pending Putaway'!$B$2:$B$1537,0)),"NA"))</f>
        <v>0</v>
      </c>
    </row>
    <row r="180" customFormat="false" ht="15" hidden="false" customHeight="false" outlineLevel="0" collapsed="false">
      <c r="A180" s="63" t="s">
        <v>231</v>
      </c>
      <c r="B180" s="63" t="str">
        <f aca="false">IFERROR(INDEX('CLM &amp; IM Mapping'!$B$2:$B$270,MATCH($A180,'CLM &amp; IM Mapping'!$A$2:$A$270,0)),"Not Mapped")</f>
        <v>Narasimhamurthy R</v>
      </c>
      <c r="C180" s="63" t="str">
        <f aca="false">IFERROR(INDEX('CLM &amp; IM Mapping'!$C$2:$C$270,MATCH($A180,'CLM &amp; IM Mapping'!$A$2:$A$270,0)),"Not Mapped")</f>
        <v>Kishor K</v>
      </c>
      <c r="D180" s="64" t="n">
        <f aca="false">IFERROR(INDEX(Shrinkage!$P$2:$P$260,MATCH($A180,Shrinkage!$D$2:$D$260,0)),IFERROR(INDEX(Shrinkage!$P$2:$P$260,MATCH(SUBSTITUTE($A180," SS","  SS"),Shrinkage!$D$2:$D$260,0)),"NA"))</f>
        <v>-6150</v>
      </c>
      <c r="E180" s="65" t="n">
        <f aca="false">IFERROR(INDEX('Inventory Hygiene'!$I$3:$I$254,MATCH($A180,'Inventory Hygiene'!$B$3:$B$254,0)),IFERROR(INDEX('Inventory Hygiene'!$I$3:$I$254,MATCH(SUBSTITUTE($A180," SS","  SS"),'Inventory Hygiene'!$B$3:$B$254,0)),"NA"))</f>
        <v>0.4</v>
      </c>
      <c r="F180" s="64" t="n">
        <f aca="false">IFERROR(INDEX('Bad Bins'!$K$3:$K$253,MATCH($A180,'Bad Bins'!$B$3:$B$253,0)),IFERROR(INDEX('Bad Bins'!$K$3:$K$253,MATCH(SUBSTITUTE($A180," SS","  SS"),'Bad Bins'!$B$3:$B$253,0)),"NA"))</f>
        <v>56</v>
      </c>
      <c r="G180" s="64" t="str">
        <f aca="false">IFERROR(INDEX('RSTO &gt; 48hrs'!$H$2:$H$134,MATCH($A180,'RSTO &gt; 48hrs'!$B$2:$B$134,0)),IFERROR(INDEX('RSTO &gt; 48hrs'!$H$2:$H$134,MATCH(SUBSTITUTE($A180," SS","  SS"),'RSTO &gt; 48hrs'!$B$2:$B$134,0)),"NA"))</f>
        <v>NA</v>
      </c>
      <c r="H180" s="64" t="n">
        <f aca="false">IFERROR(INDEX('Recirculation &gt; 24 hrs'!$K$3:$K$151,MATCH($A180,'Recirculation &gt; 24 hrs'!$B$3:$B$151,0)),IFERROR(INDEX('Recirculation &gt; 24 hrs'!$K$3:$K$151,MATCH(SUBSTITUTE($A180," SS","  SS"),'Recirculation &gt; 24 hrs'!$B$3:$B$151,0)),"NA"))</f>
        <v>804</v>
      </c>
      <c r="I180" s="64" t="n">
        <f aca="false">IFERROR(INDEX('Pending Putaway'!$E$2:$E$1537,MATCH($A180,'Pending Putaway'!$B$2:$B$1537,0)),IFERROR(INDEX('Pending Putaway'!$E$2:$E$1537,MATCH(SUBSTITUTE($A180," SS","  SS"),'Pending Putaway'!$B$2:$B$1537,0)),"NA"))</f>
        <v>6070</v>
      </c>
      <c r="J180" s="64" t="n">
        <f aca="false">IFERROR(INDEX('Pending Putaway'!$L$2:$L$1537,MATCH($A180,'Pending Putaway'!$B$2:$B$1537,0)),IFERROR(INDEX('Pending Putaway'!$L$2:$L$1537,MATCH(SUBSTITUTE($A180," SS","  SS"),'Pending Putaway'!$B$2:$B$1537,0)),"NA"))</f>
        <v>0</v>
      </c>
    </row>
    <row r="181" customFormat="false" ht="15" hidden="false" customHeight="false" outlineLevel="0" collapsed="false">
      <c r="A181" s="63" t="s">
        <v>40</v>
      </c>
      <c r="B181" s="63" t="str">
        <f aca="false">IFERROR(INDEX('CLM &amp; IM Mapping'!$B$2:$B$270,MATCH($A181,'CLM &amp; IM Mapping'!$A$2:$A$270,0)),"Not Mapped")</f>
        <v>Narasimhamurthy R</v>
      </c>
      <c r="C181" s="63" t="str">
        <f aca="false">IFERROR(INDEX('CLM &amp; IM Mapping'!$C$2:$C$270,MATCH($A181,'CLM &amp; IM Mapping'!$A$2:$A$270,0)),"Not Mapped")</f>
        <v>Kishor K</v>
      </c>
      <c r="D181" s="64" t="n">
        <f aca="false">IFERROR(INDEX(Shrinkage!$P$2:$P$260,MATCH($A181,Shrinkage!$D$2:$D$260,0)),IFERROR(INDEX(Shrinkage!$P$2:$P$260,MATCH(SUBSTITUTE($A181," SS","  SS"),Shrinkage!$D$2:$D$260,0)),"NA"))</f>
        <v>-2441</v>
      </c>
      <c r="E181" s="65" t="n">
        <f aca="false">IFERROR(INDEX('Inventory Hygiene'!$I$3:$I$254,MATCH($A181,'Inventory Hygiene'!$B$3:$B$254,0)),IFERROR(INDEX('Inventory Hygiene'!$I$3:$I$254,MATCH(SUBSTITUTE($A181," SS","  SS"),'Inventory Hygiene'!$B$3:$B$254,0)),"NA"))</f>
        <v>0.57</v>
      </c>
      <c r="F181" s="64" t="n">
        <f aca="false">IFERROR(INDEX('Bad Bins'!$K$3:$K$253,MATCH($A181,'Bad Bins'!$B$3:$B$253,0)),IFERROR(INDEX('Bad Bins'!$K$3:$K$253,MATCH(SUBSTITUTE($A181," SS","  SS"),'Bad Bins'!$B$3:$B$253,0)),"NA"))</f>
        <v>41</v>
      </c>
      <c r="G181" s="64" t="str">
        <f aca="false">IFERROR(INDEX('RSTO &gt; 48hrs'!$H$2:$H$134,MATCH($A181,'RSTO &gt; 48hrs'!$B$2:$B$134,0)),IFERROR(INDEX('RSTO &gt; 48hrs'!$H$2:$H$134,MATCH(SUBSTITUTE($A181," SS","  SS"),'RSTO &gt; 48hrs'!$B$2:$B$134,0)),"NA"))</f>
        <v>NA</v>
      </c>
      <c r="H181" s="64" t="n">
        <f aca="false">IFERROR(INDEX('Recirculation &gt; 24 hrs'!$K$3:$K$151,MATCH($A181,'Recirculation &gt; 24 hrs'!$B$3:$B$151,0)),IFERROR(INDEX('Recirculation &gt; 24 hrs'!$K$3:$K$151,MATCH(SUBSTITUTE($A181," SS","  SS"),'Recirculation &gt; 24 hrs'!$B$3:$B$151,0)),"NA"))</f>
        <v>2</v>
      </c>
      <c r="I181" s="64" t="n">
        <f aca="false">IFERROR(INDEX('Pending Putaway'!$E$2:$E$1537,MATCH($A181,'Pending Putaway'!$B$2:$B$1537,0)),IFERROR(INDEX('Pending Putaway'!$E$2:$E$1537,MATCH(SUBSTITUTE($A181," SS","  SS"),'Pending Putaway'!$B$2:$B$1537,0)),"NA"))</f>
        <v>2970</v>
      </c>
      <c r="J181" s="64" t="n">
        <f aca="false">IFERROR(INDEX('Pending Putaway'!$L$2:$L$1537,MATCH($A181,'Pending Putaway'!$B$2:$B$1537,0)),IFERROR(INDEX('Pending Putaway'!$L$2:$L$1537,MATCH(SUBSTITUTE($A181," SS","  SS"),'Pending Putaway'!$B$2:$B$1537,0)),"NA"))</f>
        <v>0</v>
      </c>
    </row>
    <row r="182" customFormat="false" ht="15" hidden="false" customHeight="false" outlineLevel="0" collapsed="false">
      <c r="A182" s="63" t="s">
        <v>87</v>
      </c>
      <c r="B182" s="63" t="str">
        <f aca="false">IFERROR(INDEX('CLM &amp; IM Mapping'!$B$2:$B$270,MATCH($A182,'CLM &amp; IM Mapping'!$A$2:$A$270,0)),"Not Mapped")</f>
        <v>Richard Harris</v>
      </c>
      <c r="C182" s="63" t="str">
        <f aca="false">IFERROR(INDEX('CLM &amp; IM Mapping'!$C$2:$C$270,MATCH($A182,'CLM &amp; IM Mapping'!$A$2:$A$270,0)),"Not Mapped")</f>
        <v>Kantha Kumar</v>
      </c>
      <c r="D182" s="64" t="n">
        <f aca="false">IFERROR(INDEX(Shrinkage!$P$2:$P$260,MATCH($A182,Shrinkage!$D$2:$D$260,0)),IFERROR(INDEX(Shrinkage!$P$2:$P$260,MATCH(SUBSTITUTE($A182," SS","  SS"),Shrinkage!$D$2:$D$260,0)),"NA"))</f>
        <v>27268</v>
      </c>
      <c r="E182" s="65" t="n">
        <f aca="false">IFERROR(INDEX('Inventory Hygiene'!$I$3:$I$254,MATCH($A182,'Inventory Hygiene'!$B$3:$B$254,0)),IFERROR(INDEX('Inventory Hygiene'!$I$3:$I$254,MATCH(SUBSTITUTE($A182," SS","  SS"),'Inventory Hygiene'!$B$3:$B$254,0)),"NA"))</f>
        <v>0.32</v>
      </c>
      <c r="F182" s="64" t="n">
        <f aca="false">IFERROR(INDEX('Bad Bins'!$K$3:$K$253,MATCH($A182,'Bad Bins'!$B$3:$B$253,0)),IFERROR(INDEX('Bad Bins'!$K$3:$K$253,MATCH(SUBSTITUTE($A182," SS","  SS"),'Bad Bins'!$B$3:$B$253,0)),"NA"))</f>
        <v>123</v>
      </c>
      <c r="G182" s="64" t="n">
        <f aca="false">IFERROR(INDEX('RSTO &gt; 48hrs'!$H$2:$H$134,MATCH($A182,'RSTO &gt; 48hrs'!$B$2:$B$134,0)),IFERROR(INDEX('RSTO &gt; 48hrs'!$H$2:$H$134,MATCH(SUBSTITUTE($A182," SS","  SS"),'RSTO &gt; 48hrs'!$B$2:$B$134,0)),"NA"))</f>
        <v>42</v>
      </c>
      <c r="H182" s="64" t="str">
        <f aca="false">IFERROR(INDEX('Recirculation &gt; 24 hrs'!$K$3:$K$151,MATCH($A182,'Recirculation &gt; 24 hrs'!$B$3:$B$151,0)),IFERROR(INDEX('Recirculation &gt; 24 hrs'!$K$3:$K$151,MATCH(SUBSTITUTE($A182," SS","  SS"),'Recirculation &gt; 24 hrs'!$B$3:$B$151,0)),"NA"))</f>
        <v>NA</v>
      </c>
      <c r="I182" s="64" t="n">
        <f aca="false">IFERROR(INDEX('Pending Putaway'!$E$2:$E$1537,MATCH($A182,'Pending Putaway'!$B$2:$B$1537,0)),IFERROR(INDEX('Pending Putaway'!$E$2:$E$1537,MATCH(SUBSTITUTE($A182," SS","  SS"),'Pending Putaway'!$B$2:$B$1537,0)),"NA"))</f>
        <v>4764</v>
      </c>
      <c r="J182" s="64" t="n">
        <f aca="false">IFERROR(INDEX('Pending Putaway'!$L$2:$L$1537,MATCH($A182,'Pending Putaway'!$B$2:$B$1537,0)),IFERROR(INDEX('Pending Putaway'!$L$2:$L$1537,MATCH(SUBSTITUTE($A182," SS","  SS"),'Pending Putaway'!$B$2:$B$1537,0)),"NA"))</f>
        <v>4476</v>
      </c>
    </row>
    <row r="183" customFormat="false" ht="15" hidden="false" customHeight="false" outlineLevel="0" collapsed="false">
      <c r="A183" s="63" t="s">
        <v>160</v>
      </c>
      <c r="B183" s="63" t="str">
        <f aca="false">IFERROR(INDEX('CLM &amp; IM Mapping'!$B$2:$B$270,MATCH($A183,'CLM &amp; IM Mapping'!$A$2:$A$270,0)),"Not Mapped")</f>
        <v>Richard Harris</v>
      </c>
      <c r="C183" s="63" t="str">
        <f aca="false">IFERROR(INDEX('CLM &amp; IM Mapping'!$C$2:$C$270,MATCH($A183,'CLM &amp; IM Mapping'!$A$2:$A$270,0)),"Not Mapped")</f>
        <v>Kantha Kumar</v>
      </c>
      <c r="D183" s="64" t="n">
        <f aca="false">IFERROR(INDEX(Shrinkage!$P$2:$P$260,MATCH($A183,Shrinkage!$D$2:$D$260,0)),IFERROR(INDEX(Shrinkage!$P$2:$P$260,MATCH(SUBSTITUTE($A183," SS","  SS"),Shrinkage!$D$2:$D$260,0)),"NA"))</f>
        <v>27472</v>
      </c>
      <c r="E183" s="65" t="n">
        <f aca="false">IFERROR(INDEX('Inventory Hygiene'!$I$3:$I$254,MATCH($A183,'Inventory Hygiene'!$B$3:$B$254,0)),IFERROR(INDEX('Inventory Hygiene'!$I$3:$I$254,MATCH(SUBSTITUTE($A183," SS","  SS"),'Inventory Hygiene'!$B$3:$B$254,0)),"NA"))</f>
        <v>0.22</v>
      </c>
      <c r="F183" s="64" t="n">
        <f aca="false">IFERROR(INDEX('Bad Bins'!$K$3:$K$253,MATCH($A183,'Bad Bins'!$B$3:$B$253,0)),IFERROR(INDEX('Bad Bins'!$K$3:$K$253,MATCH(SUBSTITUTE($A183," SS","  SS"),'Bad Bins'!$B$3:$B$253,0)),"NA"))</f>
        <v>628</v>
      </c>
      <c r="G183" s="64" t="n">
        <f aca="false">IFERROR(INDEX('RSTO &gt; 48hrs'!$H$2:$H$134,MATCH($A183,'RSTO &gt; 48hrs'!$B$2:$B$134,0)),IFERROR(INDEX('RSTO &gt; 48hrs'!$H$2:$H$134,MATCH(SUBSTITUTE($A183," SS","  SS"),'RSTO &gt; 48hrs'!$B$2:$B$134,0)),"NA"))</f>
        <v>2</v>
      </c>
      <c r="H183" s="64" t="str">
        <f aca="false">IFERROR(INDEX('Recirculation &gt; 24 hrs'!$K$3:$K$151,MATCH($A183,'Recirculation &gt; 24 hrs'!$B$3:$B$151,0)),IFERROR(INDEX('Recirculation &gt; 24 hrs'!$K$3:$K$151,MATCH(SUBSTITUTE($A183," SS","  SS"),'Recirculation &gt; 24 hrs'!$B$3:$B$151,0)),"NA"))</f>
        <v>NA</v>
      </c>
      <c r="I183" s="64" t="n">
        <f aca="false">IFERROR(INDEX('Pending Putaway'!$E$2:$E$1537,MATCH($A183,'Pending Putaway'!$B$2:$B$1537,0)),IFERROR(INDEX('Pending Putaway'!$E$2:$E$1537,MATCH(SUBSTITUTE($A183," SS","  SS"),'Pending Putaway'!$B$2:$B$1537,0)),"NA"))</f>
        <v>2924</v>
      </c>
      <c r="J183" s="64" t="n">
        <f aca="false">IFERROR(INDEX('Pending Putaway'!$L$2:$L$1537,MATCH($A183,'Pending Putaway'!$B$2:$B$1537,0)),IFERROR(INDEX('Pending Putaway'!$L$2:$L$1537,MATCH(SUBSTITUTE($A183," SS","  SS"),'Pending Putaway'!$B$2:$B$1537,0)),"NA"))</f>
        <v>23</v>
      </c>
    </row>
    <row r="184" customFormat="false" ht="15" hidden="false" customHeight="false" outlineLevel="0" collapsed="false">
      <c r="A184" s="63" t="s">
        <v>180</v>
      </c>
      <c r="B184" s="63" t="str">
        <f aca="false">IFERROR(INDEX('CLM &amp; IM Mapping'!$B$2:$B$270,MATCH($A184,'CLM &amp; IM Mapping'!$A$2:$A$270,0)),"Not Mapped")</f>
        <v>Richard Harris</v>
      </c>
      <c r="C184" s="63" t="str">
        <f aca="false">IFERROR(INDEX('CLM &amp; IM Mapping'!$C$2:$C$270,MATCH($A184,'CLM &amp; IM Mapping'!$A$2:$A$270,0)),"Not Mapped")</f>
        <v>Kantha Kumar</v>
      </c>
      <c r="D184" s="64" t="n">
        <f aca="false">IFERROR(INDEX(Shrinkage!$P$2:$P$260,MATCH($A184,Shrinkage!$D$2:$D$260,0)),IFERROR(INDEX(Shrinkage!$P$2:$P$260,MATCH(SUBSTITUTE($A184," SS","  SS"),Shrinkage!$D$2:$D$260,0)),"NA"))</f>
        <v>-3323</v>
      </c>
      <c r="E184" s="65" t="n">
        <f aca="false">IFERROR(INDEX('Inventory Hygiene'!$I$3:$I$254,MATCH($A184,'Inventory Hygiene'!$B$3:$B$254,0)),IFERROR(INDEX('Inventory Hygiene'!$I$3:$I$254,MATCH(SUBSTITUTE($A184," SS","  SS"),'Inventory Hygiene'!$B$3:$B$254,0)),"NA"))</f>
        <v>0.48</v>
      </c>
      <c r="F184" s="64" t="n">
        <f aca="false">IFERROR(INDEX('Bad Bins'!$K$3:$K$253,MATCH($A184,'Bad Bins'!$B$3:$B$253,0)),IFERROR(INDEX('Bad Bins'!$K$3:$K$253,MATCH(SUBSTITUTE($A184," SS","  SS"),'Bad Bins'!$B$3:$B$253,0)),"NA"))</f>
        <v>141</v>
      </c>
      <c r="G184" s="64" t="n">
        <f aca="false">IFERROR(INDEX('RSTO &gt; 48hrs'!$H$2:$H$134,MATCH($A184,'RSTO &gt; 48hrs'!$B$2:$B$134,0)),IFERROR(INDEX('RSTO &gt; 48hrs'!$H$2:$H$134,MATCH(SUBSTITUTE($A184," SS","  SS"),'RSTO &gt; 48hrs'!$B$2:$B$134,0)),"NA"))</f>
        <v>9</v>
      </c>
      <c r="H184" s="64" t="str">
        <f aca="false">IFERROR(INDEX('Recirculation &gt; 24 hrs'!$K$3:$K$151,MATCH($A184,'Recirculation &gt; 24 hrs'!$B$3:$B$151,0)),IFERROR(INDEX('Recirculation &gt; 24 hrs'!$K$3:$K$151,MATCH(SUBSTITUTE($A184," SS","  SS"),'Recirculation &gt; 24 hrs'!$B$3:$B$151,0)),"NA"))</f>
        <v>NA</v>
      </c>
      <c r="I184" s="64" t="n">
        <f aca="false">IFERROR(INDEX('Pending Putaway'!$E$2:$E$1537,MATCH($A184,'Pending Putaway'!$B$2:$B$1537,0)),IFERROR(INDEX('Pending Putaway'!$E$2:$E$1537,MATCH(SUBSTITUTE($A184," SS","  SS"),'Pending Putaway'!$B$2:$B$1537,0)),"NA"))</f>
        <v>3250</v>
      </c>
      <c r="J184" s="64" t="n">
        <f aca="false">IFERROR(INDEX('Pending Putaway'!$L$2:$L$1537,MATCH($A184,'Pending Putaway'!$B$2:$B$1537,0)),IFERROR(INDEX('Pending Putaway'!$L$2:$L$1537,MATCH(SUBSTITUTE($A184," SS","  SS"),'Pending Putaway'!$B$2:$B$1537,0)),"NA"))</f>
        <v>1085</v>
      </c>
    </row>
    <row r="185" customFormat="false" ht="15" hidden="false" customHeight="false" outlineLevel="0" collapsed="false">
      <c r="A185" s="63" t="s">
        <v>174</v>
      </c>
      <c r="B185" s="63" t="str">
        <f aca="false">IFERROR(INDEX('CLM &amp; IM Mapping'!$B$2:$B$270,MATCH($A185,'CLM &amp; IM Mapping'!$A$2:$A$270,0)),"Not Mapped")</f>
        <v>Richard Harris</v>
      </c>
      <c r="C185" s="63" t="str">
        <f aca="false">IFERROR(INDEX('CLM &amp; IM Mapping'!$C$2:$C$270,MATCH($A185,'CLM &amp; IM Mapping'!$A$2:$A$270,0)),"Not Mapped")</f>
        <v>Kantha Kumar</v>
      </c>
      <c r="D185" s="64" t="n">
        <f aca="false">IFERROR(INDEX(Shrinkage!$P$2:$P$260,MATCH($A185,Shrinkage!$D$2:$D$260,0)),IFERROR(INDEX(Shrinkage!$P$2:$P$260,MATCH(SUBSTITUTE($A185," SS","  SS"),Shrinkage!$D$2:$D$260,0)),"NA"))</f>
        <v>57750</v>
      </c>
      <c r="E185" s="65" t="n">
        <f aca="false">IFERROR(INDEX('Inventory Hygiene'!$I$3:$I$254,MATCH($A185,'Inventory Hygiene'!$B$3:$B$254,0)),IFERROR(INDEX('Inventory Hygiene'!$I$3:$I$254,MATCH(SUBSTITUTE($A185," SS","  SS"),'Inventory Hygiene'!$B$3:$B$254,0)),"NA"))</f>
        <v>0.4</v>
      </c>
      <c r="F185" s="64" t="n">
        <f aca="false">IFERROR(INDEX('Bad Bins'!$K$3:$K$253,MATCH($A185,'Bad Bins'!$B$3:$B$253,0)),IFERROR(INDEX('Bad Bins'!$K$3:$K$253,MATCH(SUBSTITUTE($A185," SS","  SS"),'Bad Bins'!$B$3:$B$253,0)),"NA"))</f>
        <v>113</v>
      </c>
      <c r="G185" s="64" t="n">
        <f aca="false">IFERROR(INDEX('RSTO &gt; 48hrs'!$H$2:$H$134,MATCH($A185,'RSTO &gt; 48hrs'!$B$2:$B$134,0)),IFERROR(INDEX('RSTO &gt; 48hrs'!$H$2:$H$134,MATCH(SUBSTITUTE($A185," SS","  SS"),'RSTO &gt; 48hrs'!$B$2:$B$134,0)),"NA"))</f>
        <v>7</v>
      </c>
      <c r="H185" s="64" t="n">
        <f aca="false">IFERROR(INDEX('Recirculation &gt; 24 hrs'!$K$3:$K$151,MATCH($A185,'Recirculation &gt; 24 hrs'!$B$3:$B$151,0)),IFERROR(INDEX('Recirculation &gt; 24 hrs'!$K$3:$K$151,MATCH(SUBSTITUTE($A185," SS","  SS"),'Recirculation &gt; 24 hrs'!$B$3:$B$151,0)),"NA"))</f>
        <v>21</v>
      </c>
      <c r="I185" s="64" t="n">
        <f aca="false">IFERROR(INDEX('Pending Putaway'!$E$2:$E$1537,MATCH($A185,'Pending Putaway'!$B$2:$B$1537,0)),IFERROR(INDEX('Pending Putaway'!$E$2:$E$1537,MATCH(SUBSTITUTE($A185," SS","  SS"),'Pending Putaway'!$B$2:$B$1537,0)),"NA"))</f>
        <v>4120</v>
      </c>
      <c r="J185" s="64" t="n">
        <f aca="false">IFERROR(INDEX('Pending Putaway'!$L$2:$L$1537,MATCH($A185,'Pending Putaway'!$B$2:$B$1537,0)),IFERROR(INDEX('Pending Putaway'!$L$2:$L$1537,MATCH(SUBSTITUTE($A185," SS","  SS"),'Pending Putaway'!$B$2:$B$1537,0)),"NA"))</f>
        <v>1041</v>
      </c>
    </row>
    <row r="186" customFormat="false" ht="15" hidden="false" customHeight="false" outlineLevel="0" collapsed="false">
      <c r="A186" s="63" t="s">
        <v>240</v>
      </c>
      <c r="B186" s="63" t="str">
        <f aca="false">IFERROR(INDEX('CLM &amp; IM Mapping'!$B$2:$B$270,MATCH($A186,'CLM &amp; IM Mapping'!$A$2:$A$270,0)),"Not Mapped")</f>
        <v>Richard Harris</v>
      </c>
      <c r="C186" s="63" t="str">
        <f aca="false">IFERROR(INDEX('CLM &amp; IM Mapping'!$C$2:$C$270,MATCH($A186,'CLM &amp; IM Mapping'!$A$2:$A$270,0)),"Not Mapped")</f>
        <v>Kantha Kumar</v>
      </c>
      <c r="D186" s="64" t="n">
        <f aca="false">IFERROR(INDEX(Shrinkage!$P$2:$P$260,MATCH($A186,Shrinkage!$D$2:$D$260,0)),IFERROR(INDEX(Shrinkage!$P$2:$P$260,MATCH(SUBSTITUTE($A186," SS","  SS"),Shrinkage!$D$2:$D$260,0)),"NA"))</f>
        <v>-638</v>
      </c>
      <c r="E186" s="65" t="n">
        <f aca="false">IFERROR(INDEX('Inventory Hygiene'!$I$3:$I$254,MATCH($A186,'Inventory Hygiene'!$B$3:$B$254,0)),IFERROR(INDEX('Inventory Hygiene'!$I$3:$I$254,MATCH(SUBSTITUTE($A186," SS","  SS"),'Inventory Hygiene'!$B$3:$B$254,0)),"NA"))</f>
        <v>0.39</v>
      </c>
      <c r="F186" s="64" t="n">
        <f aca="false">IFERROR(INDEX('Bad Bins'!$K$3:$K$253,MATCH($A186,'Bad Bins'!$B$3:$B$253,0)),IFERROR(INDEX('Bad Bins'!$K$3:$K$253,MATCH(SUBSTITUTE($A186," SS","  SS"),'Bad Bins'!$B$3:$B$253,0)),"NA"))</f>
        <v>188</v>
      </c>
      <c r="G186" s="64" t="n">
        <f aca="false">IFERROR(INDEX('RSTO &gt; 48hrs'!$H$2:$H$134,MATCH($A186,'RSTO &gt; 48hrs'!$B$2:$B$134,0)),IFERROR(INDEX('RSTO &gt; 48hrs'!$H$2:$H$134,MATCH(SUBSTITUTE($A186," SS","  SS"),'RSTO &gt; 48hrs'!$B$2:$B$134,0)),"NA"))</f>
        <v>4</v>
      </c>
      <c r="H186" s="64" t="n">
        <f aca="false">IFERROR(INDEX('Recirculation &gt; 24 hrs'!$K$3:$K$151,MATCH($A186,'Recirculation &gt; 24 hrs'!$B$3:$B$151,0)),IFERROR(INDEX('Recirculation &gt; 24 hrs'!$K$3:$K$151,MATCH(SUBSTITUTE($A186," SS","  SS"),'Recirculation &gt; 24 hrs'!$B$3:$B$151,0)),"NA"))</f>
        <v>1</v>
      </c>
      <c r="I186" s="64" t="n">
        <f aca="false">IFERROR(INDEX('Pending Putaway'!$E$2:$E$1537,MATCH($A186,'Pending Putaway'!$B$2:$B$1537,0)),IFERROR(INDEX('Pending Putaway'!$E$2:$E$1537,MATCH(SUBSTITUTE($A186," SS","  SS"),'Pending Putaway'!$B$2:$B$1537,0)),"NA"))</f>
        <v>0</v>
      </c>
      <c r="J186" s="64" t="n">
        <f aca="false">IFERROR(INDEX('Pending Putaway'!$L$2:$L$1537,MATCH($A186,'Pending Putaway'!$B$2:$B$1537,0)),IFERROR(INDEX('Pending Putaway'!$L$2:$L$1537,MATCH(SUBSTITUTE($A186," SS","  SS"),'Pending Putaway'!$B$2:$B$1537,0)),"NA"))</f>
        <v>0</v>
      </c>
    </row>
    <row r="187" customFormat="false" ht="15" hidden="false" customHeight="false" outlineLevel="0" collapsed="false">
      <c r="A187" s="63" t="s">
        <v>53</v>
      </c>
      <c r="B187" s="63" t="str">
        <f aca="false">IFERROR(INDEX('CLM &amp; IM Mapping'!$B$2:$B$270,MATCH($A187,'CLM &amp; IM Mapping'!$A$2:$A$270,0)),"Not Mapped")</f>
        <v>Ashwath S</v>
      </c>
      <c r="C187" s="63" t="str">
        <f aca="false">IFERROR(INDEX('CLM &amp; IM Mapping'!$C$2:$C$270,MATCH($A187,'CLM &amp; IM Mapping'!$A$2:$A$270,0)),"Not Mapped")</f>
        <v>Kantha Kumar</v>
      </c>
      <c r="D187" s="64" t="n">
        <f aca="false">IFERROR(INDEX(Shrinkage!$P$2:$P$260,MATCH($A187,Shrinkage!$D$2:$D$260,0)),IFERROR(INDEX(Shrinkage!$P$2:$P$260,MATCH(SUBSTITUTE($A187," SS","  SS"),Shrinkage!$D$2:$D$260,0)),"NA"))</f>
        <v>29752</v>
      </c>
      <c r="E187" s="65" t="n">
        <f aca="false">IFERROR(INDEX('Inventory Hygiene'!$I$3:$I$254,MATCH($A187,'Inventory Hygiene'!$B$3:$B$254,0)),IFERROR(INDEX('Inventory Hygiene'!$I$3:$I$254,MATCH(SUBSTITUTE($A187," SS","  SS"),'Inventory Hygiene'!$B$3:$B$254,0)),"NA"))</f>
        <v>0.34</v>
      </c>
      <c r="F187" s="64" t="n">
        <f aca="false">IFERROR(INDEX('Bad Bins'!$K$3:$K$253,MATCH($A187,'Bad Bins'!$B$3:$B$253,0)),IFERROR(INDEX('Bad Bins'!$K$3:$K$253,MATCH(SUBSTITUTE($A187," SS","  SS"),'Bad Bins'!$B$3:$B$253,0)),"NA"))</f>
        <v>73</v>
      </c>
      <c r="G187" s="64" t="n">
        <f aca="false">IFERROR(INDEX('RSTO &gt; 48hrs'!$H$2:$H$134,MATCH($A187,'RSTO &gt; 48hrs'!$B$2:$B$134,0)),IFERROR(INDEX('RSTO &gt; 48hrs'!$H$2:$H$134,MATCH(SUBSTITUTE($A187," SS","  SS"),'RSTO &gt; 48hrs'!$B$2:$B$134,0)),"NA"))</f>
        <v>14</v>
      </c>
      <c r="H187" s="64" t="n">
        <f aca="false">IFERROR(INDEX('Recirculation &gt; 24 hrs'!$K$3:$K$151,MATCH($A187,'Recirculation &gt; 24 hrs'!$B$3:$B$151,0)),IFERROR(INDEX('Recirculation &gt; 24 hrs'!$K$3:$K$151,MATCH(SUBSTITUTE($A187," SS","  SS"),'Recirculation &gt; 24 hrs'!$B$3:$B$151,0)),"NA"))</f>
        <v>19</v>
      </c>
      <c r="I187" s="64" t="n">
        <f aca="false">IFERROR(INDEX('Pending Putaway'!$E$2:$E$1537,MATCH($A187,'Pending Putaway'!$B$2:$B$1537,0)),IFERROR(INDEX('Pending Putaway'!$E$2:$E$1537,MATCH(SUBSTITUTE($A187," SS","  SS"),'Pending Putaway'!$B$2:$B$1537,0)),"NA"))</f>
        <v>207</v>
      </c>
      <c r="J187" s="64" t="n">
        <f aca="false">IFERROR(INDEX('Pending Putaway'!$L$2:$L$1537,MATCH($A187,'Pending Putaway'!$B$2:$B$1537,0)),IFERROR(INDEX('Pending Putaway'!$L$2:$L$1537,MATCH(SUBSTITUTE($A187," SS","  SS"),'Pending Putaway'!$B$2:$B$1537,0)),"NA"))</f>
        <v>1</v>
      </c>
    </row>
    <row r="188" customFormat="false" ht="15" hidden="false" customHeight="false" outlineLevel="0" collapsed="false">
      <c r="A188" s="63" t="s">
        <v>202</v>
      </c>
      <c r="B188" s="63" t="str">
        <f aca="false">IFERROR(INDEX('CLM &amp; IM Mapping'!$B$2:$B$270,MATCH($A188,'CLM &amp; IM Mapping'!$A$2:$A$270,0)),"Not Mapped")</f>
        <v>Ashwath S</v>
      </c>
      <c r="C188" s="63" t="str">
        <f aca="false">IFERROR(INDEX('CLM &amp; IM Mapping'!$C$2:$C$270,MATCH($A188,'CLM &amp; IM Mapping'!$A$2:$A$270,0)),"Not Mapped")</f>
        <v>Kantha Kumar</v>
      </c>
      <c r="D188" s="64" t="n">
        <f aca="false">IFERROR(INDEX(Shrinkage!$P$2:$P$260,MATCH($A188,Shrinkage!$D$2:$D$260,0)),IFERROR(INDEX(Shrinkage!$P$2:$P$260,MATCH(SUBSTITUTE($A188," SS","  SS"),Shrinkage!$D$2:$D$260,0)),"NA"))</f>
        <v>30401</v>
      </c>
      <c r="E188" s="65" t="n">
        <f aca="false">IFERROR(INDEX('Inventory Hygiene'!$I$3:$I$254,MATCH($A188,'Inventory Hygiene'!$B$3:$B$254,0)),IFERROR(INDEX('Inventory Hygiene'!$I$3:$I$254,MATCH(SUBSTITUTE($A188," SS","  SS"),'Inventory Hygiene'!$B$3:$B$254,0)),"NA"))</f>
        <v>0.73</v>
      </c>
      <c r="F188" s="64" t="n">
        <f aca="false">IFERROR(INDEX('Bad Bins'!$K$3:$K$253,MATCH($A188,'Bad Bins'!$B$3:$B$253,0)),IFERROR(INDEX('Bad Bins'!$K$3:$K$253,MATCH(SUBSTITUTE($A188," SS","  SS"),'Bad Bins'!$B$3:$B$253,0)),"NA"))</f>
        <v>218</v>
      </c>
      <c r="G188" s="64" t="n">
        <f aca="false">IFERROR(INDEX('RSTO &gt; 48hrs'!$H$2:$H$134,MATCH($A188,'RSTO &gt; 48hrs'!$B$2:$B$134,0)),IFERROR(INDEX('RSTO &gt; 48hrs'!$H$2:$H$134,MATCH(SUBSTITUTE($A188," SS","  SS"),'RSTO &gt; 48hrs'!$B$2:$B$134,0)),"NA"))</f>
        <v>52</v>
      </c>
      <c r="H188" s="64" t="str">
        <f aca="false">IFERROR(INDEX('Recirculation &gt; 24 hrs'!$K$3:$K$151,MATCH($A188,'Recirculation &gt; 24 hrs'!$B$3:$B$151,0)),IFERROR(INDEX('Recirculation &gt; 24 hrs'!$K$3:$K$151,MATCH(SUBSTITUTE($A188," SS","  SS"),'Recirculation &gt; 24 hrs'!$B$3:$B$151,0)),"NA"))</f>
        <v>NA</v>
      </c>
      <c r="I188" s="64" t="n">
        <f aca="false">IFERROR(INDEX('Pending Putaway'!$E$2:$E$1537,MATCH($A188,'Pending Putaway'!$B$2:$B$1537,0)),IFERROR(INDEX('Pending Putaway'!$E$2:$E$1537,MATCH(SUBSTITUTE($A188," SS","  SS"),'Pending Putaway'!$B$2:$B$1537,0)),"NA"))</f>
        <v>1541</v>
      </c>
      <c r="J188" s="64" t="n">
        <f aca="false">IFERROR(INDEX('Pending Putaway'!$L$2:$L$1537,MATCH($A188,'Pending Putaway'!$B$2:$B$1537,0)),IFERROR(INDEX('Pending Putaway'!$L$2:$L$1537,MATCH(SUBSTITUTE($A188," SS","  SS"),'Pending Putaway'!$B$2:$B$1537,0)),"NA"))</f>
        <v>1541</v>
      </c>
    </row>
    <row r="189" customFormat="false" ht="15" hidden="false" customHeight="false" outlineLevel="0" collapsed="false">
      <c r="A189" s="63" t="s">
        <v>143</v>
      </c>
      <c r="B189" s="63" t="str">
        <f aca="false">IFERROR(INDEX('CLM &amp; IM Mapping'!$B$2:$B$270,MATCH($A189,'CLM &amp; IM Mapping'!$A$2:$A$270,0)),"Not Mapped")</f>
        <v>Ashwath S</v>
      </c>
      <c r="C189" s="63" t="str">
        <f aca="false">IFERROR(INDEX('CLM &amp; IM Mapping'!$C$2:$C$270,MATCH($A189,'CLM &amp; IM Mapping'!$A$2:$A$270,0)),"Not Mapped")</f>
        <v>Kantha Kumar</v>
      </c>
      <c r="D189" s="64" t="n">
        <f aca="false">IFERROR(INDEX(Shrinkage!$P$2:$P$260,MATCH($A189,Shrinkage!$D$2:$D$260,0)),IFERROR(INDEX(Shrinkage!$P$2:$P$260,MATCH(SUBSTITUTE($A189," SS","  SS"),Shrinkage!$D$2:$D$260,0)),"NA"))</f>
        <v>166</v>
      </c>
      <c r="E189" s="65" t="n">
        <f aca="false">IFERROR(INDEX('Inventory Hygiene'!$I$3:$I$254,MATCH($A189,'Inventory Hygiene'!$B$3:$B$254,0)),IFERROR(INDEX('Inventory Hygiene'!$I$3:$I$254,MATCH(SUBSTITUTE($A189," SS","  SS"),'Inventory Hygiene'!$B$3:$B$254,0)),"NA"))</f>
        <v>0.48</v>
      </c>
      <c r="F189" s="64" t="n">
        <f aca="false">IFERROR(INDEX('Bad Bins'!$K$3:$K$253,MATCH($A189,'Bad Bins'!$B$3:$B$253,0)),IFERROR(INDEX('Bad Bins'!$K$3:$K$253,MATCH(SUBSTITUTE($A189," SS","  SS"),'Bad Bins'!$B$3:$B$253,0)),"NA"))</f>
        <v>154</v>
      </c>
      <c r="G189" s="64" t="str">
        <f aca="false">IFERROR(INDEX('RSTO &gt; 48hrs'!$H$2:$H$134,MATCH($A189,'RSTO &gt; 48hrs'!$B$2:$B$134,0)),IFERROR(INDEX('RSTO &gt; 48hrs'!$H$2:$H$134,MATCH(SUBSTITUTE($A189," SS","  SS"),'RSTO &gt; 48hrs'!$B$2:$B$134,0)),"NA"))</f>
        <v>NA</v>
      </c>
      <c r="H189" s="64" t="str">
        <f aca="false">IFERROR(INDEX('Recirculation &gt; 24 hrs'!$K$3:$K$151,MATCH($A189,'Recirculation &gt; 24 hrs'!$B$3:$B$151,0)),IFERROR(INDEX('Recirculation &gt; 24 hrs'!$K$3:$K$151,MATCH(SUBSTITUTE($A189," SS","  SS"),'Recirculation &gt; 24 hrs'!$B$3:$B$151,0)),"NA"))</f>
        <v>NA</v>
      </c>
      <c r="I189" s="64" t="n">
        <f aca="false">IFERROR(INDEX('Pending Putaway'!$E$2:$E$1537,MATCH($A189,'Pending Putaway'!$B$2:$B$1537,0)),IFERROR(INDEX('Pending Putaway'!$E$2:$E$1537,MATCH(SUBSTITUTE($A189," SS","  SS"),'Pending Putaway'!$B$2:$B$1537,0)),"NA"))</f>
        <v>0</v>
      </c>
      <c r="J189" s="64" t="n">
        <f aca="false">IFERROR(INDEX('Pending Putaway'!$L$2:$L$1537,MATCH($A189,'Pending Putaway'!$B$2:$B$1537,0)),IFERROR(INDEX('Pending Putaway'!$L$2:$L$1537,MATCH(SUBSTITUTE($A189," SS","  SS"),'Pending Putaway'!$B$2:$B$1537,0)),"NA"))</f>
        <v>0</v>
      </c>
    </row>
    <row r="190" customFormat="false" ht="15" hidden="false" customHeight="false" outlineLevel="0" collapsed="false">
      <c r="A190" s="63" t="s">
        <v>111</v>
      </c>
      <c r="B190" s="63" t="str">
        <f aca="false">IFERROR(INDEX('CLM &amp; IM Mapping'!$B$2:$B$270,MATCH($A190,'CLM &amp; IM Mapping'!$A$2:$A$270,0)),"Not Mapped")</f>
        <v>Ashwath S</v>
      </c>
      <c r="C190" s="63" t="str">
        <f aca="false">IFERROR(INDEX('CLM &amp; IM Mapping'!$C$2:$C$270,MATCH($A190,'CLM &amp; IM Mapping'!$A$2:$A$270,0)),"Not Mapped")</f>
        <v>Kantha Kumar</v>
      </c>
      <c r="D190" s="64" t="n">
        <f aca="false">IFERROR(INDEX(Shrinkage!$P$2:$P$260,MATCH($A190,Shrinkage!$D$2:$D$260,0)),IFERROR(INDEX(Shrinkage!$P$2:$P$260,MATCH(SUBSTITUTE($A190," SS","  SS"),Shrinkage!$D$2:$D$260,0)),"NA"))</f>
        <v>4921</v>
      </c>
      <c r="E190" s="65" t="n">
        <f aca="false">IFERROR(INDEX('Inventory Hygiene'!$I$3:$I$254,MATCH($A190,'Inventory Hygiene'!$B$3:$B$254,0)),IFERROR(INDEX('Inventory Hygiene'!$I$3:$I$254,MATCH(SUBSTITUTE($A190," SS","  SS"),'Inventory Hygiene'!$B$3:$B$254,0)),"NA"))</f>
        <v>0.88</v>
      </c>
      <c r="F190" s="64" t="n">
        <f aca="false">IFERROR(INDEX('Bad Bins'!$K$3:$K$253,MATCH($A190,'Bad Bins'!$B$3:$B$253,0)),IFERROR(INDEX('Bad Bins'!$K$3:$K$253,MATCH(SUBSTITUTE($A190," SS","  SS"),'Bad Bins'!$B$3:$B$253,0)),"NA"))</f>
        <v>136</v>
      </c>
      <c r="G190" s="64" t="str">
        <f aca="false">IFERROR(INDEX('RSTO &gt; 48hrs'!$H$2:$H$134,MATCH($A190,'RSTO &gt; 48hrs'!$B$2:$B$134,0)),IFERROR(INDEX('RSTO &gt; 48hrs'!$H$2:$H$134,MATCH(SUBSTITUTE($A190," SS","  SS"),'RSTO &gt; 48hrs'!$B$2:$B$134,0)),"NA"))</f>
        <v>NA</v>
      </c>
      <c r="H190" s="64" t="str">
        <f aca="false">IFERROR(INDEX('Recirculation &gt; 24 hrs'!$K$3:$K$151,MATCH($A190,'Recirculation &gt; 24 hrs'!$B$3:$B$151,0)),IFERROR(INDEX('Recirculation &gt; 24 hrs'!$K$3:$K$151,MATCH(SUBSTITUTE($A190," SS","  SS"),'Recirculation &gt; 24 hrs'!$B$3:$B$151,0)),"NA"))</f>
        <v>NA</v>
      </c>
      <c r="I190" s="64" t="n">
        <f aca="false">IFERROR(INDEX('Pending Putaway'!$E$2:$E$1537,MATCH($A190,'Pending Putaway'!$B$2:$B$1537,0)),IFERROR(INDEX('Pending Putaway'!$E$2:$E$1537,MATCH(SUBSTITUTE($A190," SS","  SS"),'Pending Putaway'!$B$2:$B$1537,0)),"NA"))</f>
        <v>0</v>
      </c>
      <c r="J190" s="64" t="n">
        <f aca="false">IFERROR(INDEX('Pending Putaway'!$L$2:$L$1537,MATCH($A190,'Pending Putaway'!$B$2:$B$1537,0)),IFERROR(INDEX('Pending Putaway'!$L$2:$L$1537,MATCH(SUBSTITUTE($A190," SS","  SS"),'Pending Putaway'!$B$2:$B$1537,0)),"NA"))</f>
        <v>0</v>
      </c>
    </row>
    <row r="191" customFormat="false" ht="15" hidden="false" customHeight="false" outlineLevel="0" collapsed="false">
      <c r="A191" s="63" t="s">
        <v>113</v>
      </c>
      <c r="B191" s="63" t="str">
        <f aca="false">IFERROR(INDEX('CLM &amp; IM Mapping'!$B$2:$B$270,MATCH($A191,'CLM &amp; IM Mapping'!$A$2:$A$270,0)),"Not Mapped")</f>
        <v>Ashwath S</v>
      </c>
      <c r="C191" s="63" t="str">
        <f aca="false">IFERROR(INDEX('CLM &amp; IM Mapping'!$C$2:$C$270,MATCH($A191,'CLM &amp; IM Mapping'!$A$2:$A$270,0)),"Not Mapped")</f>
        <v>Kantha Kumar</v>
      </c>
      <c r="D191" s="64" t="n">
        <f aca="false">IFERROR(INDEX(Shrinkage!$P$2:$P$260,MATCH($A191,Shrinkage!$D$2:$D$260,0)),IFERROR(INDEX(Shrinkage!$P$2:$P$260,MATCH(SUBSTITUTE($A191," SS","  SS"),Shrinkage!$D$2:$D$260,0)),"NA"))</f>
        <v>19518</v>
      </c>
      <c r="E191" s="65" t="n">
        <f aca="false">IFERROR(INDEX('Inventory Hygiene'!$I$3:$I$254,MATCH($A191,'Inventory Hygiene'!$B$3:$B$254,0)),IFERROR(INDEX('Inventory Hygiene'!$I$3:$I$254,MATCH(SUBSTITUTE($A191," SS","  SS"),'Inventory Hygiene'!$B$3:$B$254,0)),"NA"))</f>
        <v>0.37</v>
      </c>
      <c r="F191" s="64" t="n">
        <f aca="false">IFERROR(INDEX('Bad Bins'!$K$3:$K$253,MATCH($A191,'Bad Bins'!$B$3:$B$253,0)),IFERROR(INDEX('Bad Bins'!$K$3:$K$253,MATCH(SUBSTITUTE($A191," SS","  SS"),'Bad Bins'!$B$3:$B$253,0)),"NA"))</f>
        <v>324</v>
      </c>
      <c r="G191" s="64" t="n">
        <f aca="false">IFERROR(INDEX('RSTO &gt; 48hrs'!$H$2:$H$134,MATCH($A191,'RSTO &gt; 48hrs'!$B$2:$B$134,0)),IFERROR(INDEX('RSTO &gt; 48hrs'!$H$2:$H$134,MATCH(SUBSTITUTE($A191," SS","  SS"),'RSTO &gt; 48hrs'!$B$2:$B$134,0)),"NA"))</f>
        <v>61</v>
      </c>
      <c r="H191" s="64" t="str">
        <f aca="false">IFERROR(INDEX('Recirculation &gt; 24 hrs'!$K$3:$K$151,MATCH($A191,'Recirculation &gt; 24 hrs'!$B$3:$B$151,0)),IFERROR(INDEX('Recirculation &gt; 24 hrs'!$K$3:$K$151,MATCH(SUBSTITUTE($A191," SS","  SS"),'Recirculation &gt; 24 hrs'!$B$3:$B$151,0)),"NA"))</f>
        <v>NA</v>
      </c>
      <c r="I191" s="64" t="n">
        <f aca="false">IFERROR(INDEX('Pending Putaway'!$E$2:$E$1537,MATCH($A191,'Pending Putaway'!$B$2:$B$1537,0)),IFERROR(INDEX('Pending Putaway'!$E$2:$E$1537,MATCH(SUBSTITUTE($A191," SS","  SS"),'Pending Putaway'!$B$2:$B$1537,0)),"NA"))</f>
        <v>1900</v>
      </c>
      <c r="J191" s="64" t="n">
        <f aca="false">IFERROR(INDEX('Pending Putaway'!$L$2:$L$1537,MATCH($A191,'Pending Putaway'!$B$2:$B$1537,0)),IFERROR(INDEX('Pending Putaway'!$L$2:$L$1537,MATCH(SUBSTITUTE($A191," SS","  SS"),'Pending Putaway'!$B$2:$B$1537,0)),"NA"))</f>
        <v>1900</v>
      </c>
    </row>
    <row r="192" customFormat="false" ht="15" hidden="false" customHeight="false" outlineLevel="0" collapsed="false">
      <c r="A192" s="63" t="s">
        <v>19</v>
      </c>
      <c r="B192" s="63" t="str">
        <f aca="false">IFERROR(INDEX('CLM &amp; IM Mapping'!$B$2:$B$270,MATCH($A192,'CLM &amp; IM Mapping'!$A$2:$A$270,0)),"Not Mapped")</f>
        <v>Ashwath S</v>
      </c>
      <c r="C192" s="63" t="str">
        <f aca="false">IFERROR(INDEX('CLM &amp; IM Mapping'!$C$2:$C$270,MATCH($A192,'CLM &amp; IM Mapping'!$A$2:$A$270,0)),"Not Mapped")</f>
        <v>Kantha Kumar</v>
      </c>
      <c r="D192" s="64" t="n">
        <f aca="false">IFERROR(INDEX(Shrinkage!$P$2:$P$260,MATCH($A192,Shrinkage!$D$2:$D$260,0)),IFERROR(INDEX(Shrinkage!$P$2:$P$260,MATCH(SUBSTITUTE($A192," SS","  SS"),Shrinkage!$D$2:$D$260,0)),"NA"))</f>
        <v>32557</v>
      </c>
      <c r="E192" s="65" t="n">
        <f aca="false">IFERROR(INDEX('Inventory Hygiene'!$I$3:$I$254,MATCH($A192,'Inventory Hygiene'!$B$3:$B$254,0)),IFERROR(INDEX('Inventory Hygiene'!$I$3:$I$254,MATCH(SUBSTITUTE($A192," SS","  SS"),'Inventory Hygiene'!$B$3:$B$254,0)),"NA"))</f>
        <v>0.37</v>
      </c>
      <c r="F192" s="64" t="n">
        <f aca="false">IFERROR(INDEX('Bad Bins'!$K$3:$K$253,MATCH($A192,'Bad Bins'!$B$3:$B$253,0)),IFERROR(INDEX('Bad Bins'!$K$3:$K$253,MATCH(SUBSTITUTE($A192," SS","  SS"),'Bad Bins'!$B$3:$B$253,0)),"NA"))</f>
        <v>282</v>
      </c>
      <c r="G192" s="64" t="n">
        <f aca="false">IFERROR(INDEX('RSTO &gt; 48hrs'!$H$2:$H$134,MATCH($A192,'RSTO &gt; 48hrs'!$B$2:$B$134,0)),IFERROR(INDEX('RSTO &gt; 48hrs'!$H$2:$H$134,MATCH(SUBSTITUTE($A192," SS","  SS"),'RSTO &gt; 48hrs'!$B$2:$B$134,0)),"NA"))</f>
        <v>7</v>
      </c>
      <c r="H192" s="64" t="n">
        <f aca="false">IFERROR(INDEX('Recirculation &gt; 24 hrs'!$K$3:$K$151,MATCH($A192,'Recirculation &gt; 24 hrs'!$B$3:$B$151,0)),IFERROR(INDEX('Recirculation &gt; 24 hrs'!$K$3:$K$151,MATCH(SUBSTITUTE($A192," SS","  SS"),'Recirculation &gt; 24 hrs'!$B$3:$B$151,0)),"NA"))</f>
        <v>277</v>
      </c>
      <c r="I192" s="64" t="n">
        <f aca="false">IFERROR(INDEX('Pending Putaway'!$E$2:$E$1537,MATCH($A192,'Pending Putaway'!$B$2:$B$1537,0)),IFERROR(INDEX('Pending Putaway'!$E$2:$E$1537,MATCH(SUBSTITUTE($A192," SS","  SS"),'Pending Putaway'!$B$2:$B$1537,0)),"NA"))</f>
        <v>1262</v>
      </c>
      <c r="J192" s="64" t="n">
        <f aca="false">IFERROR(INDEX('Pending Putaway'!$L$2:$L$1537,MATCH($A192,'Pending Putaway'!$B$2:$B$1537,0)),IFERROR(INDEX('Pending Putaway'!$L$2:$L$1537,MATCH(SUBSTITUTE($A192," SS","  SS"),'Pending Putaway'!$B$2:$B$1537,0)),"NA"))</f>
        <v>1262</v>
      </c>
    </row>
    <row r="193" customFormat="false" ht="15" hidden="false" customHeight="false" outlineLevel="0" collapsed="false">
      <c r="A193" s="63" t="s">
        <v>189</v>
      </c>
      <c r="B193" s="63" t="str">
        <f aca="false">IFERROR(INDEX('CLM &amp; IM Mapping'!$B$2:$B$270,MATCH($A193,'CLM &amp; IM Mapping'!$A$2:$A$270,0)),"Not Mapped")</f>
        <v>Ashwath S</v>
      </c>
      <c r="C193" s="63" t="str">
        <f aca="false">IFERROR(INDEX('CLM &amp; IM Mapping'!$C$2:$C$270,MATCH($A193,'CLM &amp; IM Mapping'!$A$2:$A$270,0)),"Not Mapped")</f>
        <v>Kantha Kumar</v>
      </c>
      <c r="D193" s="64" t="n">
        <f aca="false">IFERROR(INDEX(Shrinkage!$P$2:$P$260,MATCH($A193,Shrinkage!$D$2:$D$260,0)),IFERROR(INDEX(Shrinkage!$P$2:$P$260,MATCH(SUBSTITUTE($A193," SS","  SS"),Shrinkage!$D$2:$D$260,0)),"NA"))</f>
        <v>2770</v>
      </c>
      <c r="E193" s="65" t="n">
        <f aca="false">IFERROR(INDEX('Inventory Hygiene'!$I$3:$I$254,MATCH($A193,'Inventory Hygiene'!$B$3:$B$254,0)),IFERROR(INDEX('Inventory Hygiene'!$I$3:$I$254,MATCH(SUBSTITUTE($A193," SS","  SS"),'Inventory Hygiene'!$B$3:$B$254,0)),"NA"))</f>
        <v>0.72</v>
      </c>
      <c r="F193" s="64" t="n">
        <f aca="false">IFERROR(INDEX('Bad Bins'!$K$3:$K$253,MATCH($A193,'Bad Bins'!$B$3:$B$253,0)),IFERROR(INDEX('Bad Bins'!$K$3:$K$253,MATCH(SUBSTITUTE($A193," SS","  SS"),'Bad Bins'!$B$3:$B$253,0)),"NA"))</f>
        <v>50</v>
      </c>
      <c r="G193" s="64" t="str">
        <f aca="false">IFERROR(INDEX('RSTO &gt; 48hrs'!$H$2:$H$134,MATCH($A193,'RSTO &gt; 48hrs'!$B$2:$B$134,0)),IFERROR(INDEX('RSTO &gt; 48hrs'!$H$2:$H$134,MATCH(SUBSTITUTE($A193," SS","  SS"),'RSTO &gt; 48hrs'!$B$2:$B$134,0)),"NA"))</f>
        <v>NA</v>
      </c>
      <c r="H193" s="64" t="str">
        <f aca="false">IFERROR(INDEX('Recirculation &gt; 24 hrs'!$K$3:$K$151,MATCH($A193,'Recirculation &gt; 24 hrs'!$B$3:$B$151,0)),IFERROR(INDEX('Recirculation &gt; 24 hrs'!$K$3:$K$151,MATCH(SUBSTITUTE($A193," SS","  SS"),'Recirculation &gt; 24 hrs'!$B$3:$B$151,0)),"NA"))</f>
        <v>NA</v>
      </c>
      <c r="I193" s="64" t="n">
        <f aca="false">IFERROR(INDEX('Pending Putaway'!$E$2:$E$1537,MATCH($A193,'Pending Putaway'!$B$2:$B$1537,0)),IFERROR(INDEX('Pending Putaway'!$E$2:$E$1537,MATCH(SUBSTITUTE($A193," SS","  SS"),'Pending Putaway'!$B$2:$B$1537,0)),"NA"))</f>
        <v>0</v>
      </c>
      <c r="J193" s="64" t="n">
        <f aca="false">IFERROR(INDEX('Pending Putaway'!$L$2:$L$1537,MATCH($A193,'Pending Putaway'!$B$2:$B$1537,0)),IFERROR(INDEX('Pending Putaway'!$L$2:$L$1537,MATCH(SUBSTITUTE($A193," SS","  SS"),'Pending Putaway'!$B$2:$B$1537,0)),"NA"))</f>
        <v>0</v>
      </c>
    </row>
    <row r="194" customFormat="false" ht="15" hidden="false" customHeight="false" outlineLevel="0" collapsed="false">
      <c r="A194" s="63" t="s">
        <v>58</v>
      </c>
      <c r="B194" s="63" t="str">
        <f aca="false">IFERROR(INDEX('CLM &amp; IM Mapping'!$B$2:$B$270,MATCH($A194,'CLM &amp; IM Mapping'!$A$2:$A$270,0)),"Not Mapped")</f>
        <v>Ashwath S</v>
      </c>
      <c r="C194" s="63" t="str">
        <f aca="false">IFERROR(INDEX('CLM &amp; IM Mapping'!$C$2:$C$270,MATCH($A194,'CLM &amp; IM Mapping'!$A$2:$A$270,0)),"Not Mapped")</f>
        <v>Kantha Kumar</v>
      </c>
      <c r="D194" s="64" t="n">
        <f aca="false">IFERROR(INDEX(Shrinkage!$P$2:$P$260,MATCH($A194,Shrinkage!$D$2:$D$260,0)),IFERROR(INDEX(Shrinkage!$P$2:$P$260,MATCH(SUBSTITUTE($A194," SS","  SS"),Shrinkage!$D$2:$D$260,0)),"NA"))</f>
        <v>3992</v>
      </c>
      <c r="E194" s="65" t="n">
        <f aca="false">IFERROR(INDEX('Inventory Hygiene'!$I$3:$I$254,MATCH($A194,'Inventory Hygiene'!$B$3:$B$254,0)),IFERROR(INDEX('Inventory Hygiene'!$I$3:$I$254,MATCH(SUBSTITUTE($A194," SS","  SS"),'Inventory Hygiene'!$B$3:$B$254,0)),"NA"))</f>
        <v>0.82</v>
      </c>
      <c r="F194" s="64" t="n">
        <f aca="false">IFERROR(INDEX('Bad Bins'!$K$3:$K$253,MATCH($A194,'Bad Bins'!$B$3:$B$253,0)),IFERROR(INDEX('Bad Bins'!$K$3:$K$253,MATCH(SUBSTITUTE($A194," SS","  SS"),'Bad Bins'!$B$3:$B$253,0)),"NA"))</f>
        <v>154</v>
      </c>
      <c r="G194" s="64" t="str">
        <f aca="false">IFERROR(INDEX('RSTO &gt; 48hrs'!$H$2:$H$134,MATCH($A194,'RSTO &gt; 48hrs'!$B$2:$B$134,0)),IFERROR(INDEX('RSTO &gt; 48hrs'!$H$2:$H$134,MATCH(SUBSTITUTE($A194," SS","  SS"),'RSTO &gt; 48hrs'!$B$2:$B$134,0)),"NA"))</f>
        <v>NA</v>
      </c>
      <c r="H194" s="64" t="str">
        <f aca="false">IFERROR(INDEX('Recirculation &gt; 24 hrs'!$K$3:$K$151,MATCH($A194,'Recirculation &gt; 24 hrs'!$B$3:$B$151,0)),IFERROR(INDEX('Recirculation &gt; 24 hrs'!$K$3:$K$151,MATCH(SUBSTITUTE($A194," SS","  SS"),'Recirculation &gt; 24 hrs'!$B$3:$B$151,0)),"NA"))</f>
        <v>NA</v>
      </c>
      <c r="I194" s="64" t="n">
        <f aca="false">IFERROR(INDEX('Pending Putaway'!$E$2:$E$1537,MATCH($A194,'Pending Putaway'!$B$2:$B$1537,0)),IFERROR(INDEX('Pending Putaway'!$E$2:$E$1537,MATCH(SUBSTITUTE($A194," SS","  SS"),'Pending Putaway'!$B$2:$B$1537,0)),"NA"))</f>
        <v>0</v>
      </c>
      <c r="J194" s="64" t="n">
        <f aca="false">IFERROR(INDEX('Pending Putaway'!$L$2:$L$1537,MATCH($A194,'Pending Putaway'!$B$2:$B$1537,0)),IFERROR(INDEX('Pending Putaway'!$L$2:$L$1537,MATCH(SUBSTITUTE($A194," SS","  SS"),'Pending Putaway'!$B$2:$B$1537,0)),"NA"))</f>
        <v>0</v>
      </c>
    </row>
    <row r="195" customFormat="false" ht="15" hidden="false" customHeight="false" outlineLevel="0" collapsed="false">
      <c r="A195" s="63" t="s">
        <v>242</v>
      </c>
      <c r="B195" s="63" t="str">
        <f aca="false">IFERROR(INDEX('CLM &amp; IM Mapping'!$B$2:$B$270,MATCH($A195,'CLM &amp; IM Mapping'!$A$2:$A$270,0)),"Not Mapped")</f>
        <v>Ashwath S</v>
      </c>
      <c r="C195" s="63" t="str">
        <f aca="false">IFERROR(INDEX('CLM &amp; IM Mapping'!$C$2:$C$270,MATCH($A195,'CLM &amp; IM Mapping'!$A$2:$A$270,0)),"Not Mapped")</f>
        <v>Kantha Kumar</v>
      </c>
      <c r="D195" s="64" t="n">
        <f aca="false">IFERROR(INDEX(Shrinkage!$P$2:$P$260,MATCH($A195,Shrinkage!$D$2:$D$260,0)),IFERROR(INDEX(Shrinkage!$P$2:$P$260,MATCH(SUBSTITUTE($A195," SS","  SS"),Shrinkage!$D$2:$D$260,0)),"NA"))</f>
        <v>39679</v>
      </c>
      <c r="E195" s="65" t="n">
        <f aca="false">IFERROR(INDEX('Inventory Hygiene'!$I$3:$I$254,MATCH($A195,'Inventory Hygiene'!$B$3:$B$254,0)),IFERROR(INDEX('Inventory Hygiene'!$I$3:$I$254,MATCH(SUBSTITUTE($A195," SS","  SS"),'Inventory Hygiene'!$B$3:$B$254,0)),"NA"))</f>
        <v>0.4</v>
      </c>
      <c r="F195" s="64" t="n">
        <f aca="false">IFERROR(INDEX('Bad Bins'!$K$3:$K$253,MATCH($A195,'Bad Bins'!$B$3:$B$253,0)),IFERROR(INDEX('Bad Bins'!$K$3:$K$253,MATCH(SUBSTITUTE($A195," SS","  SS"),'Bad Bins'!$B$3:$B$253,0)),"NA"))</f>
        <v>673</v>
      </c>
      <c r="G195" s="64" t="n">
        <f aca="false">IFERROR(INDEX('RSTO &gt; 48hrs'!$H$2:$H$134,MATCH($A195,'RSTO &gt; 48hrs'!$B$2:$B$134,0)),IFERROR(INDEX('RSTO &gt; 48hrs'!$H$2:$H$134,MATCH(SUBSTITUTE($A195," SS","  SS"),'RSTO &gt; 48hrs'!$B$2:$B$134,0)),"NA"))</f>
        <v>67</v>
      </c>
      <c r="H195" s="64" t="n">
        <f aca="false">IFERROR(INDEX('Recirculation &gt; 24 hrs'!$K$3:$K$151,MATCH($A195,'Recirculation &gt; 24 hrs'!$B$3:$B$151,0)),IFERROR(INDEX('Recirculation &gt; 24 hrs'!$K$3:$K$151,MATCH(SUBSTITUTE($A195," SS","  SS"),'Recirculation &gt; 24 hrs'!$B$3:$B$151,0)),"NA"))</f>
        <v>2</v>
      </c>
      <c r="I195" s="64" t="n">
        <f aca="false">IFERROR(INDEX('Pending Putaway'!$E$2:$E$1537,MATCH($A195,'Pending Putaway'!$B$2:$B$1537,0)),IFERROR(INDEX('Pending Putaway'!$E$2:$E$1537,MATCH(SUBSTITUTE($A195," SS","  SS"),'Pending Putaway'!$B$2:$B$1537,0)),"NA"))</f>
        <v>301</v>
      </c>
      <c r="J195" s="64" t="n">
        <f aca="false">IFERROR(INDEX('Pending Putaway'!$L$2:$L$1537,MATCH($A195,'Pending Putaway'!$B$2:$B$1537,0)),IFERROR(INDEX('Pending Putaway'!$L$2:$L$1537,MATCH(SUBSTITUTE($A195," SS","  SS"),'Pending Putaway'!$B$2:$B$1537,0)),"NA"))</f>
        <v>48</v>
      </c>
    </row>
    <row r="196" customFormat="false" ht="15" hidden="false" customHeight="false" outlineLevel="0" collapsed="false">
      <c r="A196" s="63" t="s">
        <v>183</v>
      </c>
      <c r="B196" s="63" t="str">
        <f aca="false">IFERROR(INDEX('CLM &amp; IM Mapping'!$B$2:$B$270,MATCH($A196,'CLM &amp; IM Mapping'!$A$2:$A$270,0)),"Not Mapped")</f>
        <v>Ashwath S</v>
      </c>
      <c r="C196" s="63" t="str">
        <f aca="false">IFERROR(INDEX('CLM &amp; IM Mapping'!$C$2:$C$270,MATCH($A196,'CLM &amp; IM Mapping'!$A$2:$A$270,0)),"Not Mapped")</f>
        <v>Kantha Kumar</v>
      </c>
      <c r="D196" s="64" t="n">
        <f aca="false">IFERROR(INDEX(Shrinkage!$P$2:$P$260,MATCH($A196,Shrinkage!$D$2:$D$260,0)),IFERROR(INDEX(Shrinkage!$P$2:$P$260,MATCH(SUBSTITUTE($A196," SS","  SS"),Shrinkage!$D$2:$D$260,0)),"NA"))</f>
        <v>43012</v>
      </c>
      <c r="E196" s="65" t="n">
        <f aca="false">IFERROR(INDEX('Inventory Hygiene'!$I$3:$I$254,MATCH($A196,'Inventory Hygiene'!$B$3:$B$254,0)),IFERROR(INDEX('Inventory Hygiene'!$I$3:$I$254,MATCH(SUBSTITUTE($A196," SS","  SS"),'Inventory Hygiene'!$B$3:$B$254,0)),"NA"))</f>
        <v>0.51</v>
      </c>
      <c r="F196" s="64" t="n">
        <f aca="false">IFERROR(INDEX('Bad Bins'!$K$3:$K$253,MATCH($A196,'Bad Bins'!$B$3:$B$253,0)),IFERROR(INDEX('Bad Bins'!$K$3:$K$253,MATCH(SUBSTITUTE($A196," SS","  SS"),'Bad Bins'!$B$3:$B$253,0)),"NA"))</f>
        <v>96</v>
      </c>
      <c r="G196" s="64" t="str">
        <f aca="false">IFERROR(INDEX('RSTO &gt; 48hrs'!$H$2:$H$134,MATCH($A196,'RSTO &gt; 48hrs'!$B$2:$B$134,0)),IFERROR(INDEX('RSTO &gt; 48hrs'!$H$2:$H$134,MATCH(SUBSTITUTE($A196," SS","  SS"),'RSTO &gt; 48hrs'!$B$2:$B$134,0)),"NA"))</f>
        <v>NA</v>
      </c>
      <c r="H196" s="64" t="n">
        <f aca="false">IFERROR(INDEX('Recirculation &gt; 24 hrs'!$K$3:$K$151,MATCH($A196,'Recirculation &gt; 24 hrs'!$B$3:$B$151,0)),IFERROR(INDEX('Recirculation &gt; 24 hrs'!$K$3:$K$151,MATCH(SUBSTITUTE($A196," SS","  SS"),'Recirculation &gt; 24 hrs'!$B$3:$B$151,0)),"NA"))</f>
        <v>500</v>
      </c>
      <c r="I196" s="64" t="n">
        <f aca="false">IFERROR(INDEX('Pending Putaway'!$E$2:$E$1537,MATCH($A196,'Pending Putaway'!$B$2:$B$1537,0)),IFERROR(INDEX('Pending Putaway'!$E$2:$E$1537,MATCH(SUBSTITUTE($A196," SS","  SS"),'Pending Putaway'!$B$2:$B$1537,0)),"NA"))</f>
        <v>2939</v>
      </c>
      <c r="J196" s="64" t="n">
        <f aca="false">IFERROR(INDEX('Pending Putaway'!$L$2:$L$1537,MATCH($A196,'Pending Putaway'!$B$2:$B$1537,0)),IFERROR(INDEX('Pending Putaway'!$L$2:$L$1537,MATCH(SUBSTITUTE($A196," SS","  SS"),'Pending Putaway'!$B$2:$B$1537,0)),"NA"))</f>
        <v>102</v>
      </c>
    </row>
    <row r="197" customFormat="false" ht="15" hidden="false" customHeight="false" outlineLevel="0" collapsed="false">
      <c r="A197" s="63" t="s">
        <v>271</v>
      </c>
      <c r="B197" s="63" t="str">
        <f aca="false">IFERROR(INDEX('CLM &amp; IM Mapping'!$B$2:$B$270,MATCH($A197,'CLM &amp; IM Mapping'!$A$2:$A$270,0)),"Not Mapped")</f>
        <v>Ashwath S</v>
      </c>
      <c r="C197" s="63" t="str">
        <f aca="false">IFERROR(INDEX('CLM &amp; IM Mapping'!$C$2:$C$270,MATCH($A197,'CLM &amp; IM Mapping'!$A$2:$A$270,0)),"Not Mapped")</f>
        <v>Kantha Kumar</v>
      </c>
      <c r="D197" s="64" t="n">
        <f aca="false">IFERROR(INDEX(Shrinkage!$P$2:$P$260,MATCH($A197,Shrinkage!$D$2:$D$260,0)),IFERROR(INDEX(Shrinkage!$P$2:$P$260,MATCH(SUBSTITUTE($A197," SS","  SS"),Shrinkage!$D$2:$D$260,0)),"NA"))</f>
        <v>7149</v>
      </c>
      <c r="E197" s="65" t="n">
        <f aca="false">IFERROR(INDEX('Inventory Hygiene'!$I$3:$I$254,MATCH($A197,'Inventory Hygiene'!$B$3:$B$254,0)),IFERROR(INDEX('Inventory Hygiene'!$I$3:$I$254,MATCH(SUBSTITUTE($A197," SS","  SS"),'Inventory Hygiene'!$B$3:$B$254,0)),"NA"))</f>
        <v>0.38</v>
      </c>
      <c r="F197" s="64" t="n">
        <f aca="false">IFERROR(INDEX('Bad Bins'!$K$3:$K$253,MATCH($A197,'Bad Bins'!$B$3:$B$253,0)),IFERROR(INDEX('Bad Bins'!$K$3:$K$253,MATCH(SUBSTITUTE($A197," SS","  SS"),'Bad Bins'!$B$3:$B$253,0)),"NA"))</f>
        <v>67</v>
      </c>
      <c r="G197" s="64" t="str">
        <f aca="false">IFERROR(INDEX('RSTO &gt; 48hrs'!$H$2:$H$134,MATCH($A197,'RSTO &gt; 48hrs'!$B$2:$B$134,0)),IFERROR(INDEX('RSTO &gt; 48hrs'!$H$2:$H$134,MATCH(SUBSTITUTE($A197," SS","  SS"),'RSTO &gt; 48hrs'!$B$2:$B$134,0)),"NA"))</f>
        <v>NA</v>
      </c>
      <c r="H197" s="64" t="n">
        <f aca="false">IFERROR(INDEX('Recirculation &gt; 24 hrs'!$K$3:$K$151,MATCH($A197,'Recirculation &gt; 24 hrs'!$B$3:$B$151,0)),IFERROR(INDEX('Recirculation &gt; 24 hrs'!$K$3:$K$151,MATCH(SUBSTITUTE($A197," SS","  SS"),'Recirculation &gt; 24 hrs'!$B$3:$B$151,0)),"NA"))</f>
        <v>9</v>
      </c>
      <c r="I197" s="64" t="n">
        <f aca="false">IFERROR(INDEX('Pending Putaway'!$E$2:$E$1537,MATCH($A197,'Pending Putaway'!$B$2:$B$1537,0)),IFERROR(INDEX('Pending Putaway'!$E$2:$E$1537,MATCH(SUBSTITUTE($A197," SS","  SS"),'Pending Putaway'!$B$2:$B$1537,0)),"NA"))</f>
        <v>0</v>
      </c>
      <c r="J197" s="64" t="n">
        <f aca="false">IFERROR(INDEX('Pending Putaway'!$L$2:$L$1537,MATCH($A197,'Pending Putaway'!$B$2:$B$1537,0)),IFERROR(INDEX('Pending Putaway'!$L$2:$L$1537,MATCH(SUBSTITUTE($A197," SS","  SS"),'Pending Putaway'!$B$2:$B$1537,0)),"NA"))</f>
        <v>0</v>
      </c>
    </row>
    <row r="198" customFormat="false" ht="15" hidden="false" customHeight="false" outlineLevel="0" collapsed="false">
      <c r="A198" s="63" t="s">
        <v>211</v>
      </c>
      <c r="B198" s="63" t="str">
        <f aca="false">IFERROR(INDEX('CLM &amp; IM Mapping'!$B$2:$B$270,MATCH($A198,'CLM &amp; IM Mapping'!$A$2:$A$270,0)),"Not Mapped")</f>
        <v>Ashwath S</v>
      </c>
      <c r="C198" s="63" t="str">
        <f aca="false">IFERROR(INDEX('CLM &amp; IM Mapping'!$C$2:$C$270,MATCH($A198,'CLM &amp; IM Mapping'!$A$2:$A$270,0)),"Not Mapped")</f>
        <v>Kantha Kumar</v>
      </c>
      <c r="D198" s="64" t="n">
        <f aca="false">IFERROR(INDEX(Shrinkage!$P$2:$P$260,MATCH($A198,Shrinkage!$D$2:$D$260,0)),IFERROR(INDEX(Shrinkage!$P$2:$P$260,MATCH(SUBSTITUTE($A198," SS","  SS"),Shrinkage!$D$2:$D$260,0)),"NA"))</f>
        <v>-6592</v>
      </c>
      <c r="E198" s="65" t="n">
        <f aca="false">IFERROR(INDEX('Inventory Hygiene'!$I$3:$I$254,MATCH($A198,'Inventory Hygiene'!$B$3:$B$254,0)),IFERROR(INDEX('Inventory Hygiene'!$I$3:$I$254,MATCH(SUBSTITUTE($A198," SS","  SS"),'Inventory Hygiene'!$B$3:$B$254,0)),"NA"))</f>
        <v>0.88</v>
      </c>
      <c r="F198" s="64" t="n">
        <f aca="false">IFERROR(INDEX('Bad Bins'!$K$3:$K$253,MATCH($A198,'Bad Bins'!$B$3:$B$253,0)),IFERROR(INDEX('Bad Bins'!$K$3:$K$253,MATCH(SUBSTITUTE($A198," SS","  SS"),'Bad Bins'!$B$3:$B$253,0)),"NA"))</f>
        <v>139</v>
      </c>
      <c r="G198" s="64" t="n">
        <f aca="false">IFERROR(INDEX('RSTO &gt; 48hrs'!$H$2:$H$134,MATCH($A198,'RSTO &gt; 48hrs'!$B$2:$B$134,0)),IFERROR(INDEX('RSTO &gt; 48hrs'!$H$2:$H$134,MATCH(SUBSTITUTE($A198," SS","  SS"),'RSTO &gt; 48hrs'!$B$2:$B$134,0)),"NA"))</f>
        <v>21</v>
      </c>
      <c r="H198" s="64" t="str">
        <f aca="false">IFERROR(INDEX('Recirculation &gt; 24 hrs'!$K$3:$K$151,MATCH($A198,'Recirculation &gt; 24 hrs'!$B$3:$B$151,0)),IFERROR(INDEX('Recirculation &gt; 24 hrs'!$K$3:$K$151,MATCH(SUBSTITUTE($A198," SS","  SS"),'Recirculation &gt; 24 hrs'!$B$3:$B$151,0)),"NA"))</f>
        <v>NA</v>
      </c>
      <c r="I198" s="64" t="n">
        <f aca="false">IFERROR(INDEX('Pending Putaway'!$E$2:$E$1537,MATCH($A198,'Pending Putaway'!$B$2:$B$1537,0)),IFERROR(INDEX('Pending Putaway'!$E$2:$E$1537,MATCH(SUBSTITUTE($A198," SS","  SS"),'Pending Putaway'!$B$2:$B$1537,0)),"NA"))</f>
        <v>80</v>
      </c>
      <c r="J198" s="64" t="n">
        <f aca="false">IFERROR(INDEX('Pending Putaway'!$L$2:$L$1537,MATCH($A198,'Pending Putaway'!$B$2:$B$1537,0)),IFERROR(INDEX('Pending Putaway'!$L$2:$L$1537,MATCH(SUBSTITUTE($A198," SS","  SS"),'Pending Putaway'!$B$2:$B$1537,0)),"NA"))</f>
        <v>65</v>
      </c>
    </row>
    <row r="199" customFormat="false" ht="15" hidden="false" customHeight="false" outlineLevel="0" collapsed="false">
      <c r="A199" s="63" t="s">
        <v>133</v>
      </c>
      <c r="B199" s="63" t="str">
        <f aca="false">IFERROR(INDEX('CLM &amp; IM Mapping'!$B$2:$B$270,MATCH($A199,'CLM &amp; IM Mapping'!$A$2:$A$270,0)),"Not Mapped")</f>
        <v>Ashwath S</v>
      </c>
      <c r="C199" s="63" t="str">
        <f aca="false">IFERROR(INDEX('CLM &amp; IM Mapping'!$C$2:$C$270,MATCH($A199,'CLM &amp; IM Mapping'!$A$2:$A$270,0)),"Not Mapped")</f>
        <v>Kantha Kumar</v>
      </c>
      <c r="D199" s="64" t="n">
        <f aca="false">IFERROR(INDEX(Shrinkage!$P$2:$P$260,MATCH($A199,Shrinkage!$D$2:$D$260,0)),IFERROR(INDEX(Shrinkage!$P$2:$P$260,MATCH(SUBSTITUTE($A199," SS","  SS"),Shrinkage!$D$2:$D$260,0)),"NA"))</f>
        <v>-7708</v>
      </c>
      <c r="E199" s="65" t="n">
        <f aca="false">IFERROR(INDEX('Inventory Hygiene'!$I$3:$I$254,MATCH($A199,'Inventory Hygiene'!$B$3:$B$254,0)),IFERROR(INDEX('Inventory Hygiene'!$I$3:$I$254,MATCH(SUBSTITUTE($A199," SS","  SS"),'Inventory Hygiene'!$B$3:$B$254,0)),"NA"))</f>
        <v>0.9</v>
      </c>
      <c r="F199" s="64" t="n">
        <f aca="false">IFERROR(INDEX('Bad Bins'!$K$3:$K$253,MATCH($A199,'Bad Bins'!$B$3:$B$253,0)),IFERROR(INDEX('Bad Bins'!$K$3:$K$253,MATCH(SUBSTITUTE($A199," SS","  SS"),'Bad Bins'!$B$3:$B$253,0)),"NA"))</f>
        <v>178</v>
      </c>
      <c r="G199" s="64" t="str">
        <f aca="false">IFERROR(INDEX('RSTO &gt; 48hrs'!$H$2:$H$134,MATCH($A199,'RSTO &gt; 48hrs'!$B$2:$B$134,0)),IFERROR(INDEX('RSTO &gt; 48hrs'!$H$2:$H$134,MATCH(SUBSTITUTE($A199," SS","  SS"),'RSTO &gt; 48hrs'!$B$2:$B$134,0)),"NA"))</f>
        <v>NA</v>
      </c>
      <c r="H199" s="64" t="n">
        <f aca="false">IFERROR(INDEX('Recirculation &gt; 24 hrs'!$K$3:$K$151,MATCH($A199,'Recirculation &gt; 24 hrs'!$B$3:$B$151,0)),IFERROR(INDEX('Recirculation &gt; 24 hrs'!$K$3:$K$151,MATCH(SUBSTITUTE($A199," SS","  SS"),'Recirculation &gt; 24 hrs'!$B$3:$B$151,0)),"NA"))</f>
        <v>1452</v>
      </c>
      <c r="I199" s="64" t="n">
        <f aca="false">IFERROR(INDEX('Pending Putaway'!$E$2:$E$1537,MATCH($A199,'Pending Putaway'!$B$2:$B$1537,0)),IFERROR(INDEX('Pending Putaway'!$E$2:$E$1537,MATCH(SUBSTITUTE($A199," SS","  SS"),'Pending Putaway'!$B$2:$B$1537,0)),"NA"))</f>
        <v>73</v>
      </c>
      <c r="J199" s="64" t="n">
        <f aca="false">IFERROR(INDEX('Pending Putaway'!$L$2:$L$1537,MATCH($A199,'Pending Putaway'!$B$2:$B$1537,0)),IFERROR(INDEX('Pending Putaway'!$L$2:$L$1537,MATCH(SUBSTITUTE($A199," SS","  SS"),'Pending Putaway'!$B$2:$B$1537,0)),"NA"))</f>
        <v>0</v>
      </c>
    </row>
    <row r="200" customFormat="false" ht="15" hidden="false" customHeight="false" outlineLevel="0" collapsed="false">
      <c r="A200" s="63" t="s">
        <v>90</v>
      </c>
      <c r="B200" s="63" t="str">
        <f aca="false">IFERROR(INDEX('CLM &amp; IM Mapping'!$B$2:$B$270,MATCH($A200,'CLM &amp; IM Mapping'!$A$2:$A$270,0)),"Not Mapped")</f>
        <v>Ashwath S</v>
      </c>
      <c r="C200" s="63" t="str">
        <f aca="false">IFERROR(INDEX('CLM &amp; IM Mapping'!$C$2:$C$270,MATCH($A200,'CLM &amp; IM Mapping'!$A$2:$A$270,0)),"Not Mapped")</f>
        <v>Kantha Kumar</v>
      </c>
      <c r="D200" s="64" t="n">
        <f aca="false">IFERROR(INDEX(Shrinkage!$P$2:$P$260,MATCH($A200,Shrinkage!$D$2:$D$260,0)),IFERROR(INDEX(Shrinkage!$P$2:$P$260,MATCH(SUBSTITUTE($A200," SS","  SS"),Shrinkage!$D$2:$D$260,0)),"NA"))</f>
        <v>3636</v>
      </c>
      <c r="E200" s="65" t="n">
        <f aca="false">IFERROR(INDEX('Inventory Hygiene'!$I$3:$I$254,MATCH($A200,'Inventory Hygiene'!$B$3:$B$254,0)),IFERROR(INDEX('Inventory Hygiene'!$I$3:$I$254,MATCH(SUBSTITUTE($A200," SS","  SS"),'Inventory Hygiene'!$B$3:$B$254,0)),"NA"))</f>
        <v>0.9</v>
      </c>
      <c r="F200" s="64" t="n">
        <f aca="false">IFERROR(INDEX('Bad Bins'!$K$3:$K$253,MATCH($A200,'Bad Bins'!$B$3:$B$253,0)),IFERROR(INDEX('Bad Bins'!$K$3:$K$253,MATCH(SUBSTITUTE($A200," SS","  SS"),'Bad Bins'!$B$3:$B$253,0)),"NA"))</f>
        <v>182</v>
      </c>
      <c r="G200" s="64" t="n">
        <f aca="false">IFERROR(INDEX('RSTO &gt; 48hrs'!$H$2:$H$134,MATCH($A200,'RSTO &gt; 48hrs'!$B$2:$B$134,0)),IFERROR(INDEX('RSTO &gt; 48hrs'!$H$2:$H$134,MATCH(SUBSTITUTE($A200," SS","  SS"),'RSTO &gt; 48hrs'!$B$2:$B$134,0)),"NA"))</f>
        <v>29</v>
      </c>
      <c r="H200" s="64" t="n">
        <f aca="false">IFERROR(INDEX('Recirculation &gt; 24 hrs'!$K$3:$K$151,MATCH($A200,'Recirculation &gt; 24 hrs'!$B$3:$B$151,0)),IFERROR(INDEX('Recirculation &gt; 24 hrs'!$K$3:$K$151,MATCH(SUBSTITUTE($A200," SS","  SS"),'Recirculation &gt; 24 hrs'!$B$3:$B$151,0)),"NA"))</f>
        <v>11</v>
      </c>
      <c r="I200" s="64" t="n">
        <f aca="false">IFERROR(INDEX('Pending Putaway'!$E$2:$E$1537,MATCH($A200,'Pending Putaway'!$B$2:$B$1537,0)),IFERROR(INDEX('Pending Putaway'!$E$2:$E$1537,MATCH(SUBSTITUTE($A200," SS","  SS"),'Pending Putaway'!$B$2:$B$1537,0)),"NA"))</f>
        <v>1233</v>
      </c>
      <c r="J200" s="64" t="n">
        <f aca="false">IFERROR(INDEX('Pending Putaway'!$L$2:$L$1537,MATCH($A200,'Pending Putaway'!$B$2:$B$1537,0)),IFERROR(INDEX('Pending Putaway'!$L$2:$L$1537,MATCH(SUBSTITUTE($A200," SS","  SS"),'Pending Putaway'!$B$2:$B$1537,0)),"NA"))</f>
        <v>167</v>
      </c>
    </row>
    <row r="201" customFormat="false" ht="15" hidden="false" customHeight="false" outlineLevel="0" collapsed="false">
      <c r="A201" s="63" t="s">
        <v>105</v>
      </c>
      <c r="B201" s="63" t="str">
        <f aca="false">IFERROR(INDEX('CLM &amp; IM Mapping'!$B$2:$B$270,MATCH($A201,'CLM &amp; IM Mapping'!$A$2:$A$270,0)),"Not Mapped")</f>
        <v>Vijay M</v>
      </c>
      <c r="C201" s="63" t="str">
        <f aca="false">IFERROR(INDEX('CLM &amp; IM Mapping'!$C$2:$C$270,MATCH($A201,'CLM &amp; IM Mapping'!$A$2:$A$270,0)),"Not Mapped")</f>
        <v>Kantha Kumar</v>
      </c>
      <c r="D201" s="64" t="n">
        <f aca="false">IFERROR(INDEX(Shrinkage!$P$2:$P$260,MATCH($A201,Shrinkage!$D$2:$D$260,0)),IFERROR(INDEX(Shrinkage!$P$2:$P$260,MATCH(SUBSTITUTE($A201," SS","  SS"),Shrinkage!$D$2:$D$260,0)),"NA"))</f>
        <v>105001</v>
      </c>
      <c r="E201" s="65" t="n">
        <f aca="false">IFERROR(INDEX('Inventory Hygiene'!$I$3:$I$254,MATCH($A201,'Inventory Hygiene'!$B$3:$B$254,0)),IFERROR(INDEX('Inventory Hygiene'!$I$3:$I$254,MATCH(SUBSTITUTE($A201," SS","  SS"),'Inventory Hygiene'!$B$3:$B$254,0)),"NA"))</f>
        <v>0.55</v>
      </c>
      <c r="F201" s="64" t="n">
        <f aca="false">IFERROR(INDEX('Bad Bins'!$K$3:$K$253,MATCH($A201,'Bad Bins'!$B$3:$B$253,0)),IFERROR(INDEX('Bad Bins'!$K$3:$K$253,MATCH(SUBSTITUTE($A201," SS","  SS"),'Bad Bins'!$B$3:$B$253,0)),"NA"))</f>
        <v>1052</v>
      </c>
      <c r="G201" s="64" t="n">
        <f aca="false">IFERROR(INDEX('RSTO &gt; 48hrs'!$H$2:$H$134,MATCH($A201,'RSTO &gt; 48hrs'!$B$2:$B$134,0)),IFERROR(INDEX('RSTO &gt; 48hrs'!$H$2:$H$134,MATCH(SUBSTITUTE($A201," SS","  SS"),'RSTO &gt; 48hrs'!$B$2:$B$134,0)),"NA"))</f>
        <v>242</v>
      </c>
      <c r="H201" s="64" t="n">
        <f aca="false">IFERROR(INDEX('Recirculation &gt; 24 hrs'!$K$3:$K$151,MATCH($A201,'Recirculation &gt; 24 hrs'!$B$3:$B$151,0)),IFERROR(INDEX('Recirculation &gt; 24 hrs'!$K$3:$K$151,MATCH(SUBSTITUTE($A201," SS","  SS"),'Recirculation &gt; 24 hrs'!$B$3:$B$151,0)),"NA"))</f>
        <v>1</v>
      </c>
      <c r="I201" s="64" t="n">
        <f aca="false">IFERROR(INDEX('Pending Putaway'!$E$2:$E$1537,MATCH($A201,'Pending Putaway'!$B$2:$B$1537,0)),IFERROR(INDEX('Pending Putaway'!$E$2:$E$1537,MATCH(SUBSTITUTE($A201," SS","  SS"),'Pending Putaway'!$B$2:$B$1537,0)),"NA"))</f>
        <v>6804</v>
      </c>
      <c r="J201" s="64" t="n">
        <f aca="false">IFERROR(INDEX('Pending Putaway'!$L$2:$L$1537,MATCH($A201,'Pending Putaway'!$B$2:$B$1537,0)),IFERROR(INDEX('Pending Putaway'!$L$2:$L$1537,MATCH(SUBSTITUTE($A201," SS","  SS"),'Pending Putaway'!$B$2:$B$1537,0)),"NA"))</f>
        <v>619</v>
      </c>
    </row>
    <row r="202" customFormat="false" ht="15" hidden="false" customHeight="false" outlineLevel="0" collapsed="false">
      <c r="A202" s="63" t="s">
        <v>336</v>
      </c>
      <c r="B202" s="63" t="str">
        <f aca="false">IFERROR(INDEX('CLM &amp; IM Mapping'!$B$2:$B$270,MATCH($A202,'CLM &amp; IM Mapping'!$A$2:$A$270,0)),"Not Mapped")</f>
        <v>Vijay M</v>
      </c>
      <c r="C202" s="63" t="str">
        <f aca="false">IFERROR(INDEX('CLM &amp; IM Mapping'!$C$2:$C$270,MATCH($A202,'CLM &amp; IM Mapping'!$A$2:$A$270,0)),"Not Mapped")</f>
        <v>Kantha Kumar</v>
      </c>
      <c r="D202" s="64" t="n">
        <f aca="false">IFERROR(INDEX(Shrinkage!$P$2:$P$260,MATCH($A202,Shrinkage!$D$2:$D$260,0)),IFERROR(INDEX(Shrinkage!$P$2:$P$260,MATCH(SUBSTITUTE($A202," SS","  SS"),Shrinkage!$D$2:$D$260,0)),"NA"))</f>
        <v>16360</v>
      </c>
      <c r="E202" s="65" t="n">
        <f aca="false">IFERROR(INDEX('Inventory Hygiene'!$I$3:$I$254,MATCH($A202,'Inventory Hygiene'!$B$3:$B$254,0)),IFERROR(INDEX('Inventory Hygiene'!$I$3:$I$254,MATCH(SUBSTITUTE($A202," SS","  SS"),'Inventory Hygiene'!$B$3:$B$254,0)),"NA"))</f>
        <v>0.76</v>
      </c>
      <c r="F202" s="64" t="n">
        <f aca="false">IFERROR(INDEX('Bad Bins'!$K$3:$K$253,MATCH($A202,'Bad Bins'!$B$3:$B$253,0)),IFERROR(INDEX('Bad Bins'!$K$3:$K$253,MATCH(SUBSTITUTE($A202," SS","  SS"),'Bad Bins'!$B$3:$B$253,0)),"NA"))</f>
        <v>272</v>
      </c>
      <c r="G202" s="64" t="n">
        <f aca="false">IFERROR(INDEX('RSTO &gt; 48hrs'!$H$2:$H$134,MATCH($A202,'RSTO &gt; 48hrs'!$B$2:$B$134,0)),IFERROR(INDEX('RSTO &gt; 48hrs'!$H$2:$H$134,MATCH(SUBSTITUTE($A202," SS","  SS"),'RSTO &gt; 48hrs'!$B$2:$B$134,0)),"NA"))</f>
        <v>250</v>
      </c>
      <c r="H202" s="64" t="n">
        <f aca="false">IFERROR(INDEX('Recirculation &gt; 24 hrs'!$K$3:$K$151,MATCH($A202,'Recirculation &gt; 24 hrs'!$B$3:$B$151,0)),IFERROR(INDEX('Recirculation &gt; 24 hrs'!$K$3:$K$151,MATCH(SUBSTITUTE($A202," SS","  SS"),'Recirculation &gt; 24 hrs'!$B$3:$B$151,0)),"NA"))</f>
        <v>32</v>
      </c>
      <c r="I202" s="64" t="n">
        <f aca="false">IFERROR(INDEX('Pending Putaway'!$E$2:$E$1537,MATCH($A202,'Pending Putaway'!$B$2:$B$1537,0)),IFERROR(INDEX('Pending Putaway'!$E$2:$E$1537,MATCH(SUBSTITUTE($A202," SS","  SS"),'Pending Putaway'!$B$2:$B$1537,0)),"NA"))</f>
        <v>0</v>
      </c>
      <c r="J202" s="64" t="n">
        <f aca="false">IFERROR(INDEX('Pending Putaway'!$L$2:$L$1537,MATCH($A202,'Pending Putaway'!$B$2:$B$1537,0)),IFERROR(INDEX('Pending Putaway'!$L$2:$L$1537,MATCH(SUBSTITUTE($A202," SS","  SS"),'Pending Putaway'!$B$2:$B$1537,0)),"NA"))</f>
        <v>0</v>
      </c>
    </row>
    <row r="203" customFormat="false" ht="15" hidden="false" customHeight="false" outlineLevel="0" collapsed="false">
      <c r="A203" s="63" t="s">
        <v>104</v>
      </c>
      <c r="B203" s="63" t="str">
        <f aca="false">IFERROR(INDEX('CLM &amp; IM Mapping'!$B$2:$B$270,MATCH($A203,'CLM &amp; IM Mapping'!$A$2:$A$270,0)),"Not Mapped")</f>
        <v>Vijay M</v>
      </c>
      <c r="C203" s="63" t="str">
        <f aca="false">IFERROR(INDEX('CLM &amp; IM Mapping'!$C$2:$C$270,MATCH($A203,'CLM &amp; IM Mapping'!$A$2:$A$270,0)),"Not Mapped")</f>
        <v>Kantha Kumar</v>
      </c>
      <c r="D203" s="64" t="n">
        <f aca="false">IFERROR(INDEX(Shrinkage!$P$2:$P$260,MATCH($A203,Shrinkage!$D$2:$D$260,0)),IFERROR(INDEX(Shrinkage!$P$2:$P$260,MATCH(SUBSTITUTE($A203," SS","  SS"),Shrinkage!$D$2:$D$260,0)),"NA"))</f>
        <v>-7602</v>
      </c>
      <c r="E203" s="65" t="n">
        <f aca="false">IFERROR(INDEX('Inventory Hygiene'!$I$3:$I$254,MATCH($A203,'Inventory Hygiene'!$B$3:$B$254,0)),IFERROR(INDEX('Inventory Hygiene'!$I$3:$I$254,MATCH(SUBSTITUTE($A203," SS","  SS"),'Inventory Hygiene'!$B$3:$B$254,0)),"NA"))</f>
        <v>0.95</v>
      </c>
      <c r="F203" s="64" t="n">
        <f aca="false">IFERROR(INDEX('Bad Bins'!$K$3:$K$253,MATCH($A203,'Bad Bins'!$B$3:$B$253,0)),IFERROR(INDEX('Bad Bins'!$K$3:$K$253,MATCH(SUBSTITUTE($A203," SS","  SS"),'Bad Bins'!$B$3:$B$253,0)),"NA"))</f>
        <v>189</v>
      </c>
      <c r="G203" s="64" t="n">
        <f aca="false">IFERROR(INDEX('RSTO &gt; 48hrs'!$H$2:$H$134,MATCH($A203,'RSTO &gt; 48hrs'!$B$2:$B$134,0)),IFERROR(INDEX('RSTO &gt; 48hrs'!$H$2:$H$134,MATCH(SUBSTITUTE($A203," SS","  SS"),'RSTO &gt; 48hrs'!$B$2:$B$134,0)),"NA"))</f>
        <v>407</v>
      </c>
      <c r="H203" s="64" t="n">
        <f aca="false">IFERROR(INDEX('Recirculation &gt; 24 hrs'!$K$3:$K$151,MATCH($A203,'Recirculation &gt; 24 hrs'!$B$3:$B$151,0)),IFERROR(INDEX('Recirculation &gt; 24 hrs'!$K$3:$K$151,MATCH(SUBSTITUTE($A203," SS","  SS"),'Recirculation &gt; 24 hrs'!$B$3:$B$151,0)),"NA"))</f>
        <v>10</v>
      </c>
      <c r="I203" s="64" t="n">
        <f aca="false">IFERROR(INDEX('Pending Putaway'!$E$2:$E$1537,MATCH($A203,'Pending Putaway'!$B$2:$B$1537,0)),IFERROR(INDEX('Pending Putaway'!$E$2:$E$1537,MATCH(SUBSTITUTE($A203," SS","  SS"),'Pending Putaway'!$B$2:$B$1537,0)),"NA"))</f>
        <v>7267</v>
      </c>
      <c r="J203" s="64" t="n">
        <f aca="false">IFERROR(INDEX('Pending Putaway'!$L$2:$L$1537,MATCH($A203,'Pending Putaway'!$B$2:$B$1537,0)),IFERROR(INDEX('Pending Putaway'!$L$2:$L$1537,MATCH(SUBSTITUTE($A203," SS","  SS"),'Pending Putaway'!$B$2:$B$1537,0)),"NA"))</f>
        <v>1267</v>
      </c>
    </row>
    <row r="204" customFormat="false" ht="15" hidden="false" customHeight="false" outlineLevel="0" collapsed="false">
      <c r="A204" s="63" t="s">
        <v>337</v>
      </c>
      <c r="B204" s="63" t="str">
        <f aca="false">IFERROR(INDEX('CLM &amp; IM Mapping'!$B$2:$B$270,MATCH($A204,'CLM &amp; IM Mapping'!$A$2:$A$270,0)),"Not Mapped")</f>
        <v>Vijay M</v>
      </c>
      <c r="C204" s="63" t="str">
        <f aca="false">IFERROR(INDEX('CLM &amp; IM Mapping'!$C$2:$C$270,MATCH($A204,'CLM &amp; IM Mapping'!$A$2:$A$270,0)),"Not Mapped")</f>
        <v>Kantha Kumar</v>
      </c>
      <c r="D204" s="64" t="n">
        <f aca="false">IFERROR(INDEX(Shrinkage!$P$2:$P$260,MATCH($A204,Shrinkage!$D$2:$D$260,0)),IFERROR(INDEX(Shrinkage!$P$2:$P$260,MATCH(SUBSTITUTE($A204," SS","  SS"),Shrinkage!$D$2:$D$260,0)),"NA"))</f>
        <v>-5636</v>
      </c>
      <c r="E204" s="65" t="n">
        <f aca="false">IFERROR(INDEX('Inventory Hygiene'!$I$3:$I$254,MATCH($A204,'Inventory Hygiene'!$B$3:$B$254,0)),IFERROR(INDEX('Inventory Hygiene'!$I$3:$I$254,MATCH(SUBSTITUTE($A204," SS","  SS"),'Inventory Hygiene'!$B$3:$B$254,0)),"NA"))</f>
        <v>0.41</v>
      </c>
      <c r="F204" s="64" t="n">
        <f aca="false">IFERROR(INDEX('Bad Bins'!$K$3:$K$253,MATCH($A204,'Bad Bins'!$B$3:$B$253,0)),IFERROR(INDEX('Bad Bins'!$K$3:$K$253,MATCH(SUBSTITUTE($A204," SS","  SS"),'Bad Bins'!$B$3:$B$253,0)),"NA"))</f>
        <v>99</v>
      </c>
      <c r="G204" s="64" t="n">
        <f aca="false">IFERROR(INDEX('RSTO &gt; 48hrs'!$H$2:$H$134,MATCH($A204,'RSTO &gt; 48hrs'!$B$2:$B$134,0)),IFERROR(INDEX('RSTO &gt; 48hrs'!$H$2:$H$134,MATCH(SUBSTITUTE($A204," SS","  SS"),'RSTO &gt; 48hrs'!$B$2:$B$134,0)),"NA"))</f>
        <v>11</v>
      </c>
      <c r="H204" s="64" t="str">
        <f aca="false">IFERROR(INDEX('Recirculation &gt; 24 hrs'!$K$3:$K$151,MATCH($A204,'Recirculation &gt; 24 hrs'!$B$3:$B$151,0)),IFERROR(INDEX('Recirculation &gt; 24 hrs'!$K$3:$K$151,MATCH(SUBSTITUTE($A204," SS","  SS"),'Recirculation &gt; 24 hrs'!$B$3:$B$151,0)),"NA"))</f>
        <v>NA</v>
      </c>
      <c r="I204" s="64" t="n">
        <f aca="false">IFERROR(INDEX('Pending Putaway'!$E$2:$E$1537,MATCH($A204,'Pending Putaway'!$B$2:$B$1537,0)),IFERROR(INDEX('Pending Putaway'!$E$2:$E$1537,MATCH(SUBSTITUTE($A204," SS","  SS"),'Pending Putaway'!$B$2:$B$1537,0)),"NA"))</f>
        <v>7400</v>
      </c>
      <c r="J204" s="64" t="n">
        <f aca="false">IFERROR(INDEX('Pending Putaway'!$L$2:$L$1537,MATCH($A204,'Pending Putaway'!$B$2:$B$1537,0)),IFERROR(INDEX('Pending Putaway'!$L$2:$L$1537,MATCH(SUBSTITUTE($A204," SS","  SS"),'Pending Putaway'!$B$2:$B$1537,0)),"NA"))</f>
        <v>11</v>
      </c>
    </row>
    <row r="205" customFormat="false" ht="15" hidden="false" customHeight="false" outlineLevel="0" collapsed="false">
      <c r="A205" s="63" t="s">
        <v>42</v>
      </c>
      <c r="B205" s="63" t="str">
        <f aca="false">IFERROR(INDEX('CLM &amp; IM Mapping'!$B$2:$B$270,MATCH($A205,'CLM &amp; IM Mapping'!$A$2:$A$270,0)),"Not Mapped")</f>
        <v>Vijay M</v>
      </c>
      <c r="C205" s="63" t="str">
        <f aca="false">IFERROR(INDEX('CLM &amp; IM Mapping'!$C$2:$C$270,MATCH($A205,'CLM &amp; IM Mapping'!$A$2:$A$270,0)),"Not Mapped")</f>
        <v>Kantha Kumar</v>
      </c>
      <c r="D205" s="64" t="n">
        <f aca="false">IFERROR(INDEX(Shrinkage!$P$2:$P$260,MATCH($A205,Shrinkage!$D$2:$D$260,0)),IFERROR(INDEX(Shrinkage!$P$2:$P$260,MATCH(SUBSTITUTE($A205," SS","  SS"),Shrinkage!$D$2:$D$260,0)),"NA"))</f>
        <v>2706</v>
      </c>
      <c r="E205" s="65" t="n">
        <f aca="false">IFERROR(INDEX('Inventory Hygiene'!$I$3:$I$254,MATCH($A205,'Inventory Hygiene'!$B$3:$B$254,0)),IFERROR(INDEX('Inventory Hygiene'!$I$3:$I$254,MATCH(SUBSTITUTE($A205," SS","  SS"),'Inventory Hygiene'!$B$3:$B$254,0)),"NA"))</f>
        <v>0.65</v>
      </c>
      <c r="F205" s="64" t="n">
        <f aca="false">IFERROR(INDEX('Bad Bins'!$K$3:$K$253,MATCH($A205,'Bad Bins'!$B$3:$B$253,0)),IFERROR(INDEX('Bad Bins'!$K$3:$K$253,MATCH(SUBSTITUTE($A205," SS","  SS"),'Bad Bins'!$B$3:$B$253,0)),"NA"))</f>
        <v>527</v>
      </c>
      <c r="G205" s="64" t="str">
        <f aca="false">IFERROR(INDEX('RSTO &gt; 48hrs'!$H$2:$H$134,MATCH($A205,'RSTO &gt; 48hrs'!$B$2:$B$134,0)),IFERROR(INDEX('RSTO &gt; 48hrs'!$H$2:$H$134,MATCH(SUBSTITUTE($A205," SS","  SS"),'RSTO &gt; 48hrs'!$B$2:$B$134,0)),"NA"))</f>
        <v>NA</v>
      </c>
      <c r="H205" s="64" t="n">
        <f aca="false">IFERROR(INDEX('Recirculation &gt; 24 hrs'!$K$3:$K$151,MATCH($A205,'Recirculation &gt; 24 hrs'!$B$3:$B$151,0)),IFERROR(INDEX('Recirculation &gt; 24 hrs'!$K$3:$K$151,MATCH(SUBSTITUTE($A205," SS","  SS"),'Recirculation &gt; 24 hrs'!$B$3:$B$151,0)),"NA"))</f>
        <v>7</v>
      </c>
      <c r="I205" s="64" t="n">
        <f aca="false">IFERROR(INDEX('Pending Putaway'!$E$2:$E$1537,MATCH($A205,'Pending Putaway'!$B$2:$B$1537,0)),IFERROR(INDEX('Pending Putaway'!$E$2:$E$1537,MATCH(SUBSTITUTE($A205," SS","  SS"),'Pending Putaway'!$B$2:$B$1537,0)),"NA"))</f>
        <v>0</v>
      </c>
      <c r="J205" s="64" t="n">
        <f aca="false">IFERROR(INDEX('Pending Putaway'!$L$2:$L$1537,MATCH($A205,'Pending Putaway'!$B$2:$B$1537,0)),IFERROR(INDEX('Pending Putaway'!$L$2:$L$1537,MATCH(SUBSTITUTE($A205," SS","  SS"),'Pending Putaway'!$B$2:$B$1537,0)),"NA"))</f>
        <v>0</v>
      </c>
    </row>
    <row r="206" customFormat="false" ht="15" hidden="false" customHeight="false" outlineLevel="0" collapsed="false">
      <c r="A206" s="63" t="s">
        <v>43</v>
      </c>
      <c r="B206" s="63" t="str">
        <f aca="false">IFERROR(INDEX('CLM &amp; IM Mapping'!$B$2:$B$270,MATCH($A206,'CLM &amp; IM Mapping'!$A$2:$A$270,0)),"Not Mapped")</f>
        <v>Vijay M</v>
      </c>
      <c r="C206" s="63" t="str">
        <f aca="false">IFERROR(INDEX('CLM &amp; IM Mapping'!$C$2:$C$270,MATCH($A206,'CLM &amp; IM Mapping'!$A$2:$A$270,0)),"Not Mapped")</f>
        <v>Kantha Kumar</v>
      </c>
      <c r="D206" s="64" t="n">
        <f aca="false">IFERROR(INDEX(Shrinkage!$P$2:$P$260,MATCH($A206,Shrinkage!$D$2:$D$260,0)),IFERROR(INDEX(Shrinkage!$P$2:$P$260,MATCH(SUBSTITUTE($A206," SS","  SS"),Shrinkage!$D$2:$D$260,0)),"NA"))</f>
        <v>30017</v>
      </c>
      <c r="E206" s="65" t="n">
        <f aca="false">IFERROR(INDEX('Inventory Hygiene'!$I$3:$I$254,MATCH($A206,'Inventory Hygiene'!$B$3:$B$254,0)),IFERROR(INDEX('Inventory Hygiene'!$I$3:$I$254,MATCH(SUBSTITUTE($A206," SS","  SS"),'Inventory Hygiene'!$B$3:$B$254,0)),"NA"))</f>
        <v>0.86</v>
      </c>
      <c r="F206" s="64" t="n">
        <f aca="false">IFERROR(INDEX('Bad Bins'!$K$3:$K$253,MATCH($A206,'Bad Bins'!$B$3:$B$253,0)),IFERROR(INDEX('Bad Bins'!$K$3:$K$253,MATCH(SUBSTITUTE($A206," SS","  SS"),'Bad Bins'!$B$3:$B$253,0)),"NA"))</f>
        <v>322</v>
      </c>
      <c r="G206" s="64" t="str">
        <f aca="false">IFERROR(INDEX('RSTO &gt; 48hrs'!$H$2:$H$134,MATCH($A206,'RSTO &gt; 48hrs'!$B$2:$B$134,0)),IFERROR(INDEX('RSTO &gt; 48hrs'!$H$2:$H$134,MATCH(SUBSTITUTE($A206," SS","  SS"),'RSTO &gt; 48hrs'!$B$2:$B$134,0)),"NA"))</f>
        <v>NA</v>
      </c>
      <c r="H206" s="64" t="n">
        <f aca="false">IFERROR(INDEX('Recirculation &gt; 24 hrs'!$K$3:$K$151,MATCH($A206,'Recirculation &gt; 24 hrs'!$B$3:$B$151,0)),IFERROR(INDEX('Recirculation &gt; 24 hrs'!$K$3:$K$151,MATCH(SUBSTITUTE($A206," SS","  SS"),'Recirculation &gt; 24 hrs'!$B$3:$B$151,0)),"NA"))</f>
        <v>1009</v>
      </c>
      <c r="I206" s="64" t="n">
        <f aca="false">IFERROR(INDEX('Pending Putaway'!$E$2:$E$1537,MATCH($A206,'Pending Putaway'!$B$2:$B$1537,0)),IFERROR(INDEX('Pending Putaway'!$E$2:$E$1537,MATCH(SUBSTITUTE($A206," SS","  SS"),'Pending Putaway'!$B$2:$B$1537,0)),"NA"))</f>
        <v>4157</v>
      </c>
      <c r="J206" s="64" t="n">
        <f aca="false">IFERROR(INDEX('Pending Putaway'!$L$2:$L$1537,MATCH($A206,'Pending Putaway'!$B$2:$B$1537,0)),IFERROR(INDEX('Pending Putaway'!$L$2:$L$1537,MATCH(SUBSTITUTE($A206," SS","  SS"),'Pending Putaway'!$B$2:$B$1537,0)),"NA"))</f>
        <v>0</v>
      </c>
    </row>
    <row r="207" customFormat="false" ht="15" hidden="false" customHeight="false" outlineLevel="0" collapsed="false">
      <c r="A207" s="63" t="s">
        <v>46</v>
      </c>
      <c r="B207" s="63" t="str">
        <f aca="false">IFERROR(INDEX('CLM &amp; IM Mapping'!$B$2:$B$270,MATCH($A207,'CLM &amp; IM Mapping'!$A$2:$A$270,0)),"Not Mapped")</f>
        <v>Ashwath S</v>
      </c>
      <c r="C207" s="63" t="str">
        <f aca="false">IFERROR(INDEX('CLM &amp; IM Mapping'!$C$2:$C$270,MATCH($A207,'CLM &amp; IM Mapping'!$A$2:$A$270,0)),"Not Mapped")</f>
        <v>Kantha Kumar</v>
      </c>
      <c r="D207" s="64" t="n">
        <f aca="false">IFERROR(INDEX(Shrinkage!$P$2:$P$260,MATCH($A207,Shrinkage!$D$2:$D$260,0)),IFERROR(INDEX(Shrinkage!$P$2:$P$260,MATCH(SUBSTITUTE($A207," SS","  SS"),Shrinkage!$D$2:$D$260,0)),"NA"))</f>
        <v>-4818</v>
      </c>
      <c r="E207" s="65" t="n">
        <f aca="false">IFERROR(INDEX('Inventory Hygiene'!$I$3:$I$254,MATCH($A207,'Inventory Hygiene'!$B$3:$B$254,0)),IFERROR(INDEX('Inventory Hygiene'!$I$3:$I$254,MATCH(SUBSTITUTE($A207," SS","  SS"),'Inventory Hygiene'!$B$3:$B$254,0)),"NA"))</f>
        <v>0.53</v>
      </c>
      <c r="F207" s="64" t="n">
        <f aca="false">IFERROR(INDEX('Bad Bins'!$K$3:$K$253,MATCH($A207,'Bad Bins'!$B$3:$B$253,0)),IFERROR(INDEX('Bad Bins'!$K$3:$K$253,MATCH(SUBSTITUTE($A207," SS","  SS"),'Bad Bins'!$B$3:$B$253,0)),"NA"))</f>
        <v>182</v>
      </c>
      <c r="G207" s="64" t="str">
        <f aca="false">IFERROR(INDEX('RSTO &gt; 48hrs'!$H$2:$H$134,MATCH($A207,'RSTO &gt; 48hrs'!$B$2:$B$134,0)),IFERROR(INDEX('RSTO &gt; 48hrs'!$H$2:$H$134,MATCH(SUBSTITUTE($A207," SS","  SS"),'RSTO &gt; 48hrs'!$B$2:$B$134,0)),"NA"))</f>
        <v>NA</v>
      </c>
      <c r="H207" s="64" t="n">
        <f aca="false">IFERROR(INDEX('Recirculation &gt; 24 hrs'!$K$3:$K$151,MATCH($A207,'Recirculation &gt; 24 hrs'!$B$3:$B$151,0)),IFERROR(INDEX('Recirculation &gt; 24 hrs'!$K$3:$K$151,MATCH(SUBSTITUTE($A207," SS","  SS"),'Recirculation &gt; 24 hrs'!$B$3:$B$151,0)),"NA"))</f>
        <v>13</v>
      </c>
      <c r="I207" s="64" t="n">
        <f aca="false">IFERROR(INDEX('Pending Putaway'!$E$2:$E$1537,MATCH($A207,'Pending Putaway'!$B$2:$B$1537,0)),IFERROR(INDEX('Pending Putaway'!$E$2:$E$1537,MATCH(SUBSTITUTE($A207," SS","  SS"),'Pending Putaway'!$B$2:$B$1537,0)),"NA"))</f>
        <v>0</v>
      </c>
      <c r="J207" s="64" t="n">
        <f aca="false">IFERROR(INDEX('Pending Putaway'!$L$2:$L$1537,MATCH($A207,'Pending Putaway'!$B$2:$B$1537,0)),IFERROR(INDEX('Pending Putaway'!$L$2:$L$1537,MATCH(SUBSTITUTE($A207," SS","  SS"),'Pending Putaway'!$B$2:$B$1537,0)),"NA"))</f>
        <v>0</v>
      </c>
    </row>
    <row r="208" customFormat="false" ht="15" hidden="false" customHeight="false" outlineLevel="0" collapsed="false">
      <c r="A208" s="63" t="s">
        <v>41</v>
      </c>
      <c r="B208" s="63" t="str">
        <f aca="false">IFERROR(INDEX('CLM &amp; IM Mapping'!$B$2:$B$270,MATCH($A208,'CLM &amp; IM Mapping'!$A$2:$A$270,0)),"Not Mapped")</f>
        <v>Silambarasan E</v>
      </c>
      <c r="C208" s="63" t="str">
        <f aca="false">IFERROR(INDEX('CLM &amp; IM Mapping'!$C$2:$C$270,MATCH($A208,'CLM &amp; IM Mapping'!$A$2:$A$270,0)),"Not Mapped")</f>
        <v>Arivind S</v>
      </c>
      <c r="D208" s="64" t="n">
        <f aca="false">IFERROR(INDEX(Shrinkage!$P$2:$P$260,MATCH($A208,Shrinkage!$D$2:$D$260,0)),IFERROR(INDEX(Shrinkage!$P$2:$P$260,MATCH(SUBSTITUTE($A208," SS","  SS"),Shrinkage!$D$2:$D$260,0)),"NA"))</f>
        <v>21363</v>
      </c>
      <c r="E208" s="65" t="n">
        <f aca="false">IFERROR(INDEX('Inventory Hygiene'!$I$3:$I$254,MATCH($A208,'Inventory Hygiene'!$B$3:$B$254,0)),IFERROR(INDEX('Inventory Hygiene'!$I$3:$I$254,MATCH(SUBSTITUTE($A208," SS","  SS"),'Inventory Hygiene'!$B$3:$B$254,0)),"NA"))</f>
        <v>0.8</v>
      </c>
      <c r="F208" s="64" t="n">
        <f aca="false">IFERROR(INDEX('Bad Bins'!$K$3:$K$253,MATCH($A208,'Bad Bins'!$B$3:$B$253,0)),IFERROR(INDEX('Bad Bins'!$K$3:$K$253,MATCH(SUBSTITUTE($A208," SS","  SS"),'Bad Bins'!$B$3:$B$253,0)),"NA"))</f>
        <v>663</v>
      </c>
      <c r="G208" s="64" t="n">
        <f aca="false">IFERROR(INDEX('RSTO &gt; 48hrs'!$H$2:$H$134,MATCH($A208,'RSTO &gt; 48hrs'!$B$2:$B$134,0)),IFERROR(INDEX('RSTO &gt; 48hrs'!$H$2:$H$134,MATCH(SUBSTITUTE($A208," SS","  SS"),'RSTO &gt; 48hrs'!$B$2:$B$134,0)),"NA"))</f>
        <v>150</v>
      </c>
      <c r="H208" s="64" t="n">
        <f aca="false">IFERROR(INDEX('Recirculation &gt; 24 hrs'!$K$3:$K$151,MATCH($A208,'Recirculation &gt; 24 hrs'!$B$3:$B$151,0)),IFERROR(INDEX('Recirculation &gt; 24 hrs'!$K$3:$K$151,MATCH(SUBSTITUTE($A208," SS","  SS"),'Recirculation &gt; 24 hrs'!$B$3:$B$151,0)),"NA"))</f>
        <v>1</v>
      </c>
      <c r="I208" s="64" t="n">
        <f aca="false">IFERROR(INDEX('Pending Putaway'!$E$2:$E$1537,MATCH($A208,'Pending Putaway'!$B$2:$B$1537,0)),IFERROR(INDEX('Pending Putaway'!$E$2:$E$1537,MATCH(SUBSTITUTE($A208," SS","  SS"),'Pending Putaway'!$B$2:$B$1537,0)),"NA"))</f>
        <v>10473</v>
      </c>
      <c r="J208" s="64" t="n">
        <f aca="false">IFERROR(INDEX('Pending Putaway'!$L$2:$L$1537,MATCH($A208,'Pending Putaway'!$B$2:$B$1537,0)),IFERROR(INDEX('Pending Putaway'!$L$2:$L$1537,MATCH(SUBSTITUTE($A208," SS","  SS"),'Pending Putaway'!$B$2:$B$1537,0)),"NA"))</f>
        <v>2349</v>
      </c>
    </row>
    <row r="209" customFormat="false" ht="15" hidden="false" customHeight="false" outlineLevel="0" collapsed="false">
      <c r="A209" s="63" t="s">
        <v>98</v>
      </c>
      <c r="B209" s="63" t="str">
        <f aca="false">IFERROR(INDEX('CLM &amp; IM Mapping'!$B$2:$B$270,MATCH($A209,'CLM &amp; IM Mapping'!$A$2:$A$270,0)),"Not Mapped")</f>
        <v>Silambarasan E</v>
      </c>
      <c r="C209" s="63" t="str">
        <f aca="false">IFERROR(INDEX('CLM &amp; IM Mapping'!$C$2:$C$270,MATCH($A209,'CLM &amp; IM Mapping'!$A$2:$A$270,0)),"Not Mapped")</f>
        <v>Arivind S</v>
      </c>
      <c r="D209" s="64" t="n">
        <f aca="false">IFERROR(INDEX(Shrinkage!$P$2:$P$260,MATCH($A209,Shrinkage!$D$2:$D$260,0)),IFERROR(INDEX(Shrinkage!$P$2:$P$260,MATCH(SUBSTITUTE($A209," SS","  SS"),Shrinkage!$D$2:$D$260,0)),"NA"))</f>
        <v>19952</v>
      </c>
      <c r="E209" s="65" t="n">
        <f aca="false">IFERROR(INDEX('Inventory Hygiene'!$I$3:$I$254,MATCH($A209,'Inventory Hygiene'!$B$3:$B$254,0)),IFERROR(INDEX('Inventory Hygiene'!$I$3:$I$254,MATCH(SUBSTITUTE($A209," SS","  SS"),'Inventory Hygiene'!$B$3:$B$254,0)),"NA"))</f>
        <v>0.53</v>
      </c>
      <c r="F209" s="64" t="n">
        <f aca="false">IFERROR(INDEX('Bad Bins'!$K$3:$K$253,MATCH($A209,'Bad Bins'!$B$3:$B$253,0)),IFERROR(INDEX('Bad Bins'!$K$3:$K$253,MATCH(SUBSTITUTE($A209," SS","  SS"),'Bad Bins'!$B$3:$B$253,0)),"NA"))</f>
        <v>142</v>
      </c>
      <c r="G209" s="64" t="n">
        <f aca="false">IFERROR(INDEX('RSTO &gt; 48hrs'!$H$2:$H$134,MATCH($A209,'RSTO &gt; 48hrs'!$B$2:$B$134,0)),IFERROR(INDEX('RSTO &gt; 48hrs'!$H$2:$H$134,MATCH(SUBSTITUTE($A209," SS","  SS"),'RSTO &gt; 48hrs'!$B$2:$B$134,0)),"NA"))</f>
        <v>49</v>
      </c>
      <c r="H209" s="64" t="n">
        <f aca="false">IFERROR(INDEX('Recirculation &gt; 24 hrs'!$K$3:$K$151,MATCH($A209,'Recirculation &gt; 24 hrs'!$B$3:$B$151,0)),IFERROR(INDEX('Recirculation &gt; 24 hrs'!$K$3:$K$151,MATCH(SUBSTITUTE($A209," SS","  SS"),'Recirculation &gt; 24 hrs'!$B$3:$B$151,0)),"NA"))</f>
        <v>6</v>
      </c>
      <c r="I209" s="64" t="n">
        <f aca="false">IFERROR(INDEX('Pending Putaway'!$E$2:$E$1537,MATCH($A209,'Pending Putaway'!$B$2:$B$1537,0)),IFERROR(INDEX('Pending Putaway'!$E$2:$E$1537,MATCH(SUBSTITUTE($A209," SS","  SS"),'Pending Putaway'!$B$2:$B$1537,0)),"NA"))</f>
        <v>0</v>
      </c>
      <c r="J209" s="64" t="n">
        <f aca="false">IFERROR(INDEX('Pending Putaway'!$L$2:$L$1537,MATCH($A209,'Pending Putaway'!$B$2:$B$1537,0)),IFERROR(INDEX('Pending Putaway'!$L$2:$L$1537,MATCH(SUBSTITUTE($A209," SS","  SS"),'Pending Putaway'!$B$2:$B$1537,0)),"NA"))</f>
        <v>0</v>
      </c>
    </row>
    <row r="210" customFormat="false" ht="15" hidden="false" customHeight="false" outlineLevel="0" collapsed="false">
      <c r="A210" s="63" t="s">
        <v>263</v>
      </c>
      <c r="B210" s="63" t="str">
        <f aca="false">IFERROR(INDEX('CLM &amp; IM Mapping'!$B$2:$B$270,MATCH($A210,'CLM &amp; IM Mapping'!$A$2:$A$270,0)),"Not Mapped")</f>
        <v>Silambarasan E</v>
      </c>
      <c r="C210" s="63" t="str">
        <f aca="false">IFERROR(INDEX('CLM &amp; IM Mapping'!$C$2:$C$270,MATCH($A210,'CLM &amp; IM Mapping'!$A$2:$A$270,0)),"Not Mapped")</f>
        <v>Arivind S</v>
      </c>
      <c r="D210" s="64" t="n">
        <f aca="false">IFERROR(INDEX(Shrinkage!$P$2:$P$260,MATCH($A210,Shrinkage!$D$2:$D$260,0)),IFERROR(INDEX(Shrinkage!$P$2:$P$260,MATCH(SUBSTITUTE($A210," SS","  SS"),Shrinkage!$D$2:$D$260,0)),"NA"))</f>
        <v>-4939</v>
      </c>
      <c r="E210" s="65" t="n">
        <f aca="false">IFERROR(INDEX('Inventory Hygiene'!$I$3:$I$254,MATCH($A210,'Inventory Hygiene'!$B$3:$B$254,0)),IFERROR(INDEX('Inventory Hygiene'!$I$3:$I$254,MATCH(SUBSTITUTE($A210," SS","  SS"),'Inventory Hygiene'!$B$3:$B$254,0)),"NA"))</f>
        <v>0.39</v>
      </c>
      <c r="F210" s="64" t="n">
        <f aca="false">IFERROR(INDEX('Bad Bins'!$K$3:$K$253,MATCH($A210,'Bad Bins'!$B$3:$B$253,0)),IFERROR(INDEX('Bad Bins'!$K$3:$K$253,MATCH(SUBSTITUTE($A210," SS","  SS"),'Bad Bins'!$B$3:$B$253,0)),"NA"))</f>
        <v>116</v>
      </c>
      <c r="G210" s="64" t="str">
        <f aca="false">IFERROR(INDEX('RSTO &gt; 48hrs'!$H$2:$H$134,MATCH($A210,'RSTO &gt; 48hrs'!$B$2:$B$134,0)),IFERROR(INDEX('RSTO &gt; 48hrs'!$H$2:$H$134,MATCH(SUBSTITUTE($A210," SS","  SS"),'RSTO &gt; 48hrs'!$B$2:$B$134,0)),"NA"))</f>
        <v>NA</v>
      </c>
      <c r="H210" s="64" t="str">
        <f aca="false">IFERROR(INDEX('Recirculation &gt; 24 hrs'!$K$3:$K$151,MATCH($A210,'Recirculation &gt; 24 hrs'!$B$3:$B$151,0)),IFERROR(INDEX('Recirculation &gt; 24 hrs'!$K$3:$K$151,MATCH(SUBSTITUTE($A210," SS","  SS"),'Recirculation &gt; 24 hrs'!$B$3:$B$151,0)),"NA"))</f>
        <v>NA</v>
      </c>
      <c r="I210" s="64" t="n">
        <f aca="false">IFERROR(INDEX('Pending Putaway'!$E$2:$E$1537,MATCH($A210,'Pending Putaway'!$B$2:$B$1537,0)),IFERROR(INDEX('Pending Putaway'!$E$2:$E$1537,MATCH(SUBSTITUTE($A210," SS","  SS"),'Pending Putaway'!$B$2:$B$1537,0)),"NA"))</f>
        <v>7560</v>
      </c>
      <c r="J210" s="64" t="n">
        <f aca="false">IFERROR(INDEX('Pending Putaway'!$L$2:$L$1537,MATCH($A210,'Pending Putaway'!$B$2:$B$1537,0)),IFERROR(INDEX('Pending Putaway'!$L$2:$L$1537,MATCH(SUBSTITUTE($A210," SS","  SS"),'Pending Putaway'!$B$2:$B$1537,0)),"NA"))</f>
        <v>603</v>
      </c>
    </row>
    <row r="211" customFormat="false" ht="15" hidden="false" customHeight="false" outlineLevel="0" collapsed="false">
      <c r="A211" s="63" t="s">
        <v>128</v>
      </c>
      <c r="B211" s="63" t="str">
        <f aca="false">IFERROR(INDEX('CLM &amp; IM Mapping'!$B$2:$B$270,MATCH($A211,'CLM &amp; IM Mapping'!$A$2:$A$270,0)),"Not Mapped")</f>
        <v>Silambarasan E</v>
      </c>
      <c r="C211" s="63" t="str">
        <f aca="false">IFERROR(INDEX('CLM &amp; IM Mapping'!$C$2:$C$270,MATCH($A211,'CLM &amp; IM Mapping'!$A$2:$A$270,0)),"Not Mapped")</f>
        <v>Arivind S</v>
      </c>
      <c r="D211" s="64" t="n">
        <f aca="false">IFERROR(INDEX(Shrinkage!$P$2:$P$260,MATCH($A211,Shrinkage!$D$2:$D$260,0)),IFERROR(INDEX(Shrinkage!$P$2:$P$260,MATCH(SUBSTITUTE($A211," SS","  SS"),Shrinkage!$D$2:$D$260,0)),"NA"))</f>
        <v>-5077</v>
      </c>
      <c r="E211" s="65" t="n">
        <f aca="false">IFERROR(INDEX('Inventory Hygiene'!$I$3:$I$254,MATCH($A211,'Inventory Hygiene'!$B$3:$B$254,0)),IFERROR(INDEX('Inventory Hygiene'!$I$3:$I$254,MATCH(SUBSTITUTE($A211," SS","  SS"),'Inventory Hygiene'!$B$3:$B$254,0)),"NA"))</f>
        <v>0.49</v>
      </c>
      <c r="F211" s="64" t="n">
        <f aca="false">IFERROR(INDEX('Bad Bins'!$K$3:$K$253,MATCH($A211,'Bad Bins'!$B$3:$B$253,0)),IFERROR(INDEX('Bad Bins'!$K$3:$K$253,MATCH(SUBSTITUTE($A211," SS","  SS"),'Bad Bins'!$B$3:$B$253,0)),"NA"))</f>
        <v>59</v>
      </c>
      <c r="G211" s="64" t="str">
        <f aca="false">IFERROR(INDEX('RSTO &gt; 48hrs'!$H$2:$H$134,MATCH($A211,'RSTO &gt; 48hrs'!$B$2:$B$134,0)),IFERROR(INDEX('RSTO &gt; 48hrs'!$H$2:$H$134,MATCH(SUBSTITUTE($A211," SS","  SS"),'RSTO &gt; 48hrs'!$B$2:$B$134,0)),"NA"))</f>
        <v>NA</v>
      </c>
      <c r="H211" s="64" t="str">
        <f aca="false">IFERROR(INDEX('Recirculation &gt; 24 hrs'!$K$3:$K$151,MATCH($A211,'Recirculation &gt; 24 hrs'!$B$3:$B$151,0)),IFERROR(INDEX('Recirculation &gt; 24 hrs'!$K$3:$K$151,MATCH(SUBSTITUTE($A211," SS","  SS"),'Recirculation &gt; 24 hrs'!$B$3:$B$151,0)),"NA"))</f>
        <v>NA</v>
      </c>
      <c r="I211" s="64" t="n">
        <f aca="false">IFERROR(INDEX('Pending Putaway'!$E$2:$E$1537,MATCH($A211,'Pending Putaway'!$B$2:$B$1537,0)),IFERROR(INDEX('Pending Putaway'!$E$2:$E$1537,MATCH(SUBSTITUTE($A211," SS","  SS"),'Pending Putaway'!$B$2:$B$1537,0)),"NA"))</f>
        <v>914</v>
      </c>
      <c r="J211" s="64" t="n">
        <f aca="false">IFERROR(INDEX('Pending Putaway'!$L$2:$L$1537,MATCH($A211,'Pending Putaway'!$B$2:$B$1537,0)),IFERROR(INDEX('Pending Putaway'!$L$2:$L$1537,MATCH(SUBSTITUTE($A211," SS","  SS"),'Pending Putaway'!$B$2:$B$1537,0)),"NA"))</f>
        <v>914</v>
      </c>
    </row>
    <row r="212" customFormat="false" ht="15" hidden="false" customHeight="false" outlineLevel="0" collapsed="false">
      <c r="A212" s="63" t="s">
        <v>68</v>
      </c>
      <c r="B212" s="63" t="str">
        <f aca="false">IFERROR(INDEX('CLM &amp; IM Mapping'!$B$2:$B$270,MATCH($A212,'CLM &amp; IM Mapping'!$A$2:$A$270,0)),"Not Mapped")</f>
        <v>Silambarasan E</v>
      </c>
      <c r="C212" s="63" t="str">
        <f aca="false">IFERROR(INDEX('CLM &amp; IM Mapping'!$C$2:$C$270,MATCH($A212,'CLM &amp; IM Mapping'!$A$2:$A$270,0)),"Not Mapped")</f>
        <v>Arivind S</v>
      </c>
      <c r="D212" s="64" t="n">
        <f aca="false">IFERROR(INDEX(Shrinkage!$P$2:$P$260,MATCH($A212,Shrinkage!$D$2:$D$260,0)),IFERROR(INDEX(Shrinkage!$P$2:$P$260,MATCH(SUBSTITUTE($A212," SS","  SS"),Shrinkage!$D$2:$D$260,0)),"NA"))</f>
        <v>27298</v>
      </c>
      <c r="E212" s="65" t="n">
        <f aca="false">IFERROR(INDEX('Inventory Hygiene'!$I$3:$I$254,MATCH($A212,'Inventory Hygiene'!$B$3:$B$254,0)),IFERROR(INDEX('Inventory Hygiene'!$I$3:$I$254,MATCH(SUBSTITUTE($A212," SS","  SS"),'Inventory Hygiene'!$B$3:$B$254,0)),"NA"))</f>
        <v>0.54</v>
      </c>
      <c r="F212" s="64" t="n">
        <f aca="false">IFERROR(INDEX('Bad Bins'!$K$3:$K$253,MATCH($A212,'Bad Bins'!$B$3:$B$253,0)),IFERROR(INDEX('Bad Bins'!$K$3:$K$253,MATCH(SUBSTITUTE($A212," SS","  SS"),'Bad Bins'!$B$3:$B$253,0)),"NA"))</f>
        <v>116</v>
      </c>
      <c r="G212" s="64" t="n">
        <f aca="false">IFERROR(INDEX('RSTO &gt; 48hrs'!$H$2:$H$134,MATCH($A212,'RSTO &gt; 48hrs'!$B$2:$B$134,0)),IFERROR(INDEX('RSTO &gt; 48hrs'!$H$2:$H$134,MATCH(SUBSTITUTE($A212," SS","  SS"),'RSTO &gt; 48hrs'!$B$2:$B$134,0)),"NA"))</f>
        <v>178</v>
      </c>
      <c r="H212" s="64" t="n">
        <f aca="false">IFERROR(INDEX('Recirculation &gt; 24 hrs'!$K$3:$K$151,MATCH($A212,'Recirculation &gt; 24 hrs'!$B$3:$B$151,0)),IFERROR(INDEX('Recirculation &gt; 24 hrs'!$K$3:$K$151,MATCH(SUBSTITUTE($A212," SS","  SS"),'Recirculation &gt; 24 hrs'!$B$3:$B$151,0)),"NA"))</f>
        <v>9</v>
      </c>
      <c r="I212" s="64" t="n">
        <f aca="false">IFERROR(INDEX('Pending Putaway'!$E$2:$E$1537,MATCH($A212,'Pending Putaway'!$B$2:$B$1537,0)),IFERROR(INDEX('Pending Putaway'!$E$2:$E$1537,MATCH(SUBSTITUTE($A212," SS","  SS"),'Pending Putaway'!$B$2:$B$1537,0)),"NA"))</f>
        <v>1277</v>
      </c>
      <c r="J212" s="64" t="n">
        <f aca="false">IFERROR(INDEX('Pending Putaway'!$L$2:$L$1537,MATCH($A212,'Pending Putaway'!$B$2:$B$1537,0)),IFERROR(INDEX('Pending Putaway'!$L$2:$L$1537,MATCH(SUBSTITUTE($A212," SS","  SS"),'Pending Putaway'!$B$2:$B$1537,0)),"NA"))</f>
        <v>425</v>
      </c>
    </row>
    <row r="213" customFormat="false" ht="15" hidden="false" customHeight="false" outlineLevel="0" collapsed="false">
      <c r="A213" s="63" t="s">
        <v>277</v>
      </c>
      <c r="B213" s="63" t="str">
        <f aca="false">IFERROR(INDEX('CLM &amp; IM Mapping'!$B$2:$B$270,MATCH($A213,'CLM &amp; IM Mapping'!$A$2:$A$270,0)),"Not Mapped")</f>
        <v>Silambarasan E</v>
      </c>
      <c r="C213" s="63" t="str">
        <f aca="false">IFERROR(INDEX('CLM &amp; IM Mapping'!$C$2:$C$270,MATCH($A213,'CLM &amp; IM Mapping'!$A$2:$A$270,0)),"Not Mapped")</f>
        <v>Arivind S</v>
      </c>
      <c r="D213" s="64" t="n">
        <f aca="false">IFERROR(INDEX(Shrinkage!$P$2:$P$260,MATCH($A213,Shrinkage!$D$2:$D$260,0)),IFERROR(INDEX(Shrinkage!$P$2:$P$260,MATCH(SUBSTITUTE($A213," SS","  SS"),Shrinkage!$D$2:$D$260,0)),"NA"))</f>
        <v>-9170</v>
      </c>
      <c r="E213" s="65" t="n">
        <f aca="false">IFERROR(INDEX('Inventory Hygiene'!$I$3:$I$254,MATCH($A213,'Inventory Hygiene'!$B$3:$B$254,0)),IFERROR(INDEX('Inventory Hygiene'!$I$3:$I$254,MATCH(SUBSTITUTE($A213," SS","  SS"),'Inventory Hygiene'!$B$3:$B$254,0)),"NA"))</f>
        <v>0.48</v>
      </c>
      <c r="F213" s="64" t="n">
        <f aca="false">IFERROR(INDEX('Bad Bins'!$K$3:$K$253,MATCH($A213,'Bad Bins'!$B$3:$B$253,0)),IFERROR(INDEX('Bad Bins'!$K$3:$K$253,MATCH(SUBSTITUTE($A213," SS","  SS"),'Bad Bins'!$B$3:$B$253,0)),"NA"))</f>
        <v>15</v>
      </c>
      <c r="G213" s="64" t="n">
        <f aca="false">IFERROR(INDEX('RSTO &gt; 48hrs'!$H$2:$H$134,MATCH($A213,'RSTO &gt; 48hrs'!$B$2:$B$134,0)),IFERROR(INDEX('RSTO &gt; 48hrs'!$H$2:$H$134,MATCH(SUBSTITUTE($A213," SS","  SS"),'RSTO &gt; 48hrs'!$B$2:$B$134,0)),"NA"))</f>
        <v>1</v>
      </c>
      <c r="H213" s="64" t="str">
        <f aca="false">IFERROR(INDEX('Recirculation &gt; 24 hrs'!$K$3:$K$151,MATCH($A213,'Recirculation &gt; 24 hrs'!$B$3:$B$151,0)),IFERROR(INDEX('Recirculation &gt; 24 hrs'!$K$3:$K$151,MATCH(SUBSTITUTE($A213," SS","  SS"),'Recirculation &gt; 24 hrs'!$B$3:$B$151,0)),"NA"))</f>
        <v>NA</v>
      </c>
      <c r="I213" s="64" t="n">
        <f aca="false">IFERROR(INDEX('Pending Putaway'!$E$2:$E$1537,MATCH($A213,'Pending Putaway'!$B$2:$B$1537,0)),IFERROR(INDEX('Pending Putaway'!$E$2:$E$1537,MATCH(SUBSTITUTE($A213," SS","  SS"),'Pending Putaway'!$B$2:$B$1537,0)),"NA"))</f>
        <v>21</v>
      </c>
      <c r="J213" s="64" t="n">
        <f aca="false">IFERROR(INDEX('Pending Putaway'!$L$2:$L$1537,MATCH($A213,'Pending Putaway'!$B$2:$B$1537,0)),IFERROR(INDEX('Pending Putaway'!$L$2:$L$1537,MATCH(SUBSTITUTE($A213," SS","  SS"),'Pending Putaway'!$B$2:$B$1537,0)),"NA"))</f>
        <v>0</v>
      </c>
    </row>
    <row r="214" customFormat="false" ht="15" hidden="false" customHeight="false" outlineLevel="0" collapsed="false">
      <c r="A214" s="63" t="s">
        <v>239</v>
      </c>
      <c r="B214" s="63" t="str">
        <f aca="false">IFERROR(INDEX('CLM &amp; IM Mapping'!$B$2:$B$270,MATCH($A214,'CLM &amp; IM Mapping'!$A$2:$A$270,0)),"Not Mapped")</f>
        <v>Silambarasan E</v>
      </c>
      <c r="C214" s="63" t="str">
        <f aca="false">IFERROR(INDEX('CLM &amp; IM Mapping'!$C$2:$C$270,MATCH($A214,'CLM &amp; IM Mapping'!$A$2:$A$270,0)),"Not Mapped")</f>
        <v>Arivind S</v>
      </c>
      <c r="D214" s="64" t="n">
        <f aca="false">IFERROR(INDEX(Shrinkage!$P$2:$P$260,MATCH($A214,Shrinkage!$D$2:$D$260,0)),IFERROR(INDEX(Shrinkage!$P$2:$P$260,MATCH(SUBSTITUTE($A214," SS","  SS"),Shrinkage!$D$2:$D$260,0)),"NA"))</f>
        <v>40101</v>
      </c>
      <c r="E214" s="65" t="n">
        <f aca="false">IFERROR(INDEX('Inventory Hygiene'!$I$3:$I$254,MATCH($A214,'Inventory Hygiene'!$B$3:$B$254,0)),IFERROR(INDEX('Inventory Hygiene'!$I$3:$I$254,MATCH(SUBSTITUTE($A214," SS","  SS"),'Inventory Hygiene'!$B$3:$B$254,0)),"NA"))</f>
        <v>0.48</v>
      </c>
      <c r="F214" s="64" t="n">
        <f aca="false">IFERROR(INDEX('Bad Bins'!$K$3:$K$253,MATCH($A214,'Bad Bins'!$B$3:$B$253,0)),IFERROR(INDEX('Bad Bins'!$K$3:$K$253,MATCH(SUBSTITUTE($A214," SS","  SS"),'Bad Bins'!$B$3:$B$253,0)),"NA"))</f>
        <v>241</v>
      </c>
      <c r="G214" s="64" t="n">
        <f aca="false">IFERROR(INDEX('RSTO &gt; 48hrs'!$H$2:$H$134,MATCH($A214,'RSTO &gt; 48hrs'!$B$2:$B$134,0)),IFERROR(INDEX('RSTO &gt; 48hrs'!$H$2:$H$134,MATCH(SUBSTITUTE($A214," SS","  SS"),'RSTO &gt; 48hrs'!$B$2:$B$134,0)),"NA"))</f>
        <v>267</v>
      </c>
      <c r="H214" s="64" t="n">
        <f aca="false">IFERROR(INDEX('Recirculation &gt; 24 hrs'!$K$3:$K$151,MATCH($A214,'Recirculation &gt; 24 hrs'!$B$3:$B$151,0)),IFERROR(INDEX('Recirculation &gt; 24 hrs'!$K$3:$K$151,MATCH(SUBSTITUTE($A214," SS","  SS"),'Recirculation &gt; 24 hrs'!$B$3:$B$151,0)),"NA"))</f>
        <v>12</v>
      </c>
      <c r="I214" s="64" t="n">
        <f aca="false">IFERROR(INDEX('Pending Putaway'!$E$2:$E$1537,MATCH($A214,'Pending Putaway'!$B$2:$B$1537,0)),IFERROR(INDEX('Pending Putaway'!$E$2:$E$1537,MATCH(SUBSTITUTE($A214," SS","  SS"),'Pending Putaway'!$B$2:$B$1537,0)),"NA"))</f>
        <v>4567</v>
      </c>
      <c r="J214" s="64" t="n">
        <f aca="false">IFERROR(INDEX('Pending Putaway'!$L$2:$L$1537,MATCH($A214,'Pending Putaway'!$B$2:$B$1537,0)),IFERROR(INDEX('Pending Putaway'!$L$2:$L$1537,MATCH(SUBSTITUTE($A214," SS","  SS"),'Pending Putaway'!$B$2:$B$1537,0)),"NA"))</f>
        <v>3994</v>
      </c>
    </row>
    <row r="215" customFormat="false" ht="15" hidden="false" customHeight="false" outlineLevel="0" collapsed="false">
      <c r="A215" s="63" t="s">
        <v>234</v>
      </c>
      <c r="B215" s="63" t="str">
        <f aca="false">IFERROR(INDEX('CLM &amp; IM Mapping'!$B$2:$B$270,MATCH($A215,'CLM &amp; IM Mapping'!$A$2:$A$270,0)),"Not Mapped")</f>
        <v>Silambarasan E</v>
      </c>
      <c r="C215" s="63" t="str">
        <f aca="false">IFERROR(INDEX('CLM &amp; IM Mapping'!$C$2:$C$270,MATCH($A215,'CLM &amp; IM Mapping'!$A$2:$A$270,0)),"Not Mapped")</f>
        <v>Arivind S</v>
      </c>
      <c r="D215" s="64" t="n">
        <f aca="false">IFERROR(INDEX(Shrinkage!$P$2:$P$260,MATCH($A215,Shrinkage!$D$2:$D$260,0)),IFERROR(INDEX(Shrinkage!$P$2:$P$260,MATCH(SUBSTITUTE($A215," SS","  SS"),Shrinkage!$D$2:$D$260,0)),"NA"))</f>
        <v>28349</v>
      </c>
      <c r="E215" s="65" t="n">
        <f aca="false">IFERROR(INDEX('Inventory Hygiene'!$I$3:$I$254,MATCH($A215,'Inventory Hygiene'!$B$3:$B$254,0)),IFERROR(INDEX('Inventory Hygiene'!$I$3:$I$254,MATCH(SUBSTITUTE($A215," SS","  SS"),'Inventory Hygiene'!$B$3:$B$254,0)),"NA"))</f>
        <v>0.41</v>
      </c>
      <c r="F215" s="64" t="n">
        <f aca="false">IFERROR(INDEX('Bad Bins'!$K$3:$K$253,MATCH($A215,'Bad Bins'!$B$3:$B$253,0)),IFERROR(INDEX('Bad Bins'!$K$3:$K$253,MATCH(SUBSTITUTE($A215," SS","  SS"),'Bad Bins'!$B$3:$B$253,0)),"NA"))</f>
        <v>204</v>
      </c>
      <c r="G215" s="64" t="str">
        <f aca="false">IFERROR(INDEX('RSTO &gt; 48hrs'!$H$2:$H$134,MATCH($A215,'RSTO &gt; 48hrs'!$B$2:$B$134,0)),IFERROR(INDEX('RSTO &gt; 48hrs'!$H$2:$H$134,MATCH(SUBSTITUTE($A215," SS","  SS"),'RSTO &gt; 48hrs'!$B$2:$B$134,0)),"NA"))</f>
        <v>NA</v>
      </c>
      <c r="H215" s="64" t="n">
        <f aca="false">IFERROR(INDEX('Recirculation &gt; 24 hrs'!$K$3:$K$151,MATCH($A215,'Recirculation &gt; 24 hrs'!$B$3:$B$151,0)),IFERROR(INDEX('Recirculation &gt; 24 hrs'!$K$3:$K$151,MATCH(SUBSTITUTE($A215," SS","  SS"),'Recirculation &gt; 24 hrs'!$B$3:$B$151,0)),"NA"))</f>
        <v>25</v>
      </c>
      <c r="I215" s="64" t="n">
        <f aca="false">IFERROR(INDEX('Pending Putaway'!$E$2:$E$1537,MATCH($A215,'Pending Putaway'!$B$2:$B$1537,0)),IFERROR(INDEX('Pending Putaway'!$E$2:$E$1537,MATCH(SUBSTITUTE($A215," SS","  SS"),'Pending Putaway'!$B$2:$B$1537,0)),"NA"))</f>
        <v>1165</v>
      </c>
      <c r="J215" s="64" t="n">
        <f aca="false">IFERROR(INDEX('Pending Putaway'!$L$2:$L$1537,MATCH($A215,'Pending Putaway'!$B$2:$B$1537,0)),IFERROR(INDEX('Pending Putaway'!$L$2:$L$1537,MATCH(SUBSTITUTE($A215," SS","  SS"),'Pending Putaway'!$B$2:$B$1537,0)),"NA"))</f>
        <v>1165</v>
      </c>
    </row>
    <row r="216" customFormat="false" ht="15" hidden="false" customHeight="false" outlineLevel="0" collapsed="false">
      <c r="A216" s="63" t="s">
        <v>76</v>
      </c>
      <c r="B216" s="63" t="str">
        <f aca="false">IFERROR(INDEX('CLM &amp; IM Mapping'!$B$2:$B$270,MATCH($A216,'CLM &amp; IM Mapping'!$A$2:$A$270,0)),"Not Mapped")</f>
        <v>Silambarasan E</v>
      </c>
      <c r="C216" s="63" t="str">
        <f aca="false">IFERROR(INDEX('CLM &amp; IM Mapping'!$C$2:$C$270,MATCH($A216,'CLM &amp; IM Mapping'!$A$2:$A$270,0)),"Not Mapped")</f>
        <v>Arivind S</v>
      </c>
      <c r="D216" s="64" t="n">
        <f aca="false">IFERROR(INDEX(Shrinkage!$P$2:$P$260,MATCH($A216,Shrinkage!$D$2:$D$260,0)),IFERROR(INDEX(Shrinkage!$P$2:$P$260,MATCH(SUBSTITUTE($A216," SS","  SS"),Shrinkage!$D$2:$D$260,0)),"NA"))</f>
        <v>48259</v>
      </c>
      <c r="E216" s="65" t="n">
        <f aca="false">IFERROR(INDEX('Inventory Hygiene'!$I$3:$I$254,MATCH($A216,'Inventory Hygiene'!$B$3:$B$254,0)),IFERROR(INDEX('Inventory Hygiene'!$I$3:$I$254,MATCH(SUBSTITUTE($A216," SS","  SS"),'Inventory Hygiene'!$B$3:$B$254,0)),"NA"))</f>
        <v>0.7</v>
      </c>
      <c r="F216" s="64" t="n">
        <f aca="false">IFERROR(INDEX('Bad Bins'!$K$3:$K$253,MATCH($A216,'Bad Bins'!$B$3:$B$253,0)),IFERROR(INDEX('Bad Bins'!$K$3:$K$253,MATCH(SUBSTITUTE($A216," SS","  SS"),'Bad Bins'!$B$3:$B$253,0)),"NA"))</f>
        <v>67</v>
      </c>
      <c r="G216" s="64" t="n">
        <f aca="false">IFERROR(INDEX('RSTO &gt; 48hrs'!$H$2:$H$134,MATCH($A216,'RSTO &gt; 48hrs'!$B$2:$B$134,0)),IFERROR(INDEX('RSTO &gt; 48hrs'!$H$2:$H$134,MATCH(SUBSTITUTE($A216," SS","  SS"),'RSTO &gt; 48hrs'!$B$2:$B$134,0)),"NA"))</f>
        <v>407</v>
      </c>
      <c r="H216" s="64" t="n">
        <f aca="false">IFERROR(INDEX('Recirculation &gt; 24 hrs'!$K$3:$K$151,MATCH($A216,'Recirculation &gt; 24 hrs'!$B$3:$B$151,0)),IFERROR(INDEX('Recirculation &gt; 24 hrs'!$K$3:$K$151,MATCH(SUBSTITUTE($A216," SS","  SS"),'Recirculation &gt; 24 hrs'!$B$3:$B$151,0)),"NA"))</f>
        <v>23</v>
      </c>
      <c r="I216" s="64" t="n">
        <f aca="false">IFERROR(INDEX('Pending Putaway'!$E$2:$E$1537,MATCH($A216,'Pending Putaway'!$B$2:$B$1537,0)),IFERROR(INDEX('Pending Putaway'!$E$2:$E$1537,MATCH(SUBSTITUTE($A216," SS","  SS"),'Pending Putaway'!$B$2:$B$1537,0)),"NA"))</f>
        <v>6312</v>
      </c>
      <c r="J216" s="64" t="n">
        <f aca="false">IFERROR(INDEX('Pending Putaway'!$L$2:$L$1537,MATCH($A216,'Pending Putaway'!$B$2:$B$1537,0)),IFERROR(INDEX('Pending Putaway'!$L$2:$L$1537,MATCH(SUBSTITUTE($A216," SS","  SS"),'Pending Putaway'!$B$2:$B$1537,0)),"NA"))</f>
        <v>6312</v>
      </c>
    </row>
    <row r="217" customFormat="false" ht="15" hidden="false" customHeight="false" outlineLevel="0" collapsed="false">
      <c r="A217" s="63" t="s">
        <v>171</v>
      </c>
      <c r="B217" s="63" t="str">
        <f aca="false">IFERROR(INDEX('CLM &amp; IM Mapping'!$B$2:$B$270,MATCH($A217,'CLM &amp; IM Mapping'!$A$2:$A$270,0)),"Not Mapped")</f>
        <v>Vishnu V</v>
      </c>
      <c r="C217" s="63" t="str">
        <f aca="false">IFERROR(INDEX('CLM &amp; IM Mapping'!$C$2:$C$270,MATCH($A217,'CLM &amp; IM Mapping'!$A$2:$A$270,0)),"Not Mapped")</f>
        <v>Arivind S</v>
      </c>
      <c r="D217" s="64" t="n">
        <f aca="false">IFERROR(INDEX(Shrinkage!$P$2:$P$260,MATCH($A217,Shrinkage!$D$2:$D$260,0)),IFERROR(INDEX(Shrinkage!$P$2:$P$260,MATCH(SUBSTITUTE($A217," SS","  SS"),Shrinkage!$D$2:$D$260,0)),"NA"))</f>
        <v>18472</v>
      </c>
      <c r="E217" s="65" t="n">
        <f aca="false">IFERROR(INDEX('Inventory Hygiene'!$I$3:$I$254,MATCH($A217,'Inventory Hygiene'!$B$3:$B$254,0)),IFERROR(INDEX('Inventory Hygiene'!$I$3:$I$254,MATCH(SUBSTITUTE($A217," SS","  SS"),'Inventory Hygiene'!$B$3:$B$254,0)),"NA"))</f>
        <v>0.59</v>
      </c>
      <c r="F217" s="64" t="n">
        <f aca="false">IFERROR(INDEX('Bad Bins'!$K$3:$K$253,MATCH($A217,'Bad Bins'!$B$3:$B$253,0)),IFERROR(INDEX('Bad Bins'!$K$3:$K$253,MATCH(SUBSTITUTE($A217," SS","  SS"),'Bad Bins'!$B$3:$B$253,0)),"NA"))</f>
        <v>1857</v>
      </c>
      <c r="G217" s="64" t="str">
        <f aca="false">IFERROR(INDEX('RSTO &gt; 48hrs'!$H$2:$H$134,MATCH($A217,'RSTO &gt; 48hrs'!$B$2:$B$134,0)),IFERROR(INDEX('RSTO &gt; 48hrs'!$H$2:$H$134,MATCH(SUBSTITUTE($A217," SS","  SS"),'RSTO &gt; 48hrs'!$B$2:$B$134,0)),"NA"))</f>
        <v>NA</v>
      </c>
      <c r="H217" s="64" t="str">
        <f aca="false">IFERROR(INDEX('Recirculation &gt; 24 hrs'!$K$3:$K$151,MATCH($A217,'Recirculation &gt; 24 hrs'!$B$3:$B$151,0)),IFERROR(INDEX('Recirculation &gt; 24 hrs'!$K$3:$K$151,MATCH(SUBSTITUTE($A217," SS","  SS"),'Recirculation &gt; 24 hrs'!$B$3:$B$151,0)),"NA"))</f>
        <v>NA</v>
      </c>
      <c r="I217" s="64" t="n">
        <f aca="false">IFERROR(INDEX('Pending Putaway'!$E$2:$E$1537,MATCH($A217,'Pending Putaway'!$B$2:$B$1537,0)),IFERROR(INDEX('Pending Putaway'!$E$2:$E$1537,MATCH(SUBSTITUTE($A217," SS","  SS"),'Pending Putaway'!$B$2:$B$1537,0)),"NA"))</f>
        <v>2926</v>
      </c>
      <c r="J217" s="64" t="n">
        <f aca="false">IFERROR(INDEX('Pending Putaway'!$L$2:$L$1537,MATCH($A217,'Pending Putaway'!$B$2:$B$1537,0)),IFERROR(INDEX('Pending Putaway'!$L$2:$L$1537,MATCH(SUBSTITUTE($A217," SS","  SS"),'Pending Putaway'!$B$2:$B$1537,0)),"NA"))</f>
        <v>1</v>
      </c>
    </row>
    <row r="218" customFormat="false" ht="15" hidden="false" customHeight="false" outlineLevel="0" collapsed="false">
      <c r="A218" s="63" t="s">
        <v>80</v>
      </c>
      <c r="B218" s="63" t="str">
        <f aca="false">IFERROR(INDEX('CLM &amp; IM Mapping'!$B$2:$B$270,MATCH($A218,'CLM &amp; IM Mapping'!$A$2:$A$270,0)),"Not Mapped")</f>
        <v>Vishnu V</v>
      </c>
      <c r="C218" s="63" t="str">
        <f aca="false">IFERROR(INDEX('CLM &amp; IM Mapping'!$C$2:$C$270,MATCH($A218,'CLM &amp; IM Mapping'!$A$2:$A$270,0)),"Not Mapped")</f>
        <v>Arivind S</v>
      </c>
      <c r="D218" s="64" t="n">
        <f aca="false">IFERROR(INDEX(Shrinkage!$P$2:$P$260,MATCH($A218,Shrinkage!$D$2:$D$260,0)),IFERROR(INDEX(Shrinkage!$P$2:$P$260,MATCH(SUBSTITUTE($A218," SS","  SS"),Shrinkage!$D$2:$D$260,0)),"NA"))</f>
        <v>-8023</v>
      </c>
      <c r="E218" s="65" t="n">
        <f aca="false">IFERROR(INDEX('Inventory Hygiene'!$I$3:$I$254,MATCH($A218,'Inventory Hygiene'!$B$3:$B$254,0)),IFERROR(INDEX('Inventory Hygiene'!$I$3:$I$254,MATCH(SUBSTITUTE($A218," SS","  SS"),'Inventory Hygiene'!$B$3:$B$254,0)),"NA"))</f>
        <v>0.77</v>
      </c>
      <c r="F218" s="64" t="n">
        <f aca="false">IFERROR(INDEX('Bad Bins'!$K$3:$K$253,MATCH($A218,'Bad Bins'!$B$3:$B$253,0)),IFERROR(INDEX('Bad Bins'!$K$3:$K$253,MATCH(SUBSTITUTE($A218," SS","  SS"),'Bad Bins'!$B$3:$B$253,0)),"NA"))</f>
        <v>69</v>
      </c>
      <c r="G218" s="64" t="str">
        <f aca="false">IFERROR(INDEX('RSTO &gt; 48hrs'!$H$2:$H$134,MATCH($A218,'RSTO &gt; 48hrs'!$B$2:$B$134,0)),IFERROR(INDEX('RSTO &gt; 48hrs'!$H$2:$H$134,MATCH(SUBSTITUTE($A218," SS","  SS"),'RSTO &gt; 48hrs'!$B$2:$B$134,0)),"NA"))</f>
        <v>NA</v>
      </c>
      <c r="H218" s="64" t="str">
        <f aca="false">IFERROR(INDEX('Recirculation &gt; 24 hrs'!$K$3:$K$151,MATCH($A218,'Recirculation &gt; 24 hrs'!$B$3:$B$151,0)),IFERROR(INDEX('Recirculation &gt; 24 hrs'!$K$3:$K$151,MATCH(SUBSTITUTE($A218," SS","  SS"),'Recirculation &gt; 24 hrs'!$B$3:$B$151,0)),"NA"))</f>
        <v>NA</v>
      </c>
      <c r="I218" s="64" t="n">
        <f aca="false">IFERROR(INDEX('Pending Putaway'!$E$2:$E$1537,MATCH($A218,'Pending Putaway'!$B$2:$B$1537,0)),IFERROR(INDEX('Pending Putaway'!$E$2:$E$1537,MATCH(SUBSTITUTE($A218," SS","  SS"),'Pending Putaway'!$B$2:$B$1537,0)),"NA"))</f>
        <v>3599</v>
      </c>
      <c r="J218" s="64" t="n">
        <f aca="false">IFERROR(INDEX('Pending Putaway'!$L$2:$L$1537,MATCH($A218,'Pending Putaway'!$B$2:$B$1537,0)),IFERROR(INDEX('Pending Putaway'!$L$2:$L$1537,MATCH(SUBSTITUTE($A218," SS","  SS"),'Pending Putaway'!$B$2:$B$1537,0)),"NA"))</f>
        <v>0</v>
      </c>
    </row>
    <row r="219" customFormat="false" ht="15" hidden="false" customHeight="false" outlineLevel="0" collapsed="false">
      <c r="A219" s="63" t="s">
        <v>49</v>
      </c>
      <c r="B219" s="63" t="str">
        <f aca="false">IFERROR(INDEX('CLM &amp; IM Mapping'!$B$2:$B$270,MATCH($A219,'CLM &amp; IM Mapping'!$A$2:$A$270,0)),"Not Mapped")</f>
        <v>Vishnu V</v>
      </c>
      <c r="C219" s="63" t="str">
        <f aca="false">IFERROR(INDEX('CLM &amp; IM Mapping'!$C$2:$C$270,MATCH($A219,'CLM &amp; IM Mapping'!$A$2:$A$270,0)),"Not Mapped")</f>
        <v>Arivind S</v>
      </c>
      <c r="D219" s="64" t="n">
        <f aca="false">IFERROR(INDEX(Shrinkage!$P$2:$P$260,MATCH($A219,Shrinkage!$D$2:$D$260,0)),IFERROR(INDEX(Shrinkage!$P$2:$P$260,MATCH(SUBSTITUTE($A219," SS","  SS"),Shrinkage!$D$2:$D$260,0)),"NA"))</f>
        <v>4332</v>
      </c>
      <c r="E219" s="65" t="n">
        <f aca="false">IFERROR(INDEX('Inventory Hygiene'!$I$3:$I$254,MATCH($A219,'Inventory Hygiene'!$B$3:$B$254,0)),IFERROR(INDEX('Inventory Hygiene'!$I$3:$I$254,MATCH(SUBSTITUTE($A219," SS","  SS"),'Inventory Hygiene'!$B$3:$B$254,0)),"NA"))</f>
        <v>0.52</v>
      </c>
      <c r="F219" s="64" t="n">
        <f aca="false">IFERROR(INDEX('Bad Bins'!$K$3:$K$253,MATCH($A219,'Bad Bins'!$B$3:$B$253,0)),IFERROR(INDEX('Bad Bins'!$K$3:$K$253,MATCH(SUBSTITUTE($A219," SS","  SS"),'Bad Bins'!$B$3:$B$253,0)),"NA"))</f>
        <v>22</v>
      </c>
      <c r="G219" s="64" t="str">
        <f aca="false">IFERROR(INDEX('RSTO &gt; 48hrs'!$H$2:$H$134,MATCH($A219,'RSTO &gt; 48hrs'!$B$2:$B$134,0)),IFERROR(INDEX('RSTO &gt; 48hrs'!$H$2:$H$134,MATCH(SUBSTITUTE($A219," SS","  SS"),'RSTO &gt; 48hrs'!$B$2:$B$134,0)),"NA"))</f>
        <v>NA</v>
      </c>
      <c r="H219" s="64" t="n">
        <f aca="false">IFERROR(INDEX('Recirculation &gt; 24 hrs'!$K$3:$K$151,MATCH($A219,'Recirculation &gt; 24 hrs'!$B$3:$B$151,0)),IFERROR(INDEX('Recirculation &gt; 24 hrs'!$K$3:$K$151,MATCH(SUBSTITUTE($A219," SS","  SS"),'Recirculation &gt; 24 hrs'!$B$3:$B$151,0)),"NA"))</f>
        <v>30</v>
      </c>
      <c r="I219" s="64" t="n">
        <f aca="false">IFERROR(INDEX('Pending Putaway'!$E$2:$E$1537,MATCH($A219,'Pending Putaway'!$B$2:$B$1537,0)),IFERROR(INDEX('Pending Putaway'!$E$2:$E$1537,MATCH(SUBSTITUTE($A219," SS","  SS"),'Pending Putaway'!$B$2:$B$1537,0)),"NA"))</f>
        <v>1021</v>
      </c>
      <c r="J219" s="64" t="n">
        <f aca="false">IFERROR(INDEX('Pending Putaway'!$L$2:$L$1537,MATCH($A219,'Pending Putaway'!$B$2:$B$1537,0)),IFERROR(INDEX('Pending Putaway'!$L$2:$L$1537,MATCH(SUBSTITUTE($A219," SS","  SS"),'Pending Putaway'!$B$2:$B$1537,0)),"NA"))</f>
        <v>863</v>
      </c>
    </row>
    <row r="220" customFormat="false" ht="15" hidden="false" customHeight="false" outlineLevel="0" collapsed="false">
      <c r="A220" s="63" t="s">
        <v>230</v>
      </c>
      <c r="B220" s="63" t="str">
        <f aca="false">IFERROR(INDEX('CLM &amp; IM Mapping'!$B$2:$B$270,MATCH($A220,'CLM &amp; IM Mapping'!$A$2:$A$270,0)),"Not Mapped")</f>
        <v>Vishnu V</v>
      </c>
      <c r="C220" s="63" t="str">
        <f aca="false">IFERROR(INDEX('CLM &amp; IM Mapping'!$C$2:$C$270,MATCH($A220,'CLM &amp; IM Mapping'!$A$2:$A$270,0)),"Not Mapped")</f>
        <v>Arivind S</v>
      </c>
      <c r="D220" s="64" t="n">
        <f aca="false">IFERROR(INDEX(Shrinkage!$P$2:$P$260,MATCH($A220,Shrinkage!$D$2:$D$260,0)),IFERROR(INDEX(Shrinkage!$P$2:$P$260,MATCH(SUBSTITUTE($A220," SS","  SS"),Shrinkage!$D$2:$D$260,0)),"NA"))</f>
        <v>-3618</v>
      </c>
      <c r="E220" s="65" t="n">
        <f aca="false">IFERROR(INDEX('Inventory Hygiene'!$I$3:$I$254,MATCH($A220,'Inventory Hygiene'!$B$3:$B$254,0)),IFERROR(INDEX('Inventory Hygiene'!$I$3:$I$254,MATCH(SUBSTITUTE($A220," SS","  SS"),'Inventory Hygiene'!$B$3:$B$254,0)),"NA"))</f>
        <v>0.82</v>
      </c>
      <c r="F220" s="64" t="n">
        <f aca="false">IFERROR(INDEX('Bad Bins'!$K$3:$K$253,MATCH($A220,'Bad Bins'!$B$3:$B$253,0)),IFERROR(INDEX('Bad Bins'!$K$3:$K$253,MATCH(SUBSTITUTE($A220," SS","  SS"),'Bad Bins'!$B$3:$B$253,0)),"NA"))</f>
        <v>3</v>
      </c>
      <c r="G220" s="64" t="str">
        <f aca="false">IFERROR(INDEX('RSTO &gt; 48hrs'!$H$2:$H$134,MATCH($A220,'RSTO &gt; 48hrs'!$B$2:$B$134,0)),IFERROR(INDEX('RSTO &gt; 48hrs'!$H$2:$H$134,MATCH(SUBSTITUTE($A220," SS","  SS"),'RSTO &gt; 48hrs'!$B$2:$B$134,0)),"NA"))</f>
        <v>NA</v>
      </c>
      <c r="H220" s="64" t="str">
        <f aca="false">IFERROR(INDEX('Recirculation &gt; 24 hrs'!$K$3:$K$151,MATCH($A220,'Recirculation &gt; 24 hrs'!$B$3:$B$151,0)),IFERROR(INDEX('Recirculation &gt; 24 hrs'!$K$3:$K$151,MATCH(SUBSTITUTE($A220," SS","  SS"),'Recirculation &gt; 24 hrs'!$B$3:$B$151,0)),"NA"))</f>
        <v>NA</v>
      </c>
      <c r="I220" s="64" t="n">
        <f aca="false">IFERROR(INDEX('Pending Putaway'!$E$2:$E$1537,MATCH($A220,'Pending Putaway'!$B$2:$B$1537,0)),IFERROR(INDEX('Pending Putaway'!$E$2:$E$1537,MATCH(SUBSTITUTE($A220," SS","  SS"),'Pending Putaway'!$B$2:$B$1537,0)),"NA"))</f>
        <v>0</v>
      </c>
      <c r="J220" s="64" t="n">
        <f aca="false">IFERROR(INDEX('Pending Putaway'!$L$2:$L$1537,MATCH($A220,'Pending Putaway'!$B$2:$B$1537,0)),IFERROR(INDEX('Pending Putaway'!$L$2:$L$1537,MATCH(SUBSTITUTE($A220," SS","  SS"),'Pending Putaway'!$B$2:$B$1537,0)),"NA"))</f>
        <v>0</v>
      </c>
    </row>
    <row r="221" customFormat="false" ht="15" hidden="false" customHeight="false" outlineLevel="0" collapsed="false">
      <c r="A221" s="63" t="s">
        <v>83</v>
      </c>
      <c r="B221" s="63" t="str">
        <f aca="false">IFERROR(INDEX('CLM &amp; IM Mapping'!$B$2:$B$270,MATCH($A221,'CLM &amp; IM Mapping'!$A$2:$A$270,0)),"Not Mapped")</f>
        <v>Vishnu V</v>
      </c>
      <c r="C221" s="63" t="str">
        <f aca="false">IFERROR(INDEX('CLM &amp; IM Mapping'!$C$2:$C$270,MATCH($A221,'CLM &amp; IM Mapping'!$A$2:$A$270,0)),"Not Mapped")</f>
        <v>Arivind S</v>
      </c>
      <c r="D221" s="64" t="n">
        <f aca="false">IFERROR(INDEX(Shrinkage!$P$2:$P$260,MATCH($A221,Shrinkage!$D$2:$D$260,0)),IFERROR(INDEX(Shrinkage!$P$2:$P$260,MATCH(SUBSTITUTE($A221," SS","  SS"),Shrinkage!$D$2:$D$260,0)),"NA"))</f>
        <v>8719</v>
      </c>
      <c r="E221" s="65" t="n">
        <f aca="false">IFERROR(INDEX('Inventory Hygiene'!$I$3:$I$254,MATCH($A221,'Inventory Hygiene'!$B$3:$B$254,0)),IFERROR(INDEX('Inventory Hygiene'!$I$3:$I$254,MATCH(SUBSTITUTE($A221," SS","  SS"),'Inventory Hygiene'!$B$3:$B$254,0)),"NA"))</f>
        <v>0.34</v>
      </c>
      <c r="F221" s="64" t="n">
        <f aca="false">IFERROR(INDEX('Bad Bins'!$K$3:$K$253,MATCH($A221,'Bad Bins'!$B$3:$B$253,0)),IFERROR(INDEX('Bad Bins'!$K$3:$K$253,MATCH(SUBSTITUTE($A221," SS","  SS"),'Bad Bins'!$B$3:$B$253,0)),"NA"))</f>
        <v>73</v>
      </c>
      <c r="G221" s="64" t="str">
        <f aca="false">IFERROR(INDEX('RSTO &gt; 48hrs'!$H$2:$H$134,MATCH($A221,'RSTO &gt; 48hrs'!$B$2:$B$134,0)),IFERROR(INDEX('RSTO &gt; 48hrs'!$H$2:$H$134,MATCH(SUBSTITUTE($A221," SS","  SS"),'RSTO &gt; 48hrs'!$B$2:$B$134,0)),"NA"))</f>
        <v>NA</v>
      </c>
      <c r="H221" s="64" t="str">
        <f aca="false">IFERROR(INDEX('Recirculation &gt; 24 hrs'!$K$3:$K$151,MATCH($A221,'Recirculation &gt; 24 hrs'!$B$3:$B$151,0)),IFERROR(INDEX('Recirculation &gt; 24 hrs'!$K$3:$K$151,MATCH(SUBSTITUTE($A221," SS","  SS"),'Recirculation &gt; 24 hrs'!$B$3:$B$151,0)),"NA"))</f>
        <v>NA</v>
      </c>
      <c r="I221" s="64" t="n">
        <f aca="false">IFERROR(INDEX('Pending Putaway'!$E$2:$E$1537,MATCH($A221,'Pending Putaway'!$B$2:$B$1537,0)),IFERROR(INDEX('Pending Putaway'!$E$2:$E$1537,MATCH(SUBSTITUTE($A221," SS","  SS"),'Pending Putaway'!$B$2:$B$1537,0)),"NA"))</f>
        <v>0</v>
      </c>
      <c r="J221" s="64" t="n">
        <f aca="false">IFERROR(INDEX('Pending Putaway'!$L$2:$L$1537,MATCH($A221,'Pending Putaway'!$B$2:$B$1537,0)),IFERROR(INDEX('Pending Putaway'!$L$2:$L$1537,MATCH(SUBSTITUTE($A221," SS","  SS"),'Pending Putaway'!$B$2:$B$1537,0)),"NA"))</f>
        <v>0</v>
      </c>
    </row>
    <row r="222" customFormat="false" ht="15" hidden="false" customHeight="false" outlineLevel="0" collapsed="false">
      <c r="A222" s="63" t="s">
        <v>209</v>
      </c>
      <c r="B222" s="63" t="str">
        <f aca="false">IFERROR(INDEX('CLM &amp; IM Mapping'!$B$2:$B$270,MATCH($A222,'CLM &amp; IM Mapping'!$A$2:$A$270,0)),"Not Mapped")</f>
        <v>Vishnu V</v>
      </c>
      <c r="C222" s="63" t="str">
        <f aca="false">IFERROR(INDEX('CLM &amp; IM Mapping'!$C$2:$C$270,MATCH($A222,'CLM &amp; IM Mapping'!$A$2:$A$270,0)),"Not Mapped")</f>
        <v>Arivind S</v>
      </c>
      <c r="D222" s="64" t="n">
        <f aca="false">IFERROR(INDEX(Shrinkage!$P$2:$P$260,MATCH($A222,Shrinkage!$D$2:$D$260,0)),IFERROR(INDEX(Shrinkage!$P$2:$P$260,MATCH(SUBSTITUTE($A222," SS","  SS"),Shrinkage!$D$2:$D$260,0)),"NA"))</f>
        <v>-5488</v>
      </c>
      <c r="E222" s="65" t="n">
        <f aca="false">IFERROR(INDEX('Inventory Hygiene'!$I$3:$I$254,MATCH($A222,'Inventory Hygiene'!$B$3:$B$254,0)),IFERROR(INDEX('Inventory Hygiene'!$I$3:$I$254,MATCH(SUBSTITUTE($A222," SS","  SS"),'Inventory Hygiene'!$B$3:$B$254,0)),"NA"))</f>
        <v>0.26</v>
      </c>
      <c r="F222" s="64" t="n">
        <f aca="false">IFERROR(INDEX('Bad Bins'!$K$3:$K$253,MATCH($A222,'Bad Bins'!$B$3:$B$253,0)),IFERROR(INDEX('Bad Bins'!$K$3:$K$253,MATCH(SUBSTITUTE($A222," SS","  SS"),'Bad Bins'!$B$3:$B$253,0)),"NA"))</f>
        <v>0</v>
      </c>
      <c r="G222" s="64" t="str">
        <f aca="false">IFERROR(INDEX('RSTO &gt; 48hrs'!$H$2:$H$134,MATCH($A222,'RSTO &gt; 48hrs'!$B$2:$B$134,0)),IFERROR(INDEX('RSTO &gt; 48hrs'!$H$2:$H$134,MATCH(SUBSTITUTE($A222," SS","  SS"),'RSTO &gt; 48hrs'!$B$2:$B$134,0)),"NA"))</f>
        <v>NA</v>
      </c>
      <c r="H222" s="64" t="str">
        <f aca="false">IFERROR(INDEX('Recirculation &gt; 24 hrs'!$K$3:$K$151,MATCH($A222,'Recirculation &gt; 24 hrs'!$B$3:$B$151,0)),IFERROR(INDEX('Recirculation &gt; 24 hrs'!$K$3:$K$151,MATCH(SUBSTITUTE($A222," SS","  SS"),'Recirculation &gt; 24 hrs'!$B$3:$B$151,0)),"NA"))</f>
        <v>NA</v>
      </c>
      <c r="I222" s="64" t="n">
        <f aca="false">IFERROR(INDEX('Pending Putaway'!$E$2:$E$1537,MATCH($A222,'Pending Putaway'!$B$2:$B$1537,0)),IFERROR(INDEX('Pending Putaway'!$E$2:$E$1537,MATCH(SUBSTITUTE($A222," SS","  SS"),'Pending Putaway'!$B$2:$B$1537,0)),"NA"))</f>
        <v>0</v>
      </c>
      <c r="J222" s="64" t="n">
        <f aca="false">IFERROR(INDEX('Pending Putaway'!$L$2:$L$1537,MATCH($A222,'Pending Putaway'!$B$2:$B$1537,0)),IFERROR(INDEX('Pending Putaway'!$L$2:$L$1537,MATCH(SUBSTITUTE($A222," SS","  SS"),'Pending Putaway'!$B$2:$B$1537,0)),"NA"))</f>
        <v>0</v>
      </c>
    </row>
    <row r="223" customFormat="false" ht="15" hidden="false" customHeight="false" outlineLevel="0" collapsed="false">
      <c r="A223" s="63" t="s">
        <v>34</v>
      </c>
      <c r="B223" s="63" t="str">
        <f aca="false">IFERROR(INDEX('CLM &amp; IM Mapping'!$B$2:$B$270,MATCH($A223,'CLM &amp; IM Mapping'!$A$2:$A$270,0)),"Not Mapped")</f>
        <v>Vishnu V</v>
      </c>
      <c r="C223" s="63" t="str">
        <f aca="false">IFERROR(INDEX('CLM &amp; IM Mapping'!$C$2:$C$270,MATCH($A223,'CLM &amp; IM Mapping'!$A$2:$A$270,0)),"Not Mapped")</f>
        <v>Arivind S</v>
      </c>
      <c r="D223" s="64" t="n">
        <f aca="false">IFERROR(INDEX(Shrinkage!$P$2:$P$260,MATCH($A223,Shrinkage!$D$2:$D$260,0)),IFERROR(INDEX(Shrinkage!$P$2:$P$260,MATCH(SUBSTITUTE($A223," SS","  SS"),Shrinkage!$D$2:$D$260,0)),"NA"))</f>
        <v>-6649</v>
      </c>
      <c r="E223" s="65" t="n">
        <f aca="false">IFERROR(INDEX('Inventory Hygiene'!$I$3:$I$254,MATCH($A223,'Inventory Hygiene'!$B$3:$B$254,0)),IFERROR(INDEX('Inventory Hygiene'!$I$3:$I$254,MATCH(SUBSTITUTE($A223," SS","  SS"),'Inventory Hygiene'!$B$3:$B$254,0)),"NA"))</f>
        <v>0.62</v>
      </c>
      <c r="F223" s="64" t="n">
        <f aca="false">IFERROR(INDEX('Bad Bins'!$K$3:$K$253,MATCH($A223,'Bad Bins'!$B$3:$B$253,0)),IFERROR(INDEX('Bad Bins'!$K$3:$K$253,MATCH(SUBSTITUTE($A223," SS","  SS"),'Bad Bins'!$B$3:$B$253,0)),"NA"))</f>
        <v>0</v>
      </c>
      <c r="G223" s="64" t="str">
        <f aca="false">IFERROR(INDEX('RSTO &gt; 48hrs'!$H$2:$H$134,MATCH($A223,'RSTO &gt; 48hrs'!$B$2:$B$134,0)),IFERROR(INDEX('RSTO &gt; 48hrs'!$H$2:$H$134,MATCH(SUBSTITUTE($A223," SS","  SS"),'RSTO &gt; 48hrs'!$B$2:$B$134,0)),"NA"))</f>
        <v>NA</v>
      </c>
      <c r="H223" s="64" t="str">
        <f aca="false">IFERROR(INDEX('Recirculation &gt; 24 hrs'!$K$3:$K$151,MATCH($A223,'Recirculation &gt; 24 hrs'!$B$3:$B$151,0)),IFERROR(INDEX('Recirculation &gt; 24 hrs'!$K$3:$K$151,MATCH(SUBSTITUTE($A223," SS","  SS"),'Recirculation &gt; 24 hrs'!$B$3:$B$151,0)),"NA"))</f>
        <v>NA</v>
      </c>
      <c r="I223" s="64" t="n">
        <f aca="false">IFERROR(INDEX('Pending Putaway'!$E$2:$E$1537,MATCH($A223,'Pending Putaway'!$B$2:$B$1537,0)),IFERROR(INDEX('Pending Putaway'!$E$2:$E$1537,MATCH(SUBSTITUTE($A223," SS","  SS"),'Pending Putaway'!$B$2:$B$1537,0)),"NA"))</f>
        <v>0</v>
      </c>
      <c r="J223" s="64" t="n">
        <f aca="false">IFERROR(INDEX('Pending Putaway'!$L$2:$L$1537,MATCH($A223,'Pending Putaway'!$B$2:$B$1537,0)),IFERROR(INDEX('Pending Putaway'!$L$2:$L$1537,MATCH(SUBSTITUTE($A223," SS","  SS"),'Pending Putaway'!$B$2:$B$1537,0)),"NA"))</f>
        <v>0</v>
      </c>
    </row>
    <row r="224" customFormat="false" ht="15" hidden="false" customHeight="false" outlineLevel="0" collapsed="false">
      <c r="A224" s="63" t="s">
        <v>201</v>
      </c>
      <c r="B224" s="63" t="str">
        <f aca="false">IFERROR(INDEX('CLM &amp; IM Mapping'!$B$2:$B$270,MATCH($A224,'CLM &amp; IM Mapping'!$A$2:$A$270,0)),"Not Mapped")</f>
        <v>Vishnu V</v>
      </c>
      <c r="C224" s="63" t="str">
        <f aca="false">IFERROR(INDEX('CLM &amp; IM Mapping'!$C$2:$C$270,MATCH($A224,'CLM &amp; IM Mapping'!$A$2:$A$270,0)),"Not Mapped")</f>
        <v>Arivind S</v>
      </c>
      <c r="D224" s="64" t="n">
        <f aca="false">IFERROR(INDEX(Shrinkage!$P$2:$P$260,MATCH($A224,Shrinkage!$D$2:$D$260,0)),IFERROR(INDEX(Shrinkage!$P$2:$P$260,MATCH(SUBSTITUTE($A224," SS","  SS"),Shrinkage!$D$2:$D$260,0)),"NA"))</f>
        <v>-4105</v>
      </c>
      <c r="E224" s="65" t="n">
        <f aca="false">IFERROR(INDEX('Inventory Hygiene'!$I$3:$I$254,MATCH($A224,'Inventory Hygiene'!$B$3:$B$254,0)),IFERROR(INDEX('Inventory Hygiene'!$I$3:$I$254,MATCH(SUBSTITUTE($A224," SS","  SS"),'Inventory Hygiene'!$B$3:$B$254,0)),"NA"))</f>
        <v>0.39</v>
      </c>
      <c r="F224" s="64" t="n">
        <f aca="false">IFERROR(INDEX('Bad Bins'!$K$3:$K$253,MATCH($A224,'Bad Bins'!$B$3:$B$253,0)),IFERROR(INDEX('Bad Bins'!$K$3:$K$253,MATCH(SUBSTITUTE($A224," SS","  SS"),'Bad Bins'!$B$3:$B$253,0)),"NA"))</f>
        <v>3</v>
      </c>
      <c r="G224" s="64" t="str">
        <f aca="false">IFERROR(INDEX('RSTO &gt; 48hrs'!$H$2:$H$134,MATCH($A224,'RSTO &gt; 48hrs'!$B$2:$B$134,0)),IFERROR(INDEX('RSTO &gt; 48hrs'!$H$2:$H$134,MATCH(SUBSTITUTE($A224," SS","  SS"),'RSTO &gt; 48hrs'!$B$2:$B$134,0)),"NA"))</f>
        <v>NA</v>
      </c>
      <c r="H224" s="64" t="str">
        <f aca="false">IFERROR(INDEX('Recirculation &gt; 24 hrs'!$K$3:$K$151,MATCH($A224,'Recirculation &gt; 24 hrs'!$B$3:$B$151,0)),IFERROR(INDEX('Recirculation &gt; 24 hrs'!$K$3:$K$151,MATCH(SUBSTITUTE($A224," SS","  SS"),'Recirculation &gt; 24 hrs'!$B$3:$B$151,0)),"NA"))</f>
        <v>NA</v>
      </c>
      <c r="I224" s="64" t="n">
        <f aca="false">IFERROR(INDEX('Pending Putaway'!$E$2:$E$1537,MATCH($A224,'Pending Putaway'!$B$2:$B$1537,0)),IFERROR(INDEX('Pending Putaway'!$E$2:$E$1537,MATCH(SUBSTITUTE($A224," SS","  SS"),'Pending Putaway'!$B$2:$B$1537,0)),"NA"))</f>
        <v>1171</v>
      </c>
      <c r="J224" s="64" t="n">
        <f aca="false">IFERROR(INDEX('Pending Putaway'!$L$2:$L$1537,MATCH($A224,'Pending Putaway'!$B$2:$B$1537,0)),IFERROR(INDEX('Pending Putaway'!$L$2:$L$1537,MATCH(SUBSTITUTE($A224," SS","  SS"),'Pending Putaway'!$B$2:$B$1537,0)),"NA"))</f>
        <v>1171</v>
      </c>
    </row>
    <row r="225" customFormat="false" ht="15" hidden="false" customHeight="false" outlineLevel="0" collapsed="false">
      <c r="A225" s="63" t="s">
        <v>266</v>
      </c>
      <c r="B225" s="63" t="str">
        <f aca="false">IFERROR(INDEX('CLM &amp; IM Mapping'!$B$2:$B$270,MATCH($A225,'CLM &amp; IM Mapping'!$A$2:$A$270,0)),"Not Mapped")</f>
        <v>Vishnu V</v>
      </c>
      <c r="C225" s="63" t="str">
        <f aca="false">IFERROR(INDEX('CLM &amp; IM Mapping'!$C$2:$C$270,MATCH($A225,'CLM &amp; IM Mapping'!$A$2:$A$270,0)),"Not Mapped")</f>
        <v>Arivind S</v>
      </c>
      <c r="D225" s="64" t="n">
        <f aca="false">IFERROR(INDEX(Shrinkage!$P$2:$P$260,MATCH($A225,Shrinkage!$D$2:$D$260,0)),IFERROR(INDEX(Shrinkage!$P$2:$P$260,MATCH(SUBSTITUTE($A225," SS","  SS"),Shrinkage!$D$2:$D$260,0)),"NA"))</f>
        <v>3408</v>
      </c>
      <c r="E225" s="65" t="n">
        <f aca="false">IFERROR(INDEX('Inventory Hygiene'!$I$3:$I$254,MATCH($A225,'Inventory Hygiene'!$B$3:$B$254,0)),IFERROR(INDEX('Inventory Hygiene'!$I$3:$I$254,MATCH(SUBSTITUTE($A225," SS","  SS"),'Inventory Hygiene'!$B$3:$B$254,0)),"NA"))</f>
        <v>0.18</v>
      </c>
      <c r="F225" s="64" t="n">
        <f aca="false">IFERROR(INDEX('Bad Bins'!$K$3:$K$253,MATCH($A225,'Bad Bins'!$B$3:$B$253,0)),IFERROR(INDEX('Bad Bins'!$K$3:$K$253,MATCH(SUBSTITUTE($A225," SS","  SS"),'Bad Bins'!$B$3:$B$253,0)),"NA"))</f>
        <v>275</v>
      </c>
      <c r="G225" s="64" t="str">
        <f aca="false">IFERROR(INDEX('RSTO &gt; 48hrs'!$H$2:$H$134,MATCH($A225,'RSTO &gt; 48hrs'!$B$2:$B$134,0)),IFERROR(INDEX('RSTO &gt; 48hrs'!$H$2:$H$134,MATCH(SUBSTITUTE($A225," SS","  SS"),'RSTO &gt; 48hrs'!$B$2:$B$134,0)),"NA"))</f>
        <v>NA</v>
      </c>
      <c r="H225" s="64" t="str">
        <f aca="false">IFERROR(INDEX('Recirculation &gt; 24 hrs'!$K$3:$K$151,MATCH($A225,'Recirculation &gt; 24 hrs'!$B$3:$B$151,0)),IFERROR(INDEX('Recirculation &gt; 24 hrs'!$K$3:$K$151,MATCH(SUBSTITUTE($A225," SS","  SS"),'Recirculation &gt; 24 hrs'!$B$3:$B$151,0)),"NA"))</f>
        <v>NA</v>
      </c>
      <c r="I225" s="64" t="n">
        <f aca="false">IFERROR(INDEX('Pending Putaway'!$E$2:$E$1537,MATCH($A225,'Pending Putaway'!$B$2:$B$1537,0)),IFERROR(INDEX('Pending Putaway'!$E$2:$E$1537,MATCH(SUBSTITUTE($A225," SS","  SS"),'Pending Putaway'!$B$2:$B$1537,0)),"NA"))</f>
        <v>707</v>
      </c>
      <c r="J225" s="64" t="n">
        <f aca="false">IFERROR(INDEX('Pending Putaway'!$L$2:$L$1537,MATCH($A225,'Pending Putaway'!$B$2:$B$1537,0)),IFERROR(INDEX('Pending Putaway'!$L$2:$L$1537,MATCH(SUBSTITUTE($A225," SS","  SS"),'Pending Putaway'!$B$2:$B$1537,0)),"NA"))</f>
        <v>0</v>
      </c>
    </row>
    <row r="226" customFormat="false" ht="15" hidden="false" customHeight="false" outlineLevel="0" collapsed="false">
      <c r="A226" s="63" t="s">
        <v>185</v>
      </c>
      <c r="B226" s="63" t="str">
        <f aca="false">IFERROR(INDEX('CLM &amp; IM Mapping'!$B$2:$B$270,MATCH($A226,'CLM &amp; IM Mapping'!$A$2:$A$270,0)),"Not Mapped")</f>
        <v>Vishnu V</v>
      </c>
      <c r="C226" s="63" t="str">
        <f aca="false">IFERROR(INDEX('CLM &amp; IM Mapping'!$C$2:$C$270,MATCH($A226,'CLM &amp; IM Mapping'!$A$2:$A$270,0)),"Not Mapped")</f>
        <v>Arivind S</v>
      </c>
      <c r="D226" s="64" t="n">
        <f aca="false">IFERROR(INDEX(Shrinkage!$P$2:$P$260,MATCH($A226,Shrinkage!$D$2:$D$260,0)),IFERROR(INDEX(Shrinkage!$P$2:$P$260,MATCH(SUBSTITUTE($A226," SS","  SS"),Shrinkage!$D$2:$D$260,0)),"NA"))</f>
        <v>-10230</v>
      </c>
      <c r="E226" s="65" t="n">
        <f aca="false">IFERROR(INDEX('Inventory Hygiene'!$I$3:$I$254,MATCH($A226,'Inventory Hygiene'!$B$3:$B$254,0)),IFERROR(INDEX('Inventory Hygiene'!$I$3:$I$254,MATCH(SUBSTITUTE($A226," SS","  SS"),'Inventory Hygiene'!$B$3:$B$254,0)),"NA"))</f>
        <v>0.48</v>
      </c>
      <c r="F226" s="64" t="n">
        <f aca="false">IFERROR(INDEX('Bad Bins'!$K$3:$K$253,MATCH($A226,'Bad Bins'!$B$3:$B$253,0)),IFERROR(INDEX('Bad Bins'!$K$3:$K$253,MATCH(SUBSTITUTE($A226," SS","  SS"),'Bad Bins'!$B$3:$B$253,0)),"NA"))</f>
        <v>177</v>
      </c>
      <c r="G226" s="64" t="str">
        <f aca="false">IFERROR(INDEX('RSTO &gt; 48hrs'!$H$2:$H$134,MATCH($A226,'RSTO &gt; 48hrs'!$B$2:$B$134,0)),IFERROR(INDEX('RSTO &gt; 48hrs'!$H$2:$H$134,MATCH(SUBSTITUTE($A226," SS","  SS"),'RSTO &gt; 48hrs'!$B$2:$B$134,0)),"NA"))</f>
        <v>NA</v>
      </c>
      <c r="H226" s="64" t="str">
        <f aca="false">IFERROR(INDEX('Recirculation &gt; 24 hrs'!$K$3:$K$151,MATCH($A226,'Recirculation &gt; 24 hrs'!$B$3:$B$151,0)),IFERROR(INDEX('Recirculation &gt; 24 hrs'!$K$3:$K$151,MATCH(SUBSTITUTE($A226," SS","  SS"),'Recirculation &gt; 24 hrs'!$B$3:$B$151,0)),"NA"))</f>
        <v>NA</v>
      </c>
      <c r="I226" s="64" t="n">
        <f aca="false">IFERROR(INDEX('Pending Putaway'!$E$2:$E$1537,MATCH($A226,'Pending Putaway'!$B$2:$B$1537,0)),IFERROR(INDEX('Pending Putaway'!$E$2:$E$1537,MATCH(SUBSTITUTE($A226," SS","  SS"),'Pending Putaway'!$B$2:$B$1537,0)),"NA"))</f>
        <v>2</v>
      </c>
      <c r="J226" s="64" t="n">
        <f aca="false">IFERROR(INDEX('Pending Putaway'!$L$2:$L$1537,MATCH($A226,'Pending Putaway'!$B$2:$B$1537,0)),IFERROR(INDEX('Pending Putaway'!$L$2:$L$1537,MATCH(SUBSTITUTE($A226," SS","  SS"),'Pending Putaway'!$B$2:$B$1537,0)),"NA"))</f>
        <v>2</v>
      </c>
    </row>
    <row r="227" customFormat="false" ht="15" hidden="false" customHeight="false" outlineLevel="0" collapsed="false">
      <c r="A227" s="63" t="s">
        <v>136</v>
      </c>
      <c r="B227" s="63" t="str">
        <f aca="false">IFERROR(INDEX('CLM &amp; IM Mapping'!$B$2:$B$270,MATCH($A227,'CLM &amp; IM Mapping'!$A$2:$A$270,0)),"Not Mapped")</f>
        <v>Vishnu V</v>
      </c>
      <c r="C227" s="63" t="str">
        <f aca="false">IFERROR(INDEX('CLM &amp; IM Mapping'!$C$2:$C$270,MATCH($A227,'CLM &amp; IM Mapping'!$A$2:$A$270,0)),"Not Mapped")</f>
        <v>Arivind S</v>
      </c>
      <c r="D227" s="64" t="n">
        <f aca="false">IFERROR(INDEX(Shrinkage!$P$2:$P$260,MATCH($A227,Shrinkage!$D$2:$D$260,0)),IFERROR(INDEX(Shrinkage!$P$2:$P$260,MATCH(SUBSTITUTE($A227," SS","  SS"),Shrinkage!$D$2:$D$260,0)),"NA"))</f>
        <v>-5046</v>
      </c>
      <c r="E227" s="65" t="n">
        <f aca="false">IFERROR(INDEX('Inventory Hygiene'!$I$3:$I$254,MATCH($A227,'Inventory Hygiene'!$B$3:$B$254,0)),IFERROR(INDEX('Inventory Hygiene'!$I$3:$I$254,MATCH(SUBSTITUTE($A227," SS","  SS"),'Inventory Hygiene'!$B$3:$B$254,0)),"NA"))</f>
        <v>0.77</v>
      </c>
      <c r="F227" s="64" t="n">
        <f aca="false">IFERROR(INDEX('Bad Bins'!$K$3:$K$253,MATCH($A227,'Bad Bins'!$B$3:$B$253,0)),IFERROR(INDEX('Bad Bins'!$K$3:$K$253,MATCH(SUBSTITUTE($A227," SS","  SS"),'Bad Bins'!$B$3:$B$253,0)),"NA"))</f>
        <v>0</v>
      </c>
      <c r="G227" s="64" t="str">
        <f aca="false">IFERROR(INDEX('RSTO &gt; 48hrs'!$H$2:$H$134,MATCH($A227,'RSTO &gt; 48hrs'!$B$2:$B$134,0)),IFERROR(INDEX('RSTO &gt; 48hrs'!$H$2:$H$134,MATCH(SUBSTITUTE($A227," SS","  SS"),'RSTO &gt; 48hrs'!$B$2:$B$134,0)),"NA"))</f>
        <v>NA</v>
      </c>
      <c r="H227" s="64" t="str">
        <f aca="false">IFERROR(INDEX('Recirculation &gt; 24 hrs'!$K$3:$K$151,MATCH($A227,'Recirculation &gt; 24 hrs'!$B$3:$B$151,0)),IFERROR(INDEX('Recirculation &gt; 24 hrs'!$K$3:$K$151,MATCH(SUBSTITUTE($A227," SS","  SS"),'Recirculation &gt; 24 hrs'!$B$3:$B$151,0)),"NA"))</f>
        <v>NA</v>
      </c>
      <c r="I227" s="64" t="n">
        <f aca="false">IFERROR(INDEX('Pending Putaway'!$E$2:$E$1537,MATCH($A227,'Pending Putaway'!$B$2:$B$1537,0)),IFERROR(INDEX('Pending Putaway'!$E$2:$E$1537,MATCH(SUBSTITUTE($A227," SS","  SS"),'Pending Putaway'!$B$2:$B$1537,0)),"NA"))</f>
        <v>0</v>
      </c>
      <c r="J227" s="64" t="n">
        <f aca="false">IFERROR(INDEX('Pending Putaway'!$L$2:$L$1537,MATCH($A227,'Pending Putaway'!$B$2:$B$1537,0)),IFERROR(INDEX('Pending Putaway'!$L$2:$L$1537,MATCH(SUBSTITUTE($A227," SS","  SS"),'Pending Putaway'!$B$2:$B$1537,0)),"NA"))</f>
        <v>0</v>
      </c>
    </row>
    <row r="228" customFormat="false" ht="15" hidden="false" customHeight="false" outlineLevel="0" collapsed="false">
      <c r="A228" s="63" t="s">
        <v>281</v>
      </c>
      <c r="B228" s="63" t="str">
        <f aca="false">IFERROR(INDEX('CLM &amp; IM Mapping'!$B$2:$B$270,MATCH($A228,'CLM &amp; IM Mapping'!$A$2:$A$270,0)),"Not Mapped")</f>
        <v>Vishnu V</v>
      </c>
      <c r="C228" s="63" t="str">
        <f aca="false">IFERROR(INDEX('CLM &amp; IM Mapping'!$C$2:$C$270,MATCH($A228,'CLM &amp; IM Mapping'!$A$2:$A$270,0)),"Not Mapped")</f>
        <v>Arivind S</v>
      </c>
      <c r="D228" s="64" t="n">
        <f aca="false">IFERROR(INDEX(Shrinkage!$P$2:$P$260,MATCH($A228,Shrinkage!$D$2:$D$260,0)),IFERROR(INDEX(Shrinkage!$P$2:$P$260,MATCH(SUBSTITUTE($A228," SS","  SS"),Shrinkage!$D$2:$D$260,0)),"NA"))</f>
        <v>11337</v>
      </c>
      <c r="E228" s="65" t="n">
        <f aca="false">IFERROR(INDEX('Inventory Hygiene'!$I$3:$I$254,MATCH($A228,'Inventory Hygiene'!$B$3:$B$254,0)),IFERROR(INDEX('Inventory Hygiene'!$I$3:$I$254,MATCH(SUBSTITUTE($A228," SS","  SS"),'Inventory Hygiene'!$B$3:$B$254,0)),"NA"))</f>
        <v>0.26</v>
      </c>
      <c r="F228" s="64" t="n">
        <f aca="false">IFERROR(INDEX('Bad Bins'!$K$3:$K$253,MATCH($A228,'Bad Bins'!$B$3:$B$253,0)),IFERROR(INDEX('Bad Bins'!$K$3:$K$253,MATCH(SUBSTITUTE($A228," SS","  SS"),'Bad Bins'!$B$3:$B$253,0)),"NA"))</f>
        <v>129</v>
      </c>
      <c r="G228" s="64" t="str">
        <f aca="false">IFERROR(INDEX('RSTO &gt; 48hrs'!$H$2:$H$134,MATCH($A228,'RSTO &gt; 48hrs'!$B$2:$B$134,0)),IFERROR(INDEX('RSTO &gt; 48hrs'!$H$2:$H$134,MATCH(SUBSTITUTE($A228," SS","  SS"),'RSTO &gt; 48hrs'!$B$2:$B$134,0)),"NA"))</f>
        <v>NA</v>
      </c>
      <c r="H228" s="64" t="str">
        <f aca="false">IFERROR(INDEX('Recirculation &gt; 24 hrs'!$K$3:$K$151,MATCH($A228,'Recirculation &gt; 24 hrs'!$B$3:$B$151,0)),IFERROR(INDEX('Recirculation &gt; 24 hrs'!$K$3:$K$151,MATCH(SUBSTITUTE($A228," SS","  SS"),'Recirculation &gt; 24 hrs'!$B$3:$B$151,0)),"NA"))</f>
        <v>NA</v>
      </c>
      <c r="I228" s="64" t="n">
        <f aca="false">IFERROR(INDEX('Pending Putaway'!$E$2:$E$1537,MATCH($A228,'Pending Putaway'!$B$2:$B$1537,0)),IFERROR(INDEX('Pending Putaway'!$E$2:$E$1537,MATCH(SUBSTITUTE($A228," SS","  SS"),'Pending Putaway'!$B$2:$B$1537,0)),"NA"))</f>
        <v>849</v>
      </c>
      <c r="J228" s="64" t="n">
        <f aca="false">IFERROR(INDEX('Pending Putaway'!$L$2:$L$1537,MATCH($A228,'Pending Putaway'!$B$2:$B$1537,0)),IFERROR(INDEX('Pending Putaway'!$L$2:$L$1537,MATCH(SUBSTITUTE($A228," SS","  SS"),'Pending Putaway'!$B$2:$B$1537,0)),"NA"))</f>
        <v>0</v>
      </c>
    </row>
    <row r="229" customFormat="false" ht="15" hidden="false" customHeight="false" outlineLevel="0" collapsed="false">
      <c r="A229" s="63" t="s">
        <v>255</v>
      </c>
      <c r="B229" s="63" t="str">
        <f aca="false">IFERROR(INDEX('CLM &amp; IM Mapping'!$B$2:$B$270,MATCH($A229,'CLM &amp; IM Mapping'!$A$2:$A$270,0)),"Not Mapped")</f>
        <v>Vishnu V</v>
      </c>
      <c r="C229" s="63" t="str">
        <f aca="false">IFERROR(INDEX('CLM &amp; IM Mapping'!$C$2:$C$270,MATCH($A229,'CLM &amp; IM Mapping'!$A$2:$A$270,0)),"Not Mapped")</f>
        <v>Arivind S</v>
      </c>
      <c r="D229" s="64" t="n">
        <f aca="false">IFERROR(INDEX(Shrinkage!$P$2:$P$260,MATCH($A229,Shrinkage!$D$2:$D$260,0)),IFERROR(INDEX(Shrinkage!$P$2:$P$260,MATCH(SUBSTITUTE($A229," SS","  SS"),Shrinkage!$D$2:$D$260,0)),"NA"))</f>
        <v>-8558</v>
      </c>
      <c r="E229" s="65" t="n">
        <f aca="false">IFERROR(INDEX('Inventory Hygiene'!$I$3:$I$254,MATCH($A229,'Inventory Hygiene'!$B$3:$B$254,0)),IFERROR(INDEX('Inventory Hygiene'!$I$3:$I$254,MATCH(SUBSTITUTE($A229," SS","  SS"),'Inventory Hygiene'!$B$3:$B$254,0)),"NA"))</f>
        <v>0.59</v>
      </c>
      <c r="F229" s="64" t="n">
        <f aca="false">IFERROR(INDEX('Bad Bins'!$K$3:$K$253,MATCH($A229,'Bad Bins'!$B$3:$B$253,0)),IFERROR(INDEX('Bad Bins'!$K$3:$K$253,MATCH(SUBSTITUTE($A229," SS","  SS"),'Bad Bins'!$B$3:$B$253,0)),"NA"))</f>
        <v>315</v>
      </c>
      <c r="G229" s="64" t="str">
        <f aca="false">IFERROR(INDEX('RSTO &gt; 48hrs'!$H$2:$H$134,MATCH($A229,'RSTO &gt; 48hrs'!$B$2:$B$134,0)),IFERROR(INDEX('RSTO &gt; 48hrs'!$H$2:$H$134,MATCH(SUBSTITUTE($A229," SS","  SS"),'RSTO &gt; 48hrs'!$B$2:$B$134,0)),"NA"))</f>
        <v>NA</v>
      </c>
      <c r="H229" s="64" t="str">
        <f aca="false">IFERROR(INDEX('Recirculation &gt; 24 hrs'!$K$3:$K$151,MATCH($A229,'Recirculation &gt; 24 hrs'!$B$3:$B$151,0)),IFERROR(INDEX('Recirculation &gt; 24 hrs'!$K$3:$K$151,MATCH(SUBSTITUTE($A229," SS","  SS"),'Recirculation &gt; 24 hrs'!$B$3:$B$151,0)),"NA"))</f>
        <v>NA</v>
      </c>
      <c r="I229" s="64" t="n">
        <f aca="false">IFERROR(INDEX('Pending Putaway'!$E$2:$E$1537,MATCH($A229,'Pending Putaway'!$B$2:$B$1537,0)),IFERROR(INDEX('Pending Putaway'!$E$2:$E$1537,MATCH(SUBSTITUTE($A229," SS","  SS"),'Pending Putaway'!$B$2:$B$1537,0)),"NA"))</f>
        <v>1212</v>
      </c>
      <c r="J229" s="64" t="n">
        <f aca="false">IFERROR(INDEX('Pending Putaway'!$L$2:$L$1537,MATCH($A229,'Pending Putaway'!$B$2:$B$1537,0)),IFERROR(INDEX('Pending Putaway'!$L$2:$L$1537,MATCH(SUBSTITUTE($A229," SS","  SS"),'Pending Putaway'!$B$2:$B$1537,0)),"NA"))</f>
        <v>1212</v>
      </c>
    </row>
    <row r="230" customFormat="false" ht="15" hidden="false" customHeight="false" outlineLevel="0" collapsed="false">
      <c r="A230" s="63" t="s">
        <v>52</v>
      </c>
      <c r="B230" s="63" t="str">
        <f aca="false">IFERROR(INDEX('CLM &amp; IM Mapping'!$B$2:$B$270,MATCH($A230,'CLM &amp; IM Mapping'!$A$2:$A$270,0)),"Not Mapped")</f>
        <v>Vishnu V</v>
      </c>
      <c r="C230" s="63" t="str">
        <f aca="false">IFERROR(INDEX('CLM &amp; IM Mapping'!$C$2:$C$270,MATCH($A230,'CLM &amp; IM Mapping'!$A$2:$A$270,0)),"Not Mapped")</f>
        <v>Arivind S</v>
      </c>
      <c r="D230" s="64" t="n">
        <f aca="false">IFERROR(INDEX(Shrinkage!$P$2:$P$260,MATCH($A230,Shrinkage!$D$2:$D$260,0)),IFERROR(INDEX(Shrinkage!$P$2:$P$260,MATCH(SUBSTITUTE($A230," SS","  SS"),Shrinkage!$D$2:$D$260,0)),"NA"))</f>
        <v>-3019</v>
      </c>
      <c r="E230" s="65" t="n">
        <f aca="false">IFERROR(INDEX('Inventory Hygiene'!$I$3:$I$254,MATCH($A230,'Inventory Hygiene'!$B$3:$B$254,0)),IFERROR(INDEX('Inventory Hygiene'!$I$3:$I$254,MATCH(SUBSTITUTE($A230," SS","  SS"),'Inventory Hygiene'!$B$3:$B$254,0)),"NA"))</f>
        <v>0.69</v>
      </c>
      <c r="F230" s="64" t="n">
        <f aca="false">IFERROR(INDEX('Bad Bins'!$K$3:$K$253,MATCH($A230,'Bad Bins'!$B$3:$B$253,0)),IFERROR(INDEX('Bad Bins'!$K$3:$K$253,MATCH(SUBSTITUTE($A230," SS","  SS"),'Bad Bins'!$B$3:$B$253,0)),"NA"))</f>
        <v>327</v>
      </c>
      <c r="G230" s="64" t="str">
        <f aca="false">IFERROR(INDEX('RSTO &gt; 48hrs'!$H$2:$H$134,MATCH($A230,'RSTO &gt; 48hrs'!$B$2:$B$134,0)),IFERROR(INDEX('RSTO &gt; 48hrs'!$H$2:$H$134,MATCH(SUBSTITUTE($A230," SS","  SS"),'RSTO &gt; 48hrs'!$B$2:$B$134,0)),"NA"))</f>
        <v>NA</v>
      </c>
      <c r="H230" s="64" t="str">
        <f aca="false">IFERROR(INDEX('Recirculation &gt; 24 hrs'!$K$3:$K$151,MATCH($A230,'Recirculation &gt; 24 hrs'!$B$3:$B$151,0)),IFERROR(INDEX('Recirculation &gt; 24 hrs'!$K$3:$K$151,MATCH(SUBSTITUTE($A230," SS","  SS"),'Recirculation &gt; 24 hrs'!$B$3:$B$151,0)),"NA"))</f>
        <v>NA</v>
      </c>
      <c r="I230" s="64" t="n">
        <f aca="false">IFERROR(INDEX('Pending Putaway'!$E$2:$E$1537,MATCH($A230,'Pending Putaway'!$B$2:$B$1537,0)),IFERROR(INDEX('Pending Putaway'!$E$2:$E$1537,MATCH(SUBSTITUTE($A230," SS","  SS"),'Pending Putaway'!$B$2:$B$1537,0)),"NA"))</f>
        <v>1554</v>
      </c>
      <c r="J230" s="64" t="n">
        <f aca="false">IFERROR(INDEX('Pending Putaway'!$L$2:$L$1537,MATCH($A230,'Pending Putaway'!$B$2:$B$1537,0)),IFERROR(INDEX('Pending Putaway'!$L$2:$L$1537,MATCH(SUBSTITUTE($A230," SS","  SS"),'Pending Putaway'!$B$2:$B$1537,0)),"NA"))</f>
        <v>1554</v>
      </c>
    </row>
    <row r="231" customFormat="false" ht="15" hidden="false" customHeight="false" outlineLevel="0" collapsed="false">
      <c r="A231" s="63" t="s">
        <v>45</v>
      </c>
      <c r="B231" s="63" t="str">
        <f aca="false">IFERROR(INDEX('CLM &amp; IM Mapping'!$B$2:$B$270,MATCH($A231,'CLM &amp; IM Mapping'!$A$2:$A$270,0)),"Not Mapped")</f>
        <v>Vishnu V</v>
      </c>
      <c r="C231" s="63" t="str">
        <f aca="false">IFERROR(INDEX('CLM &amp; IM Mapping'!$C$2:$C$270,MATCH($A231,'CLM &amp; IM Mapping'!$A$2:$A$270,0)),"Not Mapped")</f>
        <v>Arivind S</v>
      </c>
      <c r="D231" s="64" t="n">
        <f aca="false">IFERROR(INDEX(Shrinkage!$P$2:$P$260,MATCH($A231,Shrinkage!$D$2:$D$260,0)),IFERROR(INDEX(Shrinkage!$P$2:$P$260,MATCH(SUBSTITUTE($A231," SS","  SS"),Shrinkage!$D$2:$D$260,0)),"NA"))</f>
        <v>17382</v>
      </c>
      <c r="E231" s="65" t="n">
        <f aca="false">IFERROR(INDEX('Inventory Hygiene'!$I$3:$I$254,MATCH($A231,'Inventory Hygiene'!$B$3:$B$254,0)),IFERROR(INDEX('Inventory Hygiene'!$I$3:$I$254,MATCH(SUBSTITUTE($A231," SS","  SS"),'Inventory Hygiene'!$B$3:$B$254,0)),"NA"))</f>
        <v>0.12</v>
      </c>
      <c r="F231" s="64" t="n">
        <f aca="false">IFERROR(INDEX('Bad Bins'!$K$3:$K$253,MATCH($A231,'Bad Bins'!$B$3:$B$253,0)),IFERROR(INDEX('Bad Bins'!$K$3:$K$253,MATCH(SUBSTITUTE($A231," SS","  SS"),'Bad Bins'!$B$3:$B$253,0)),"NA"))</f>
        <v>37</v>
      </c>
      <c r="G231" s="64" t="str">
        <f aca="false">IFERROR(INDEX('RSTO &gt; 48hrs'!$H$2:$H$134,MATCH($A231,'RSTO &gt; 48hrs'!$B$2:$B$134,0)),IFERROR(INDEX('RSTO &gt; 48hrs'!$H$2:$H$134,MATCH(SUBSTITUTE($A231," SS","  SS"),'RSTO &gt; 48hrs'!$B$2:$B$134,0)),"NA"))</f>
        <v>NA</v>
      </c>
      <c r="H231" s="64" t="n">
        <f aca="false">IFERROR(INDEX('Recirculation &gt; 24 hrs'!$K$3:$K$151,MATCH($A231,'Recirculation &gt; 24 hrs'!$B$3:$B$151,0)),IFERROR(INDEX('Recirculation &gt; 24 hrs'!$K$3:$K$151,MATCH(SUBSTITUTE($A231," SS","  SS"),'Recirculation &gt; 24 hrs'!$B$3:$B$151,0)),"NA"))</f>
        <v>300</v>
      </c>
      <c r="I231" s="64" t="n">
        <f aca="false">IFERROR(INDEX('Pending Putaway'!$E$2:$E$1537,MATCH($A231,'Pending Putaway'!$B$2:$B$1537,0)),IFERROR(INDEX('Pending Putaway'!$E$2:$E$1537,MATCH(SUBSTITUTE($A231," SS","  SS"),'Pending Putaway'!$B$2:$B$1537,0)),"NA"))</f>
        <v>0</v>
      </c>
      <c r="J231" s="64" t="n">
        <f aca="false">IFERROR(INDEX('Pending Putaway'!$L$2:$L$1537,MATCH($A231,'Pending Putaway'!$B$2:$B$1537,0)),IFERROR(INDEX('Pending Putaway'!$L$2:$L$1537,MATCH(SUBSTITUTE($A231," SS","  SS"),'Pending Putaway'!$B$2:$B$1537,0)),"NA"))</f>
        <v>0</v>
      </c>
    </row>
    <row r="232" customFormat="false" ht="15" hidden="false" customHeight="false" outlineLevel="0" collapsed="false">
      <c r="A232" s="63" t="s">
        <v>89</v>
      </c>
      <c r="B232" s="63" t="str">
        <f aca="false">IFERROR(INDEX('CLM &amp; IM Mapping'!$B$2:$B$270,MATCH($A232,'CLM &amp; IM Mapping'!$A$2:$A$270,0)),"Not Mapped")</f>
        <v>Vishnu V</v>
      </c>
      <c r="C232" s="63" t="str">
        <f aca="false">IFERROR(INDEX('CLM &amp; IM Mapping'!$C$2:$C$270,MATCH($A232,'CLM &amp; IM Mapping'!$A$2:$A$270,0)),"Not Mapped")</f>
        <v>Arivind S</v>
      </c>
      <c r="D232" s="64" t="n">
        <f aca="false">IFERROR(INDEX(Shrinkage!$P$2:$P$260,MATCH($A232,Shrinkage!$D$2:$D$260,0)),IFERROR(INDEX(Shrinkage!$P$2:$P$260,MATCH(SUBSTITUTE($A232," SS","  SS"),Shrinkage!$D$2:$D$260,0)),"NA"))</f>
        <v>1049</v>
      </c>
      <c r="E232" s="65" t="n">
        <f aca="false">IFERROR(INDEX('Inventory Hygiene'!$I$3:$I$254,MATCH($A232,'Inventory Hygiene'!$B$3:$B$254,0)),IFERROR(INDEX('Inventory Hygiene'!$I$3:$I$254,MATCH(SUBSTITUTE($A232," SS","  SS"),'Inventory Hygiene'!$B$3:$B$254,0)),"NA"))</f>
        <v>0.56</v>
      </c>
      <c r="F232" s="64" t="n">
        <f aca="false">IFERROR(INDEX('Bad Bins'!$K$3:$K$253,MATCH($A232,'Bad Bins'!$B$3:$B$253,0)),IFERROR(INDEX('Bad Bins'!$K$3:$K$253,MATCH(SUBSTITUTE($A232," SS","  SS"),'Bad Bins'!$B$3:$B$253,0)),"NA"))</f>
        <v>108</v>
      </c>
      <c r="G232" s="64" t="str">
        <f aca="false">IFERROR(INDEX('RSTO &gt; 48hrs'!$H$2:$H$134,MATCH($A232,'RSTO &gt; 48hrs'!$B$2:$B$134,0)),IFERROR(INDEX('RSTO &gt; 48hrs'!$H$2:$H$134,MATCH(SUBSTITUTE($A232," SS","  SS"),'RSTO &gt; 48hrs'!$B$2:$B$134,0)),"NA"))</f>
        <v>NA</v>
      </c>
      <c r="H232" s="64" t="n">
        <f aca="false">IFERROR(INDEX('Recirculation &gt; 24 hrs'!$K$3:$K$151,MATCH($A232,'Recirculation &gt; 24 hrs'!$B$3:$B$151,0)),IFERROR(INDEX('Recirculation &gt; 24 hrs'!$K$3:$K$151,MATCH(SUBSTITUTE($A232," SS","  SS"),'Recirculation &gt; 24 hrs'!$B$3:$B$151,0)),"NA"))</f>
        <v>1</v>
      </c>
      <c r="I232" s="64" t="n">
        <f aca="false">IFERROR(INDEX('Pending Putaway'!$E$2:$E$1537,MATCH($A232,'Pending Putaway'!$B$2:$B$1537,0)),IFERROR(INDEX('Pending Putaway'!$E$2:$E$1537,MATCH(SUBSTITUTE($A232," SS","  SS"),'Pending Putaway'!$B$2:$B$1537,0)),"NA"))</f>
        <v>3</v>
      </c>
      <c r="J232" s="64" t="n">
        <f aca="false">IFERROR(INDEX('Pending Putaway'!$L$2:$L$1537,MATCH($A232,'Pending Putaway'!$B$2:$B$1537,0)),IFERROR(INDEX('Pending Putaway'!$L$2:$L$1537,MATCH(SUBSTITUTE($A232," SS","  SS"),'Pending Putaway'!$B$2:$B$1537,0)),"NA"))</f>
        <v>3</v>
      </c>
    </row>
    <row r="233" customFormat="false" ht="15" hidden="false" customHeight="false" outlineLevel="0" collapsed="false">
      <c r="A233" s="63" t="s">
        <v>267</v>
      </c>
      <c r="B233" s="63" t="str">
        <f aca="false">IFERROR(INDEX('CLM &amp; IM Mapping'!$B$2:$B$270,MATCH($A233,'CLM &amp; IM Mapping'!$A$2:$A$270,0)),"Not Mapped")</f>
        <v>Suhas N</v>
      </c>
      <c r="C233" s="63" t="str">
        <f aca="false">IFERROR(INDEX('CLM &amp; IM Mapping'!$C$2:$C$270,MATCH($A233,'CLM &amp; IM Mapping'!$A$2:$A$270,0)),"Not Mapped")</f>
        <v>Aravind S</v>
      </c>
      <c r="D233" s="64" t="n">
        <f aca="false">IFERROR(INDEX(Shrinkage!$P$2:$P$260,MATCH($A233,Shrinkage!$D$2:$D$260,0)),IFERROR(INDEX(Shrinkage!$P$2:$P$260,MATCH(SUBSTITUTE($A233," SS","  SS"),Shrinkage!$D$2:$D$260,0)),"NA"))</f>
        <v>-8110</v>
      </c>
      <c r="E233" s="65" t="n">
        <f aca="false">IFERROR(INDEX('Inventory Hygiene'!$I$3:$I$254,MATCH($A233,'Inventory Hygiene'!$B$3:$B$254,0)),IFERROR(INDEX('Inventory Hygiene'!$I$3:$I$254,MATCH(SUBSTITUTE($A233," SS","  SS"),'Inventory Hygiene'!$B$3:$B$254,0)),"NA"))</f>
        <v>0.7</v>
      </c>
      <c r="F233" s="64" t="n">
        <f aca="false">IFERROR(INDEX('Bad Bins'!$K$3:$K$253,MATCH($A233,'Bad Bins'!$B$3:$B$253,0)),IFERROR(INDEX('Bad Bins'!$K$3:$K$253,MATCH(SUBSTITUTE($A233," SS","  SS"),'Bad Bins'!$B$3:$B$253,0)),"NA"))</f>
        <v>79</v>
      </c>
      <c r="G233" s="64" t="n">
        <f aca="false">IFERROR(INDEX('RSTO &gt; 48hrs'!$H$2:$H$134,MATCH($A233,'RSTO &gt; 48hrs'!$B$2:$B$134,0)),IFERROR(INDEX('RSTO &gt; 48hrs'!$H$2:$H$134,MATCH(SUBSTITUTE($A233," SS","  SS"),'RSTO &gt; 48hrs'!$B$2:$B$134,0)),"NA"))</f>
        <v>47</v>
      </c>
      <c r="H233" s="64" t="str">
        <f aca="false">IFERROR(INDEX('Recirculation &gt; 24 hrs'!$K$3:$K$151,MATCH($A233,'Recirculation &gt; 24 hrs'!$B$3:$B$151,0)),IFERROR(INDEX('Recirculation &gt; 24 hrs'!$K$3:$K$151,MATCH(SUBSTITUTE($A233," SS","  SS"),'Recirculation &gt; 24 hrs'!$B$3:$B$151,0)),"NA"))</f>
        <v>NA</v>
      </c>
      <c r="I233" s="64" t="n">
        <f aca="false">IFERROR(INDEX('Pending Putaway'!$E$2:$E$1537,MATCH($A233,'Pending Putaway'!$B$2:$B$1537,0)),IFERROR(INDEX('Pending Putaway'!$E$2:$E$1537,MATCH(SUBSTITUTE($A233," SS","  SS"),'Pending Putaway'!$B$2:$B$1537,0)),"NA"))</f>
        <v>3438</v>
      </c>
      <c r="J233" s="64" t="n">
        <f aca="false">IFERROR(INDEX('Pending Putaway'!$L$2:$L$1537,MATCH($A233,'Pending Putaway'!$B$2:$B$1537,0)),IFERROR(INDEX('Pending Putaway'!$L$2:$L$1537,MATCH(SUBSTITUTE($A233," SS","  SS"),'Pending Putaway'!$B$2:$B$1537,0)),"NA"))</f>
        <v>3</v>
      </c>
    </row>
    <row r="234" customFormat="false" ht="15" hidden="false" customHeight="false" outlineLevel="0" collapsed="false">
      <c r="A234" s="63" t="s">
        <v>135</v>
      </c>
      <c r="B234" s="63" t="str">
        <f aca="false">IFERROR(INDEX('CLM &amp; IM Mapping'!$B$2:$B$270,MATCH($A234,'CLM &amp; IM Mapping'!$A$2:$A$270,0)),"Not Mapped")</f>
        <v>John Britto</v>
      </c>
      <c r="C234" s="63" t="str">
        <f aca="false">IFERROR(INDEX('CLM &amp; IM Mapping'!$C$2:$C$270,MATCH($A234,'CLM &amp; IM Mapping'!$A$2:$A$270,0)),"Not Mapped")</f>
        <v>Aravind S</v>
      </c>
      <c r="D234" s="64" t="n">
        <f aca="false">IFERROR(INDEX(Shrinkage!$P$2:$P$260,MATCH($A234,Shrinkage!$D$2:$D$260,0)),IFERROR(INDEX(Shrinkage!$P$2:$P$260,MATCH(SUBSTITUTE($A234," SS","  SS"),Shrinkage!$D$2:$D$260,0)),"NA"))</f>
        <v>1702</v>
      </c>
      <c r="E234" s="65" t="n">
        <f aca="false">IFERROR(INDEX('Inventory Hygiene'!$I$3:$I$254,MATCH($A234,'Inventory Hygiene'!$B$3:$B$254,0)),IFERROR(INDEX('Inventory Hygiene'!$I$3:$I$254,MATCH(SUBSTITUTE($A234," SS","  SS"),'Inventory Hygiene'!$B$3:$B$254,0)),"NA"))</f>
        <v>0.1</v>
      </c>
      <c r="F234" s="64" t="n">
        <f aca="false">IFERROR(INDEX('Bad Bins'!$K$3:$K$253,MATCH($A234,'Bad Bins'!$B$3:$B$253,0)),IFERROR(INDEX('Bad Bins'!$K$3:$K$253,MATCH(SUBSTITUTE($A234," SS","  SS"),'Bad Bins'!$B$3:$B$253,0)),"NA"))</f>
        <v>24</v>
      </c>
      <c r="G234" s="64" t="str">
        <f aca="false">IFERROR(INDEX('RSTO &gt; 48hrs'!$H$2:$H$134,MATCH($A234,'RSTO &gt; 48hrs'!$B$2:$B$134,0)),IFERROR(INDEX('RSTO &gt; 48hrs'!$H$2:$H$134,MATCH(SUBSTITUTE($A234," SS","  SS"),'RSTO &gt; 48hrs'!$B$2:$B$134,0)),"NA"))</f>
        <v>NA</v>
      </c>
      <c r="H234" s="64" t="n">
        <f aca="false">IFERROR(INDEX('Recirculation &gt; 24 hrs'!$K$3:$K$151,MATCH($A234,'Recirculation &gt; 24 hrs'!$B$3:$B$151,0)),IFERROR(INDEX('Recirculation &gt; 24 hrs'!$K$3:$K$151,MATCH(SUBSTITUTE($A234," SS","  SS"),'Recirculation &gt; 24 hrs'!$B$3:$B$151,0)),"NA"))</f>
        <v>1</v>
      </c>
      <c r="I234" s="64" t="n">
        <f aca="false">IFERROR(INDEX('Pending Putaway'!$E$2:$E$1537,MATCH($A234,'Pending Putaway'!$B$2:$B$1537,0)),IFERROR(INDEX('Pending Putaway'!$E$2:$E$1537,MATCH(SUBSTITUTE($A234," SS","  SS"),'Pending Putaway'!$B$2:$B$1537,0)),"NA"))</f>
        <v>0</v>
      </c>
      <c r="J234" s="64" t="n">
        <f aca="false">IFERROR(INDEX('Pending Putaway'!$L$2:$L$1537,MATCH($A234,'Pending Putaway'!$B$2:$B$1537,0)),IFERROR(INDEX('Pending Putaway'!$L$2:$L$1537,MATCH(SUBSTITUTE($A234," SS","  SS"),'Pending Putaway'!$B$2:$B$1537,0)),"NA"))</f>
        <v>0</v>
      </c>
    </row>
    <row r="235" customFormat="false" ht="15" hidden="false" customHeight="false" outlineLevel="0" collapsed="false">
      <c r="A235" s="63" t="s">
        <v>152</v>
      </c>
      <c r="B235" s="63" t="str">
        <f aca="false">IFERROR(INDEX('CLM &amp; IM Mapping'!$B$2:$B$270,MATCH($A235,'CLM &amp; IM Mapping'!$A$2:$A$270,0)),"Not Mapped")</f>
        <v>John Britto</v>
      </c>
      <c r="C235" s="63" t="str">
        <f aca="false">IFERROR(INDEX('CLM &amp; IM Mapping'!$C$2:$C$270,MATCH($A235,'CLM &amp; IM Mapping'!$A$2:$A$270,0)),"Not Mapped")</f>
        <v>Aravind S</v>
      </c>
      <c r="D235" s="64" t="n">
        <f aca="false">IFERROR(INDEX(Shrinkage!$P$2:$P$260,MATCH($A235,Shrinkage!$D$2:$D$260,0)),IFERROR(INDEX(Shrinkage!$P$2:$P$260,MATCH(SUBSTITUTE($A235," SS","  SS"),Shrinkage!$D$2:$D$260,0)),"NA"))</f>
        <v>-4958</v>
      </c>
      <c r="E235" s="65" t="n">
        <f aca="false">IFERROR(INDEX('Inventory Hygiene'!$I$3:$I$254,MATCH($A235,'Inventory Hygiene'!$B$3:$B$254,0)),IFERROR(INDEX('Inventory Hygiene'!$I$3:$I$254,MATCH(SUBSTITUTE($A235," SS","  SS"),'Inventory Hygiene'!$B$3:$B$254,0)),"NA"))</f>
        <v>0.27</v>
      </c>
      <c r="F235" s="64" t="n">
        <f aca="false">IFERROR(INDEX('Bad Bins'!$K$3:$K$253,MATCH($A235,'Bad Bins'!$B$3:$B$253,0)),IFERROR(INDEX('Bad Bins'!$K$3:$K$253,MATCH(SUBSTITUTE($A235," SS","  SS"),'Bad Bins'!$B$3:$B$253,0)),"NA"))</f>
        <v>308</v>
      </c>
      <c r="G235" s="64" t="str">
        <f aca="false">IFERROR(INDEX('RSTO &gt; 48hrs'!$H$2:$H$134,MATCH($A235,'RSTO &gt; 48hrs'!$B$2:$B$134,0)),IFERROR(INDEX('RSTO &gt; 48hrs'!$H$2:$H$134,MATCH(SUBSTITUTE($A235," SS","  SS"),'RSTO &gt; 48hrs'!$B$2:$B$134,0)),"NA"))</f>
        <v>NA</v>
      </c>
      <c r="H235" s="64" t="n">
        <f aca="false">IFERROR(INDEX('Recirculation &gt; 24 hrs'!$K$3:$K$151,MATCH($A235,'Recirculation &gt; 24 hrs'!$B$3:$B$151,0)),IFERROR(INDEX('Recirculation &gt; 24 hrs'!$K$3:$K$151,MATCH(SUBSTITUTE($A235," SS","  SS"),'Recirculation &gt; 24 hrs'!$B$3:$B$151,0)),"NA"))</f>
        <v>8</v>
      </c>
      <c r="I235" s="64" t="n">
        <f aca="false">IFERROR(INDEX('Pending Putaway'!$E$2:$E$1537,MATCH($A235,'Pending Putaway'!$B$2:$B$1537,0)),IFERROR(INDEX('Pending Putaway'!$E$2:$E$1537,MATCH(SUBSTITUTE($A235," SS","  SS"),'Pending Putaway'!$B$2:$B$1537,0)),"NA"))</f>
        <v>0</v>
      </c>
      <c r="J235" s="64" t="n">
        <f aca="false">IFERROR(INDEX('Pending Putaway'!$L$2:$L$1537,MATCH($A235,'Pending Putaway'!$B$2:$B$1537,0)),IFERROR(INDEX('Pending Putaway'!$L$2:$L$1537,MATCH(SUBSTITUTE($A235," SS","  SS"),'Pending Putaway'!$B$2:$B$1537,0)),"NA"))</f>
        <v>0</v>
      </c>
    </row>
    <row r="236" customFormat="false" ht="15" hidden="false" customHeight="false" outlineLevel="0" collapsed="false">
      <c r="A236" s="63" t="s">
        <v>88</v>
      </c>
      <c r="B236" s="63" t="str">
        <f aca="false">IFERROR(INDEX('CLM &amp; IM Mapping'!$B$2:$B$270,MATCH($A236,'CLM &amp; IM Mapping'!$A$2:$A$270,0)),"Not Mapped")</f>
        <v>John Britto</v>
      </c>
      <c r="C236" s="63" t="str">
        <f aca="false">IFERROR(INDEX('CLM &amp; IM Mapping'!$C$2:$C$270,MATCH($A236,'CLM &amp; IM Mapping'!$A$2:$A$270,0)),"Not Mapped")</f>
        <v>Aravind S</v>
      </c>
      <c r="D236" s="64" t="n">
        <f aca="false">IFERROR(INDEX(Shrinkage!$P$2:$P$260,MATCH($A236,Shrinkage!$D$2:$D$260,0)),IFERROR(INDEX(Shrinkage!$P$2:$P$260,MATCH(SUBSTITUTE($A236," SS","  SS"),Shrinkage!$D$2:$D$260,0)),"NA"))</f>
        <v>-7220</v>
      </c>
      <c r="E236" s="65" t="n">
        <f aca="false">IFERROR(INDEX('Inventory Hygiene'!$I$3:$I$254,MATCH($A236,'Inventory Hygiene'!$B$3:$B$254,0)),IFERROR(INDEX('Inventory Hygiene'!$I$3:$I$254,MATCH(SUBSTITUTE($A236," SS","  SS"),'Inventory Hygiene'!$B$3:$B$254,0)),"NA"))</f>
        <v>0.18</v>
      </c>
      <c r="F236" s="64" t="n">
        <f aca="false">IFERROR(INDEX('Bad Bins'!$K$3:$K$253,MATCH($A236,'Bad Bins'!$B$3:$B$253,0)),IFERROR(INDEX('Bad Bins'!$K$3:$K$253,MATCH(SUBSTITUTE($A236," SS","  SS"),'Bad Bins'!$B$3:$B$253,0)),"NA"))</f>
        <v>24</v>
      </c>
      <c r="G236" s="64" t="str">
        <f aca="false">IFERROR(INDEX('RSTO &gt; 48hrs'!$H$2:$H$134,MATCH($A236,'RSTO &gt; 48hrs'!$B$2:$B$134,0)),IFERROR(INDEX('RSTO &gt; 48hrs'!$H$2:$H$134,MATCH(SUBSTITUTE($A236," SS","  SS"),'RSTO &gt; 48hrs'!$B$2:$B$134,0)),"NA"))</f>
        <v>NA</v>
      </c>
      <c r="H236" s="64" t="str">
        <f aca="false">IFERROR(INDEX('Recirculation &gt; 24 hrs'!$K$3:$K$151,MATCH($A236,'Recirculation &gt; 24 hrs'!$B$3:$B$151,0)),IFERROR(INDEX('Recirculation &gt; 24 hrs'!$K$3:$K$151,MATCH(SUBSTITUTE($A236," SS","  SS"),'Recirculation &gt; 24 hrs'!$B$3:$B$151,0)),"NA"))</f>
        <v>NA</v>
      </c>
      <c r="I236" s="64" t="n">
        <f aca="false">IFERROR(INDEX('Pending Putaway'!$E$2:$E$1537,MATCH($A236,'Pending Putaway'!$B$2:$B$1537,0)),IFERROR(INDEX('Pending Putaway'!$E$2:$E$1537,MATCH(SUBSTITUTE($A236," SS","  SS"),'Pending Putaway'!$B$2:$B$1537,0)),"NA"))</f>
        <v>0</v>
      </c>
      <c r="J236" s="64" t="n">
        <f aca="false">IFERROR(INDEX('Pending Putaway'!$L$2:$L$1537,MATCH($A236,'Pending Putaway'!$B$2:$B$1537,0)),IFERROR(INDEX('Pending Putaway'!$L$2:$L$1537,MATCH(SUBSTITUTE($A236," SS","  SS"),'Pending Putaway'!$B$2:$B$1537,0)),"NA"))</f>
        <v>0</v>
      </c>
    </row>
    <row r="237" customFormat="false" ht="15" hidden="false" customHeight="false" outlineLevel="0" collapsed="false">
      <c r="A237" s="63" t="s">
        <v>217</v>
      </c>
      <c r="B237" s="63" t="str">
        <f aca="false">IFERROR(INDEX('CLM &amp; IM Mapping'!$B$2:$B$270,MATCH($A237,'CLM &amp; IM Mapping'!$A$2:$A$270,0)),"Not Mapped")</f>
        <v>John Britto</v>
      </c>
      <c r="C237" s="63" t="str">
        <f aca="false">IFERROR(INDEX('CLM &amp; IM Mapping'!$C$2:$C$270,MATCH($A237,'CLM &amp; IM Mapping'!$A$2:$A$270,0)),"Not Mapped")</f>
        <v>Aravind S</v>
      </c>
      <c r="D237" s="64" t="n">
        <f aca="false">IFERROR(INDEX(Shrinkage!$P$2:$P$260,MATCH($A237,Shrinkage!$D$2:$D$260,0)),IFERROR(INDEX(Shrinkage!$P$2:$P$260,MATCH(SUBSTITUTE($A237," SS","  SS"),Shrinkage!$D$2:$D$260,0)),"NA"))</f>
        <v>-9253</v>
      </c>
      <c r="E237" s="65" t="n">
        <f aca="false">IFERROR(INDEX('Inventory Hygiene'!$I$3:$I$254,MATCH($A237,'Inventory Hygiene'!$B$3:$B$254,0)),IFERROR(INDEX('Inventory Hygiene'!$I$3:$I$254,MATCH(SUBSTITUTE($A237," SS","  SS"),'Inventory Hygiene'!$B$3:$B$254,0)),"NA"))</f>
        <v>0.8</v>
      </c>
      <c r="F237" s="64" t="n">
        <f aca="false">IFERROR(INDEX('Bad Bins'!$K$3:$K$253,MATCH($A237,'Bad Bins'!$B$3:$B$253,0)),IFERROR(INDEX('Bad Bins'!$K$3:$K$253,MATCH(SUBSTITUTE($A237," SS","  SS"),'Bad Bins'!$B$3:$B$253,0)),"NA"))</f>
        <v>57</v>
      </c>
      <c r="G237" s="64" t="str">
        <f aca="false">IFERROR(INDEX('RSTO &gt; 48hrs'!$H$2:$H$134,MATCH($A237,'RSTO &gt; 48hrs'!$B$2:$B$134,0)),IFERROR(INDEX('RSTO &gt; 48hrs'!$H$2:$H$134,MATCH(SUBSTITUTE($A237," SS","  SS"),'RSTO &gt; 48hrs'!$B$2:$B$134,0)),"NA"))</f>
        <v>NA</v>
      </c>
      <c r="H237" s="64" t="str">
        <f aca="false">IFERROR(INDEX('Recirculation &gt; 24 hrs'!$K$3:$K$151,MATCH($A237,'Recirculation &gt; 24 hrs'!$B$3:$B$151,0)),IFERROR(INDEX('Recirculation &gt; 24 hrs'!$K$3:$K$151,MATCH(SUBSTITUTE($A237," SS","  SS"),'Recirculation &gt; 24 hrs'!$B$3:$B$151,0)),"NA"))</f>
        <v>NA</v>
      </c>
      <c r="I237" s="64" t="n">
        <f aca="false">IFERROR(INDEX('Pending Putaway'!$E$2:$E$1537,MATCH($A237,'Pending Putaway'!$B$2:$B$1537,0)),IFERROR(INDEX('Pending Putaway'!$E$2:$E$1537,MATCH(SUBSTITUTE($A237," SS","  SS"),'Pending Putaway'!$B$2:$B$1537,0)),"NA"))</f>
        <v>0</v>
      </c>
      <c r="J237" s="64" t="n">
        <f aca="false">IFERROR(INDEX('Pending Putaway'!$L$2:$L$1537,MATCH($A237,'Pending Putaway'!$B$2:$B$1537,0)),IFERROR(INDEX('Pending Putaway'!$L$2:$L$1537,MATCH(SUBSTITUTE($A237," SS","  SS"),'Pending Putaway'!$B$2:$B$1537,0)),"NA"))</f>
        <v>0</v>
      </c>
    </row>
    <row r="238" customFormat="false" ht="15" hidden="false" customHeight="false" outlineLevel="0" collapsed="false">
      <c r="A238" s="63" t="s">
        <v>259</v>
      </c>
      <c r="B238" s="63" t="str">
        <f aca="false">IFERROR(INDEX('CLM &amp; IM Mapping'!$B$2:$B$270,MATCH($A238,'CLM &amp; IM Mapping'!$A$2:$A$270,0)),"Not Mapped")</f>
        <v>John Britto</v>
      </c>
      <c r="C238" s="63" t="str">
        <f aca="false">IFERROR(INDEX('CLM &amp; IM Mapping'!$C$2:$C$270,MATCH($A238,'CLM &amp; IM Mapping'!$A$2:$A$270,0)),"Not Mapped")</f>
        <v>Aravind S</v>
      </c>
      <c r="D238" s="64" t="n">
        <f aca="false">IFERROR(INDEX(Shrinkage!$P$2:$P$260,MATCH($A238,Shrinkage!$D$2:$D$260,0)),IFERROR(INDEX(Shrinkage!$P$2:$P$260,MATCH(SUBSTITUTE($A238," SS","  SS"),Shrinkage!$D$2:$D$260,0)),"NA"))</f>
        <v>5501</v>
      </c>
      <c r="E238" s="65" t="n">
        <f aca="false">IFERROR(INDEX('Inventory Hygiene'!$I$3:$I$254,MATCH($A238,'Inventory Hygiene'!$B$3:$B$254,0)),IFERROR(INDEX('Inventory Hygiene'!$I$3:$I$254,MATCH(SUBSTITUTE($A238," SS","  SS"),'Inventory Hygiene'!$B$3:$B$254,0)),"NA"))</f>
        <v>0.39</v>
      </c>
      <c r="F238" s="64" t="n">
        <f aca="false">IFERROR(INDEX('Bad Bins'!$K$3:$K$253,MATCH($A238,'Bad Bins'!$B$3:$B$253,0)),IFERROR(INDEX('Bad Bins'!$K$3:$K$253,MATCH(SUBSTITUTE($A238," SS","  SS"),'Bad Bins'!$B$3:$B$253,0)),"NA"))</f>
        <v>367</v>
      </c>
      <c r="G238" s="64" t="str">
        <f aca="false">IFERROR(INDEX('RSTO &gt; 48hrs'!$H$2:$H$134,MATCH($A238,'RSTO &gt; 48hrs'!$B$2:$B$134,0)),IFERROR(INDEX('RSTO &gt; 48hrs'!$H$2:$H$134,MATCH(SUBSTITUTE($A238," SS","  SS"),'RSTO &gt; 48hrs'!$B$2:$B$134,0)),"NA"))</f>
        <v>NA</v>
      </c>
      <c r="H238" s="64" t="str">
        <f aca="false">IFERROR(INDEX('Recirculation &gt; 24 hrs'!$K$3:$K$151,MATCH($A238,'Recirculation &gt; 24 hrs'!$B$3:$B$151,0)),IFERROR(INDEX('Recirculation &gt; 24 hrs'!$K$3:$K$151,MATCH(SUBSTITUTE($A238," SS","  SS"),'Recirculation &gt; 24 hrs'!$B$3:$B$151,0)),"NA"))</f>
        <v>NA</v>
      </c>
      <c r="I238" s="64" t="n">
        <f aca="false">IFERROR(INDEX('Pending Putaway'!$E$2:$E$1537,MATCH($A238,'Pending Putaway'!$B$2:$B$1537,0)),IFERROR(INDEX('Pending Putaway'!$E$2:$E$1537,MATCH(SUBSTITUTE($A238," SS","  SS"),'Pending Putaway'!$B$2:$B$1537,0)),"NA"))</f>
        <v>2299</v>
      </c>
      <c r="J238" s="64" t="n">
        <f aca="false">IFERROR(INDEX('Pending Putaway'!$L$2:$L$1537,MATCH($A238,'Pending Putaway'!$B$2:$B$1537,0)),IFERROR(INDEX('Pending Putaway'!$L$2:$L$1537,MATCH(SUBSTITUTE($A238," SS","  SS"),'Pending Putaway'!$B$2:$B$1537,0)),"NA"))</f>
        <v>1028</v>
      </c>
    </row>
    <row r="239" customFormat="false" ht="15" hidden="false" customHeight="false" outlineLevel="0" collapsed="false">
      <c r="A239" s="63" t="s">
        <v>219</v>
      </c>
      <c r="B239" s="63" t="str">
        <f aca="false">IFERROR(INDEX('CLM &amp; IM Mapping'!$B$2:$B$270,MATCH($A239,'CLM &amp; IM Mapping'!$A$2:$A$270,0)),"Not Mapped")</f>
        <v>John Britto</v>
      </c>
      <c r="C239" s="63" t="str">
        <f aca="false">IFERROR(INDEX('CLM &amp; IM Mapping'!$C$2:$C$270,MATCH($A239,'CLM &amp; IM Mapping'!$A$2:$A$270,0)),"Not Mapped")</f>
        <v>Aravind S</v>
      </c>
      <c r="D239" s="64" t="n">
        <f aca="false">IFERROR(INDEX(Shrinkage!$P$2:$P$260,MATCH($A239,Shrinkage!$D$2:$D$260,0)),IFERROR(INDEX(Shrinkage!$P$2:$P$260,MATCH(SUBSTITUTE($A239," SS","  SS"),Shrinkage!$D$2:$D$260,0)),"NA"))</f>
        <v>-28487</v>
      </c>
      <c r="E239" s="65" t="n">
        <f aca="false">IFERROR(INDEX('Inventory Hygiene'!$I$3:$I$254,MATCH($A239,'Inventory Hygiene'!$B$3:$B$254,0)),IFERROR(INDEX('Inventory Hygiene'!$I$3:$I$254,MATCH(SUBSTITUTE($A239," SS","  SS"),'Inventory Hygiene'!$B$3:$B$254,0)),"NA"))</f>
        <v>0.79</v>
      </c>
      <c r="F239" s="64" t="n">
        <f aca="false">IFERROR(INDEX('Bad Bins'!$K$3:$K$253,MATCH($A239,'Bad Bins'!$B$3:$B$253,0)),IFERROR(INDEX('Bad Bins'!$K$3:$K$253,MATCH(SUBSTITUTE($A239," SS","  SS"),'Bad Bins'!$B$3:$B$253,0)),"NA"))</f>
        <v>168</v>
      </c>
      <c r="G239" s="64" t="str">
        <f aca="false">IFERROR(INDEX('RSTO &gt; 48hrs'!$H$2:$H$134,MATCH($A239,'RSTO &gt; 48hrs'!$B$2:$B$134,0)),IFERROR(INDEX('RSTO &gt; 48hrs'!$H$2:$H$134,MATCH(SUBSTITUTE($A239," SS","  SS"),'RSTO &gt; 48hrs'!$B$2:$B$134,0)),"NA"))</f>
        <v>NA</v>
      </c>
      <c r="H239" s="64" t="str">
        <f aca="false">IFERROR(INDEX('Recirculation &gt; 24 hrs'!$K$3:$K$151,MATCH($A239,'Recirculation &gt; 24 hrs'!$B$3:$B$151,0)),IFERROR(INDEX('Recirculation &gt; 24 hrs'!$K$3:$K$151,MATCH(SUBSTITUTE($A239," SS","  SS"),'Recirculation &gt; 24 hrs'!$B$3:$B$151,0)),"NA"))</f>
        <v>NA</v>
      </c>
      <c r="I239" s="64" t="n">
        <f aca="false">IFERROR(INDEX('Pending Putaway'!$E$2:$E$1537,MATCH($A239,'Pending Putaway'!$B$2:$B$1537,0)),IFERROR(INDEX('Pending Putaway'!$E$2:$E$1537,MATCH(SUBSTITUTE($A239," SS","  SS"),'Pending Putaway'!$B$2:$B$1537,0)),"NA"))</f>
        <v>285</v>
      </c>
      <c r="J239" s="64" t="n">
        <f aca="false">IFERROR(INDEX('Pending Putaway'!$L$2:$L$1537,MATCH($A239,'Pending Putaway'!$B$2:$B$1537,0)),IFERROR(INDEX('Pending Putaway'!$L$2:$L$1537,MATCH(SUBSTITUTE($A239," SS","  SS"),'Pending Putaway'!$B$2:$B$1537,0)),"NA"))</f>
        <v>285</v>
      </c>
    </row>
    <row r="240" customFormat="false" ht="15" hidden="false" customHeight="false" outlineLevel="0" collapsed="false">
      <c r="A240" s="63" t="s">
        <v>48</v>
      </c>
      <c r="B240" s="63" t="str">
        <f aca="false">IFERROR(INDEX('CLM &amp; IM Mapping'!$B$2:$B$270,MATCH($A240,'CLM &amp; IM Mapping'!$A$2:$A$270,0)),"Not Mapped")</f>
        <v>John Britto</v>
      </c>
      <c r="C240" s="63" t="str">
        <f aca="false">IFERROR(INDEX('CLM &amp; IM Mapping'!$C$2:$C$270,MATCH($A240,'CLM &amp; IM Mapping'!$A$2:$A$270,0)),"Not Mapped")</f>
        <v>Aravind S</v>
      </c>
      <c r="D240" s="64" t="n">
        <f aca="false">IFERROR(INDEX(Shrinkage!$P$2:$P$260,MATCH($A240,Shrinkage!$D$2:$D$260,0)),IFERROR(INDEX(Shrinkage!$P$2:$P$260,MATCH(SUBSTITUTE($A240," SS","  SS"),Shrinkage!$D$2:$D$260,0)),"NA"))</f>
        <v>4151</v>
      </c>
      <c r="E240" s="65" t="n">
        <f aca="false">IFERROR(INDEX('Inventory Hygiene'!$I$3:$I$254,MATCH($A240,'Inventory Hygiene'!$B$3:$B$254,0)),IFERROR(INDEX('Inventory Hygiene'!$I$3:$I$254,MATCH(SUBSTITUTE($A240," SS","  SS"),'Inventory Hygiene'!$B$3:$B$254,0)),"NA"))</f>
        <v>0.1</v>
      </c>
      <c r="F240" s="64" t="n">
        <f aca="false">IFERROR(INDEX('Bad Bins'!$K$3:$K$253,MATCH($A240,'Bad Bins'!$B$3:$B$253,0)),IFERROR(INDEX('Bad Bins'!$K$3:$K$253,MATCH(SUBSTITUTE($A240," SS","  SS"),'Bad Bins'!$B$3:$B$253,0)),"NA"))</f>
        <v>84</v>
      </c>
      <c r="G240" s="64" t="str">
        <f aca="false">IFERROR(INDEX('RSTO &gt; 48hrs'!$H$2:$H$134,MATCH($A240,'RSTO &gt; 48hrs'!$B$2:$B$134,0)),IFERROR(INDEX('RSTO &gt; 48hrs'!$H$2:$H$134,MATCH(SUBSTITUTE($A240," SS","  SS"),'RSTO &gt; 48hrs'!$B$2:$B$134,0)),"NA"))</f>
        <v>NA</v>
      </c>
      <c r="H240" s="64" t="str">
        <f aca="false">IFERROR(INDEX('Recirculation &gt; 24 hrs'!$K$3:$K$151,MATCH($A240,'Recirculation &gt; 24 hrs'!$B$3:$B$151,0)),IFERROR(INDEX('Recirculation &gt; 24 hrs'!$K$3:$K$151,MATCH(SUBSTITUTE($A240," SS","  SS"),'Recirculation &gt; 24 hrs'!$B$3:$B$151,0)),"NA"))</f>
        <v>NA</v>
      </c>
      <c r="I240" s="64" t="n">
        <f aca="false">IFERROR(INDEX('Pending Putaway'!$E$2:$E$1537,MATCH($A240,'Pending Putaway'!$B$2:$B$1537,0)),IFERROR(INDEX('Pending Putaway'!$E$2:$E$1537,MATCH(SUBSTITUTE($A240," SS","  SS"),'Pending Putaway'!$B$2:$B$1537,0)),"NA"))</f>
        <v>0</v>
      </c>
      <c r="J240" s="64" t="n">
        <f aca="false">IFERROR(INDEX('Pending Putaway'!$L$2:$L$1537,MATCH($A240,'Pending Putaway'!$B$2:$B$1537,0)),IFERROR(INDEX('Pending Putaway'!$L$2:$L$1537,MATCH(SUBSTITUTE($A240," SS","  SS"),'Pending Putaway'!$B$2:$B$1537,0)),"NA"))</f>
        <v>0</v>
      </c>
    </row>
    <row r="241" customFormat="false" ht="15" hidden="false" customHeight="false" outlineLevel="0" collapsed="false">
      <c r="A241" s="63" t="s">
        <v>250</v>
      </c>
      <c r="B241" s="63" t="str">
        <f aca="false">IFERROR(INDEX('CLM &amp; IM Mapping'!$B$2:$B$270,MATCH($A241,'CLM &amp; IM Mapping'!$A$2:$A$270,0)),"Not Mapped")</f>
        <v>John Britto</v>
      </c>
      <c r="C241" s="63" t="str">
        <f aca="false">IFERROR(INDEX('CLM &amp; IM Mapping'!$C$2:$C$270,MATCH($A241,'CLM &amp; IM Mapping'!$A$2:$A$270,0)),"Not Mapped")</f>
        <v>Aravind S</v>
      </c>
      <c r="D241" s="64" t="n">
        <f aca="false">IFERROR(INDEX(Shrinkage!$P$2:$P$260,MATCH($A241,Shrinkage!$D$2:$D$260,0)),IFERROR(INDEX(Shrinkage!$P$2:$P$260,MATCH(SUBSTITUTE($A241," SS","  SS"),Shrinkage!$D$2:$D$260,0)),"NA"))</f>
        <v>-1287</v>
      </c>
      <c r="E241" s="65" t="n">
        <f aca="false">IFERROR(INDEX('Inventory Hygiene'!$I$3:$I$254,MATCH($A241,'Inventory Hygiene'!$B$3:$B$254,0)),IFERROR(INDEX('Inventory Hygiene'!$I$3:$I$254,MATCH(SUBSTITUTE($A241," SS","  SS"),'Inventory Hygiene'!$B$3:$B$254,0)),"NA"))</f>
        <v>0.07</v>
      </c>
      <c r="F241" s="64" t="n">
        <f aca="false">IFERROR(INDEX('Bad Bins'!$K$3:$K$253,MATCH($A241,'Bad Bins'!$B$3:$B$253,0)),IFERROR(INDEX('Bad Bins'!$K$3:$K$253,MATCH(SUBSTITUTE($A241," SS","  SS"),'Bad Bins'!$B$3:$B$253,0)),"NA"))</f>
        <v>23</v>
      </c>
      <c r="G241" s="64" t="str">
        <f aca="false">IFERROR(INDEX('RSTO &gt; 48hrs'!$H$2:$H$134,MATCH($A241,'RSTO &gt; 48hrs'!$B$2:$B$134,0)),IFERROR(INDEX('RSTO &gt; 48hrs'!$H$2:$H$134,MATCH(SUBSTITUTE($A241," SS","  SS"),'RSTO &gt; 48hrs'!$B$2:$B$134,0)),"NA"))</f>
        <v>NA</v>
      </c>
      <c r="H241" s="64" t="str">
        <f aca="false">IFERROR(INDEX('Recirculation &gt; 24 hrs'!$K$3:$K$151,MATCH($A241,'Recirculation &gt; 24 hrs'!$B$3:$B$151,0)),IFERROR(INDEX('Recirculation &gt; 24 hrs'!$K$3:$K$151,MATCH(SUBSTITUTE($A241," SS","  SS"),'Recirculation &gt; 24 hrs'!$B$3:$B$151,0)),"NA"))</f>
        <v>NA</v>
      </c>
      <c r="I241" s="64" t="n">
        <f aca="false">IFERROR(INDEX('Pending Putaway'!$E$2:$E$1537,MATCH($A241,'Pending Putaway'!$B$2:$B$1537,0)),IFERROR(INDEX('Pending Putaway'!$E$2:$E$1537,MATCH(SUBSTITUTE($A241," SS","  SS"),'Pending Putaway'!$B$2:$B$1537,0)),"NA"))</f>
        <v>0</v>
      </c>
      <c r="J241" s="64" t="n">
        <f aca="false">IFERROR(INDEX('Pending Putaway'!$L$2:$L$1537,MATCH($A241,'Pending Putaway'!$B$2:$B$1537,0)),IFERROR(INDEX('Pending Putaway'!$L$2:$L$1537,MATCH(SUBSTITUTE($A241," SS","  SS"),'Pending Putaway'!$B$2:$B$1537,0)),"NA"))</f>
        <v>0</v>
      </c>
    </row>
    <row r="242" customFormat="false" ht="15" hidden="false" customHeight="false" outlineLevel="0" collapsed="false">
      <c r="A242" s="63" t="s">
        <v>170</v>
      </c>
      <c r="B242" s="63" t="str">
        <f aca="false">IFERROR(INDEX('CLM &amp; IM Mapping'!$B$2:$B$270,MATCH($A242,'CLM &amp; IM Mapping'!$A$2:$A$270,0)),"Not Mapped")</f>
        <v>John Britto</v>
      </c>
      <c r="C242" s="63" t="str">
        <f aca="false">IFERROR(INDEX('CLM &amp; IM Mapping'!$C$2:$C$270,MATCH($A242,'CLM &amp; IM Mapping'!$A$2:$A$270,0)),"Not Mapped")</f>
        <v>Aravind S</v>
      </c>
      <c r="D242" s="64" t="n">
        <f aca="false">IFERROR(INDEX(Shrinkage!$P$2:$P$260,MATCH($A242,Shrinkage!$D$2:$D$260,0)),IFERROR(INDEX(Shrinkage!$P$2:$P$260,MATCH(SUBSTITUTE($A242," SS","  SS"),Shrinkage!$D$2:$D$260,0)),"NA"))</f>
        <v>-2040</v>
      </c>
      <c r="E242" s="65" t="n">
        <f aca="false">IFERROR(INDEX('Inventory Hygiene'!$I$3:$I$254,MATCH($A242,'Inventory Hygiene'!$B$3:$B$254,0)),IFERROR(INDEX('Inventory Hygiene'!$I$3:$I$254,MATCH(SUBSTITUTE($A242," SS","  SS"),'Inventory Hygiene'!$B$3:$B$254,0)),"NA"))</f>
        <v>0.21</v>
      </c>
      <c r="F242" s="64" t="n">
        <f aca="false">IFERROR(INDEX('Bad Bins'!$K$3:$K$253,MATCH($A242,'Bad Bins'!$B$3:$B$253,0)),IFERROR(INDEX('Bad Bins'!$K$3:$K$253,MATCH(SUBSTITUTE($A242," SS","  SS"),'Bad Bins'!$B$3:$B$253,0)),"NA"))</f>
        <v>0</v>
      </c>
      <c r="G242" s="64" t="str">
        <f aca="false">IFERROR(INDEX('RSTO &gt; 48hrs'!$H$2:$H$134,MATCH($A242,'RSTO &gt; 48hrs'!$B$2:$B$134,0)),IFERROR(INDEX('RSTO &gt; 48hrs'!$H$2:$H$134,MATCH(SUBSTITUTE($A242," SS","  SS"),'RSTO &gt; 48hrs'!$B$2:$B$134,0)),"NA"))</f>
        <v>NA</v>
      </c>
      <c r="H242" s="64" t="str">
        <f aca="false">IFERROR(INDEX('Recirculation &gt; 24 hrs'!$K$3:$K$151,MATCH($A242,'Recirculation &gt; 24 hrs'!$B$3:$B$151,0)),IFERROR(INDEX('Recirculation &gt; 24 hrs'!$K$3:$K$151,MATCH(SUBSTITUTE($A242," SS","  SS"),'Recirculation &gt; 24 hrs'!$B$3:$B$151,0)),"NA"))</f>
        <v>NA</v>
      </c>
      <c r="I242" s="64" t="n">
        <f aca="false">IFERROR(INDEX('Pending Putaway'!$E$2:$E$1537,MATCH($A242,'Pending Putaway'!$B$2:$B$1537,0)),IFERROR(INDEX('Pending Putaway'!$E$2:$E$1537,MATCH(SUBSTITUTE($A242," SS","  SS"),'Pending Putaway'!$B$2:$B$1537,0)),"NA"))</f>
        <v>206</v>
      </c>
      <c r="J242" s="64" t="n">
        <f aca="false">IFERROR(INDEX('Pending Putaway'!$L$2:$L$1537,MATCH($A242,'Pending Putaway'!$B$2:$B$1537,0)),IFERROR(INDEX('Pending Putaway'!$L$2:$L$1537,MATCH(SUBSTITUTE($A242," SS","  SS"),'Pending Putaway'!$B$2:$B$1537,0)),"NA"))</f>
        <v>206</v>
      </c>
    </row>
    <row r="243" customFormat="false" ht="15" hidden="false" customHeight="false" outlineLevel="0" collapsed="false">
      <c r="A243" s="63" t="s">
        <v>148</v>
      </c>
      <c r="B243" s="63" t="str">
        <f aca="false">IFERROR(INDEX('CLM &amp; IM Mapping'!$B$2:$B$270,MATCH($A243,'CLM &amp; IM Mapping'!$A$2:$A$270,0)),"Not Mapped")</f>
        <v>Santhosha M</v>
      </c>
      <c r="C243" s="63" t="str">
        <f aca="false">IFERROR(INDEX('CLM &amp; IM Mapping'!$C$2:$C$270,MATCH($A243,'CLM &amp; IM Mapping'!$A$2:$A$270,0)),"Not Mapped")</f>
        <v>Aravind S</v>
      </c>
      <c r="D243" s="64" t="n">
        <f aca="false">IFERROR(INDEX(Shrinkage!$P$2:$P$260,MATCH($A243,Shrinkage!$D$2:$D$260,0)),IFERROR(INDEX(Shrinkage!$P$2:$P$260,MATCH(SUBSTITUTE($A243," SS","  SS"),Shrinkage!$D$2:$D$260,0)),"NA"))</f>
        <v>3391</v>
      </c>
      <c r="E243" s="65" t="n">
        <f aca="false">IFERROR(INDEX('Inventory Hygiene'!$I$3:$I$254,MATCH($A243,'Inventory Hygiene'!$B$3:$B$254,0)),IFERROR(INDEX('Inventory Hygiene'!$I$3:$I$254,MATCH(SUBSTITUTE($A243," SS","  SS"),'Inventory Hygiene'!$B$3:$B$254,0)),"NA"))</f>
        <v>0.83</v>
      </c>
      <c r="F243" s="64" t="n">
        <f aca="false">IFERROR(INDEX('Bad Bins'!$K$3:$K$253,MATCH($A243,'Bad Bins'!$B$3:$B$253,0)),IFERROR(INDEX('Bad Bins'!$K$3:$K$253,MATCH(SUBSTITUTE($A243," SS","  SS"),'Bad Bins'!$B$3:$B$253,0)),"NA"))</f>
        <v>10</v>
      </c>
      <c r="G243" s="64" t="n">
        <f aca="false">IFERROR(INDEX('RSTO &gt; 48hrs'!$H$2:$H$134,MATCH($A243,'RSTO &gt; 48hrs'!$B$2:$B$134,0)),IFERROR(INDEX('RSTO &gt; 48hrs'!$H$2:$H$134,MATCH(SUBSTITUTE($A243," SS","  SS"),'RSTO &gt; 48hrs'!$B$2:$B$134,0)),"NA"))</f>
        <v>11</v>
      </c>
      <c r="H243" s="64" t="n">
        <f aca="false">IFERROR(INDEX('Recirculation &gt; 24 hrs'!$K$3:$K$151,MATCH($A243,'Recirculation &gt; 24 hrs'!$B$3:$B$151,0)),IFERROR(INDEX('Recirculation &gt; 24 hrs'!$K$3:$K$151,MATCH(SUBSTITUTE($A243," SS","  SS"),'Recirculation &gt; 24 hrs'!$B$3:$B$151,0)),"NA"))</f>
        <v>1</v>
      </c>
      <c r="I243" s="64" t="n">
        <f aca="false">IFERROR(INDEX('Pending Putaway'!$E$2:$E$1537,MATCH($A243,'Pending Putaway'!$B$2:$B$1537,0)),IFERROR(INDEX('Pending Putaway'!$E$2:$E$1537,MATCH(SUBSTITUTE($A243," SS","  SS"),'Pending Putaway'!$B$2:$B$1537,0)),"NA"))</f>
        <v>3096</v>
      </c>
      <c r="J243" s="64" t="n">
        <f aca="false">IFERROR(INDEX('Pending Putaway'!$L$2:$L$1537,MATCH($A243,'Pending Putaway'!$B$2:$B$1537,0)),IFERROR(INDEX('Pending Putaway'!$L$2:$L$1537,MATCH(SUBSTITUTE($A243," SS","  SS"),'Pending Putaway'!$B$2:$B$1537,0)),"NA"))</f>
        <v>0</v>
      </c>
    </row>
    <row r="244" customFormat="false" ht="15" hidden="false" customHeight="false" outlineLevel="0" collapsed="false">
      <c r="A244" s="63" t="s">
        <v>172</v>
      </c>
      <c r="B244" s="63" t="str">
        <f aca="false">IFERROR(INDEX('CLM &amp; IM Mapping'!$B$2:$B$270,MATCH($A244,'CLM &amp; IM Mapping'!$A$2:$A$270,0)),"Not Mapped")</f>
        <v>Santhosha M</v>
      </c>
      <c r="C244" s="63" t="str">
        <f aca="false">IFERROR(INDEX('CLM &amp; IM Mapping'!$C$2:$C$270,MATCH($A244,'CLM &amp; IM Mapping'!$A$2:$A$270,0)),"Not Mapped")</f>
        <v>Aravind S</v>
      </c>
      <c r="D244" s="64" t="n">
        <f aca="false">IFERROR(INDEX(Shrinkage!$P$2:$P$260,MATCH($A244,Shrinkage!$D$2:$D$260,0)),IFERROR(INDEX(Shrinkage!$P$2:$P$260,MATCH(SUBSTITUTE($A244," SS","  SS"),Shrinkage!$D$2:$D$260,0)),"NA"))</f>
        <v>184</v>
      </c>
      <c r="E244" s="65" t="n">
        <f aca="false">IFERROR(INDEX('Inventory Hygiene'!$I$3:$I$254,MATCH($A244,'Inventory Hygiene'!$B$3:$B$254,0)),IFERROR(INDEX('Inventory Hygiene'!$I$3:$I$254,MATCH(SUBSTITUTE($A244," SS","  SS"),'Inventory Hygiene'!$B$3:$B$254,0)),"NA"))</f>
        <v>0.6</v>
      </c>
      <c r="F244" s="64" t="n">
        <f aca="false">IFERROR(INDEX('Bad Bins'!$K$3:$K$253,MATCH($A244,'Bad Bins'!$B$3:$B$253,0)),IFERROR(INDEX('Bad Bins'!$K$3:$K$253,MATCH(SUBSTITUTE($A244," SS","  SS"),'Bad Bins'!$B$3:$B$253,0)),"NA"))</f>
        <v>74</v>
      </c>
      <c r="G244" s="64" t="n">
        <f aca="false">IFERROR(INDEX('RSTO &gt; 48hrs'!$H$2:$H$134,MATCH($A244,'RSTO &gt; 48hrs'!$B$2:$B$134,0)),IFERROR(INDEX('RSTO &gt; 48hrs'!$H$2:$H$134,MATCH(SUBSTITUTE($A244," SS","  SS"),'RSTO &gt; 48hrs'!$B$2:$B$134,0)),"NA"))</f>
        <v>1</v>
      </c>
      <c r="H244" s="64" t="n">
        <f aca="false">IFERROR(INDEX('Recirculation &gt; 24 hrs'!$K$3:$K$151,MATCH($A244,'Recirculation &gt; 24 hrs'!$B$3:$B$151,0)),IFERROR(INDEX('Recirculation &gt; 24 hrs'!$K$3:$K$151,MATCH(SUBSTITUTE($A244," SS","  SS"),'Recirculation &gt; 24 hrs'!$B$3:$B$151,0)),"NA"))</f>
        <v>4</v>
      </c>
      <c r="I244" s="64" t="n">
        <f aca="false">IFERROR(INDEX('Pending Putaway'!$E$2:$E$1537,MATCH($A244,'Pending Putaway'!$B$2:$B$1537,0)),IFERROR(INDEX('Pending Putaway'!$E$2:$E$1537,MATCH(SUBSTITUTE($A244," SS","  SS"),'Pending Putaway'!$B$2:$B$1537,0)),"NA"))</f>
        <v>13</v>
      </c>
      <c r="J244" s="64" t="n">
        <f aca="false">IFERROR(INDEX('Pending Putaway'!$L$2:$L$1537,MATCH($A244,'Pending Putaway'!$B$2:$B$1537,0)),IFERROR(INDEX('Pending Putaway'!$L$2:$L$1537,MATCH(SUBSTITUTE($A244," SS","  SS"),'Pending Putaway'!$B$2:$B$1537,0)),"NA"))</f>
        <v>0</v>
      </c>
    </row>
    <row r="245" customFormat="false" ht="15" hidden="false" customHeight="false" outlineLevel="0" collapsed="false">
      <c r="A245" s="63" t="s">
        <v>269</v>
      </c>
      <c r="B245" s="63" t="str">
        <f aca="false">IFERROR(INDEX('CLM &amp; IM Mapping'!$B$2:$B$270,MATCH($A245,'CLM &amp; IM Mapping'!$A$2:$A$270,0)),"Not Mapped")</f>
        <v>Santhosha M</v>
      </c>
      <c r="C245" s="63" t="str">
        <f aca="false">IFERROR(INDEX('CLM &amp; IM Mapping'!$C$2:$C$270,MATCH($A245,'CLM &amp; IM Mapping'!$A$2:$A$270,0)),"Not Mapped")</f>
        <v>Aravind S</v>
      </c>
      <c r="D245" s="64" t="n">
        <f aca="false">IFERROR(INDEX(Shrinkage!$P$2:$P$260,MATCH($A245,Shrinkage!$D$2:$D$260,0)),IFERROR(INDEX(Shrinkage!$P$2:$P$260,MATCH(SUBSTITUTE($A245," SS","  SS"),Shrinkage!$D$2:$D$260,0)),"NA"))</f>
        <v>-4415</v>
      </c>
      <c r="E245" s="65" t="n">
        <f aca="false">IFERROR(INDEX('Inventory Hygiene'!$I$3:$I$254,MATCH($A245,'Inventory Hygiene'!$B$3:$B$254,0)),IFERROR(INDEX('Inventory Hygiene'!$I$3:$I$254,MATCH(SUBSTITUTE($A245," SS","  SS"),'Inventory Hygiene'!$B$3:$B$254,0)),"NA"))</f>
        <v>1</v>
      </c>
      <c r="F245" s="64" t="n">
        <f aca="false">IFERROR(INDEX('Bad Bins'!$K$3:$K$253,MATCH($A245,'Bad Bins'!$B$3:$B$253,0)),IFERROR(INDEX('Bad Bins'!$K$3:$K$253,MATCH(SUBSTITUTE($A245," SS","  SS"),'Bad Bins'!$B$3:$B$253,0)),"NA"))</f>
        <v>7</v>
      </c>
      <c r="G245" s="64" t="n">
        <f aca="false">IFERROR(INDEX('RSTO &gt; 48hrs'!$H$2:$H$134,MATCH($A245,'RSTO &gt; 48hrs'!$B$2:$B$134,0)),IFERROR(INDEX('RSTO &gt; 48hrs'!$H$2:$H$134,MATCH(SUBSTITUTE($A245," SS","  SS"),'RSTO &gt; 48hrs'!$B$2:$B$134,0)),"NA"))</f>
        <v>16</v>
      </c>
      <c r="H245" s="64" t="str">
        <f aca="false">IFERROR(INDEX('Recirculation &gt; 24 hrs'!$K$3:$K$151,MATCH($A245,'Recirculation &gt; 24 hrs'!$B$3:$B$151,0)),IFERROR(INDEX('Recirculation &gt; 24 hrs'!$K$3:$K$151,MATCH(SUBSTITUTE($A245," SS","  SS"),'Recirculation &gt; 24 hrs'!$B$3:$B$151,0)),"NA"))</f>
        <v>NA</v>
      </c>
      <c r="I245" s="64" t="n">
        <f aca="false">IFERROR(INDEX('Pending Putaway'!$E$2:$E$1537,MATCH($A245,'Pending Putaway'!$B$2:$B$1537,0)),IFERROR(INDEX('Pending Putaway'!$E$2:$E$1537,MATCH(SUBSTITUTE($A245," SS","  SS"),'Pending Putaway'!$B$2:$B$1537,0)),"NA"))</f>
        <v>429</v>
      </c>
      <c r="J245" s="64" t="n">
        <f aca="false">IFERROR(INDEX('Pending Putaway'!$L$2:$L$1537,MATCH($A245,'Pending Putaway'!$B$2:$B$1537,0)),IFERROR(INDEX('Pending Putaway'!$L$2:$L$1537,MATCH(SUBSTITUTE($A245," SS","  SS"),'Pending Putaway'!$B$2:$B$1537,0)),"NA"))</f>
        <v>0</v>
      </c>
    </row>
    <row r="246" customFormat="false" ht="15" hidden="false" customHeight="false" outlineLevel="0" collapsed="false">
      <c r="A246" s="63" t="s">
        <v>158</v>
      </c>
      <c r="B246" s="63" t="str">
        <f aca="false">IFERROR(INDEX('CLM &amp; IM Mapping'!$B$2:$B$270,MATCH($A246,'CLM &amp; IM Mapping'!$A$2:$A$270,0)),"Not Mapped")</f>
        <v>Santhosha M</v>
      </c>
      <c r="C246" s="63" t="str">
        <f aca="false">IFERROR(INDEX('CLM &amp; IM Mapping'!$C$2:$C$270,MATCH($A246,'CLM &amp; IM Mapping'!$A$2:$A$270,0)),"Not Mapped")</f>
        <v>Aravind S</v>
      </c>
      <c r="D246" s="64" t="n">
        <f aca="false">IFERROR(INDEX(Shrinkage!$P$2:$P$260,MATCH($A246,Shrinkage!$D$2:$D$260,0)),IFERROR(INDEX(Shrinkage!$P$2:$P$260,MATCH(SUBSTITUTE($A246," SS","  SS"),Shrinkage!$D$2:$D$260,0)),"NA"))</f>
        <v>-4930</v>
      </c>
      <c r="E246" s="65" t="n">
        <f aca="false">IFERROR(INDEX('Inventory Hygiene'!$I$3:$I$254,MATCH($A246,'Inventory Hygiene'!$B$3:$B$254,0)),IFERROR(INDEX('Inventory Hygiene'!$I$3:$I$254,MATCH(SUBSTITUTE($A246," SS","  SS"),'Inventory Hygiene'!$B$3:$B$254,0)),"NA"))</f>
        <v>0.97</v>
      </c>
      <c r="F246" s="64" t="n">
        <f aca="false">IFERROR(INDEX('Bad Bins'!$K$3:$K$253,MATCH($A246,'Bad Bins'!$B$3:$B$253,0)),IFERROR(INDEX('Bad Bins'!$K$3:$K$253,MATCH(SUBSTITUTE($A246," SS","  SS"),'Bad Bins'!$B$3:$B$253,0)),"NA"))</f>
        <v>53</v>
      </c>
      <c r="G246" s="64" t="n">
        <f aca="false">IFERROR(INDEX('RSTO &gt; 48hrs'!$H$2:$H$134,MATCH($A246,'RSTO &gt; 48hrs'!$B$2:$B$134,0)),IFERROR(INDEX('RSTO &gt; 48hrs'!$H$2:$H$134,MATCH(SUBSTITUTE($A246," SS","  SS"),'RSTO &gt; 48hrs'!$B$2:$B$134,0)),"NA"))</f>
        <v>7</v>
      </c>
      <c r="H246" s="64" t="str">
        <f aca="false">IFERROR(INDEX('Recirculation &gt; 24 hrs'!$K$3:$K$151,MATCH($A246,'Recirculation &gt; 24 hrs'!$B$3:$B$151,0)),IFERROR(INDEX('Recirculation &gt; 24 hrs'!$K$3:$K$151,MATCH(SUBSTITUTE($A246," SS","  SS"),'Recirculation &gt; 24 hrs'!$B$3:$B$151,0)),"NA"))</f>
        <v>NA</v>
      </c>
      <c r="I246" s="64" t="n">
        <f aca="false">IFERROR(INDEX('Pending Putaway'!$E$2:$E$1537,MATCH($A246,'Pending Putaway'!$B$2:$B$1537,0)),IFERROR(INDEX('Pending Putaway'!$E$2:$E$1537,MATCH(SUBSTITUTE($A246," SS","  SS"),'Pending Putaway'!$B$2:$B$1537,0)),"NA"))</f>
        <v>1499</v>
      </c>
      <c r="J246" s="64" t="n">
        <f aca="false">IFERROR(INDEX('Pending Putaway'!$L$2:$L$1537,MATCH($A246,'Pending Putaway'!$B$2:$B$1537,0)),IFERROR(INDEX('Pending Putaway'!$L$2:$L$1537,MATCH(SUBSTITUTE($A246," SS","  SS"),'Pending Putaway'!$B$2:$B$1537,0)),"NA"))</f>
        <v>0</v>
      </c>
    </row>
    <row r="247" customFormat="false" ht="15" hidden="false" customHeight="false" outlineLevel="0" collapsed="false">
      <c r="A247" s="63" t="s">
        <v>194</v>
      </c>
      <c r="B247" s="63" t="str">
        <f aca="false">IFERROR(INDEX('CLM &amp; IM Mapping'!$B$2:$B$270,MATCH($A247,'CLM &amp; IM Mapping'!$A$2:$A$270,0)),"Not Mapped")</f>
        <v>Santhosha M</v>
      </c>
      <c r="C247" s="63" t="str">
        <f aca="false">IFERROR(INDEX('CLM &amp; IM Mapping'!$C$2:$C$270,MATCH($A247,'CLM &amp; IM Mapping'!$A$2:$A$270,0)),"Not Mapped")</f>
        <v>Aravind S</v>
      </c>
      <c r="D247" s="64" t="n">
        <f aca="false">IFERROR(INDEX(Shrinkage!$P$2:$P$260,MATCH($A247,Shrinkage!$D$2:$D$260,0)),IFERROR(INDEX(Shrinkage!$P$2:$P$260,MATCH(SUBSTITUTE($A247," SS","  SS"),Shrinkage!$D$2:$D$260,0)),"NA"))</f>
        <v>-11844</v>
      </c>
      <c r="E247" s="65" t="n">
        <f aca="false">IFERROR(INDEX('Inventory Hygiene'!$I$3:$I$254,MATCH($A247,'Inventory Hygiene'!$B$3:$B$254,0)),IFERROR(INDEX('Inventory Hygiene'!$I$3:$I$254,MATCH(SUBSTITUTE($A247," SS","  SS"),'Inventory Hygiene'!$B$3:$B$254,0)),"NA"))</f>
        <v>1</v>
      </c>
      <c r="F247" s="64" t="n">
        <f aca="false">IFERROR(INDEX('Bad Bins'!$K$3:$K$253,MATCH($A247,'Bad Bins'!$B$3:$B$253,0)),IFERROR(INDEX('Bad Bins'!$K$3:$K$253,MATCH(SUBSTITUTE($A247," SS","  SS"),'Bad Bins'!$B$3:$B$253,0)),"NA"))</f>
        <v>139</v>
      </c>
      <c r="G247" s="64" t="str">
        <f aca="false">IFERROR(INDEX('RSTO &gt; 48hrs'!$H$2:$H$134,MATCH($A247,'RSTO &gt; 48hrs'!$B$2:$B$134,0)),IFERROR(INDEX('RSTO &gt; 48hrs'!$H$2:$H$134,MATCH(SUBSTITUTE($A247," SS","  SS"),'RSTO &gt; 48hrs'!$B$2:$B$134,0)),"NA"))</f>
        <v>NA</v>
      </c>
      <c r="H247" s="64" t="str">
        <f aca="false">IFERROR(INDEX('Recirculation &gt; 24 hrs'!$K$3:$K$151,MATCH($A247,'Recirculation &gt; 24 hrs'!$B$3:$B$151,0)),IFERROR(INDEX('Recirculation &gt; 24 hrs'!$K$3:$K$151,MATCH(SUBSTITUTE($A247," SS","  SS"),'Recirculation &gt; 24 hrs'!$B$3:$B$151,0)),"NA"))</f>
        <v>NA</v>
      </c>
      <c r="I247" s="64" t="n">
        <f aca="false">IFERROR(INDEX('Pending Putaway'!$E$2:$E$1537,MATCH($A247,'Pending Putaway'!$B$2:$B$1537,0)),IFERROR(INDEX('Pending Putaway'!$E$2:$E$1537,MATCH(SUBSTITUTE($A247," SS","  SS"),'Pending Putaway'!$B$2:$B$1537,0)),"NA"))</f>
        <v>0</v>
      </c>
      <c r="J247" s="64" t="n">
        <f aca="false">IFERROR(INDEX('Pending Putaway'!$L$2:$L$1537,MATCH($A247,'Pending Putaway'!$B$2:$B$1537,0)),IFERROR(INDEX('Pending Putaway'!$L$2:$L$1537,MATCH(SUBSTITUTE($A247," SS","  SS"),'Pending Putaway'!$B$2:$B$1537,0)),"NA"))</f>
        <v>0</v>
      </c>
    </row>
    <row r="248" customFormat="false" ht="15" hidden="false" customHeight="false" outlineLevel="0" collapsed="false">
      <c r="A248" s="63" t="s">
        <v>177</v>
      </c>
      <c r="B248" s="63" t="str">
        <f aca="false">IFERROR(INDEX('CLM &amp; IM Mapping'!$B$2:$B$270,MATCH($A248,'CLM &amp; IM Mapping'!$A$2:$A$270,0)),"Not Mapped")</f>
        <v>Santhosha M</v>
      </c>
      <c r="C248" s="63" t="str">
        <f aca="false">IFERROR(INDEX('CLM &amp; IM Mapping'!$C$2:$C$270,MATCH($A248,'CLM &amp; IM Mapping'!$A$2:$A$270,0)),"Not Mapped")</f>
        <v>Aravind S</v>
      </c>
      <c r="D248" s="64" t="n">
        <f aca="false">IFERROR(INDEX(Shrinkage!$P$2:$P$260,MATCH($A248,Shrinkage!$D$2:$D$260,0)),IFERROR(INDEX(Shrinkage!$P$2:$P$260,MATCH(SUBSTITUTE($A248," SS","  SS"),Shrinkage!$D$2:$D$260,0)),"NA"))</f>
        <v>8653</v>
      </c>
      <c r="E248" s="65" t="n">
        <f aca="false">IFERROR(INDEX('Inventory Hygiene'!$I$3:$I$254,MATCH($A248,'Inventory Hygiene'!$B$3:$B$254,0)),IFERROR(INDEX('Inventory Hygiene'!$I$3:$I$254,MATCH(SUBSTITUTE($A248," SS","  SS"),'Inventory Hygiene'!$B$3:$B$254,0)),"NA"))</f>
        <v>0.96</v>
      </c>
      <c r="F248" s="64" t="n">
        <f aca="false">IFERROR(INDEX('Bad Bins'!$K$3:$K$253,MATCH($A248,'Bad Bins'!$B$3:$B$253,0)),IFERROR(INDEX('Bad Bins'!$K$3:$K$253,MATCH(SUBSTITUTE($A248," SS","  SS"),'Bad Bins'!$B$3:$B$253,0)),"NA"))</f>
        <v>1</v>
      </c>
      <c r="G248" s="64" t="str">
        <f aca="false">IFERROR(INDEX('RSTO &gt; 48hrs'!$H$2:$H$134,MATCH($A248,'RSTO &gt; 48hrs'!$B$2:$B$134,0)),IFERROR(INDEX('RSTO &gt; 48hrs'!$H$2:$H$134,MATCH(SUBSTITUTE($A248," SS","  SS"),'RSTO &gt; 48hrs'!$B$2:$B$134,0)),"NA"))</f>
        <v>NA</v>
      </c>
      <c r="H248" s="64" t="n">
        <f aca="false">IFERROR(INDEX('Recirculation &gt; 24 hrs'!$K$3:$K$151,MATCH($A248,'Recirculation &gt; 24 hrs'!$B$3:$B$151,0)),IFERROR(INDEX('Recirculation &gt; 24 hrs'!$K$3:$K$151,MATCH(SUBSTITUTE($A248," SS","  SS"),'Recirculation &gt; 24 hrs'!$B$3:$B$151,0)),"NA"))</f>
        <v>7</v>
      </c>
      <c r="I248" s="64" t="n">
        <f aca="false">IFERROR(INDEX('Pending Putaway'!$E$2:$E$1537,MATCH($A248,'Pending Putaway'!$B$2:$B$1537,0)),IFERROR(INDEX('Pending Putaway'!$E$2:$E$1537,MATCH(SUBSTITUTE($A248," SS","  SS"),'Pending Putaway'!$B$2:$B$1537,0)),"NA"))</f>
        <v>4762</v>
      </c>
      <c r="J248" s="64" t="n">
        <f aca="false">IFERROR(INDEX('Pending Putaway'!$L$2:$L$1537,MATCH($A248,'Pending Putaway'!$B$2:$B$1537,0)),IFERROR(INDEX('Pending Putaway'!$L$2:$L$1537,MATCH(SUBSTITUTE($A248," SS","  SS"),'Pending Putaway'!$B$2:$B$1537,0)),"NA"))</f>
        <v>0</v>
      </c>
    </row>
    <row r="249" customFormat="false" ht="15" hidden="false" customHeight="false" outlineLevel="0" collapsed="false">
      <c r="A249" s="63" t="s">
        <v>32</v>
      </c>
      <c r="B249" s="63" t="str">
        <f aca="false">IFERROR(INDEX('CLM &amp; IM Mapping'!$B$2:$B$270,MATCH($A249,'CLM &amp; IM Mapping'!$A$2:$A$270,0)),"Not Mapped")</f>
        <v>Santhosha M</v>
      </c>
      <c r="C249" s="63" t="str">
        <f aca="false">IFERROR(INDEX('CLM &amp; IM Mapping'!$C$2:$C$270,MATCH($A249,'CLM &amp; IM Mapping'!$A$2:$A$270,0)),"Not Mapped")</f>
        <v>Aravind S</v>
      </c>
      <c r="D249" s="64" t="n">
        <f aca="false">IFERROR(INDEX(Shrinkage!$P$2:$P$260,MATCH($A249,Shrinkage!$D$2:$D$260,0)),IFERROR(INDEX(Shrinkage!$P$2:$P$260,MATCH(SUBSTITUTE($A249," SS","  SS"),Shrinkage!$D$2:$D$260,0)),"NA"))</f>
        <v>400</v>
      </c>
      <c r="E249" s="65" t="n">
        <f aca="false">IFERROR(INDEX('Inventory Hygiene'!$I$3:$I$254,MATCH($A249,'Inventory Hygiene'!$B$3:$B$254,0)),IFERROR(INDEX('Inventory Hygiene'!$I$3:$I$254,MATCH(SUBSTITUTE($A249," SS","  SS"),'Inventory Hygiene'!$B$3:$B$254,0)),"NA"))</f>
        <v>0.74</v>
      </c>
      <c r="F249" s="64" t="n">
        <f aca="false">IFERROR(INDEX('Bad Bins'!$K$3:$K$253,MATCH($A249,'Bad Bins'!$B$3:$B$253,0)),IFERROR(INDEX('Bad Bins'!$K$3:$K$253,MATCH(SUBSTITUTE($A249," SS","  SS"),'Bad Bins'!$B$3:$B$253,0)),"NA"))</f>
        <v>64</v>
      </c>
      <c r="G249" s="64" t="str">
        <f aca="false">IFERROR(INDEX('RSTO &gt; 48hrs'!$H$2:$H$134,MATCH($A249,'RSTO &gt; 48hrs'!$B$2:$B$134,0)),IFERROR(INDEX('RSTO &gt; 48hrs'!$H$2:$H$134,MATCH(SUBSTITUTE($A249," SS","  SS"),'RSTO &gt; 48hrs'!$B$2:$B$134,0)),"NA"))</f>
        <v>NA</v>
      </c>
      <c r="H249" s="64" t="n">
        <f aca="false">IFERROR(INDEX('Recirculation &gt; 24 hrs'!$K$3:$K$151,MATCH($A249,'Recirculation &gt; 24 hrs'!$B$3:$B$151,0)),IFERROR(INDEX('Recirculation &gt; 24 hrs'!$K$3:$K$151,MATCH(SUBSTITUTE($A249," SS","  SS"),'Recirculation &gt; 24 hrs'!$B$3:$B$151,0)),"NA"))</f>
        <v>2</v>
      </c>
      <c r="I249" s="64" t="n">
        <f aca="false">IFERROR(INDEX('Pending Putaway'!$E$2:$E$1537,MATCH($A249,'Pending Putaway'!$B$2:$B$1537,0)),IFERROR(INDEX('Pending Putaway'!$E$2:$E$1537,MATCH(SUBSTITUTE($A249," SS","  SS"),'Pending Putaway'!$B$2:$B$1537,0)),"NA"))</f>
        <v>3805</v>
      </c>
      <c r="J249" s="64" t="n">
        <f aca="false">IFERROR(INDEX('Pending Putaway'!$L$2:$L$1537,MATCH($A249,'Pending Putaway'!$B$2:$B$1537,0)),IFERROR(INDEX('Pending Putaway'!$L$2:$L$1537,MATCH(SUBSTITUTE($A249," SS","  SS"),'Pending Putaway'!$B$2:$B$1537,0)),"NA"))</f>
        <v>0</v>
      </c>
    </row>
    <row r="250" customFormat="false" ht="15" hidden="false" customHeight="false" outlineLevel="0" collapsed="false">
      <c r="A250" s="63" t="s">
        <v>282</v>
      </c>
      <c r="B250" s="63" t="str">
        <f aca="false">IFERROR(INDEX('CLM &amp; IM Mapping'!$B$2:$B$270,MATCH($A250,'CLM &amp; IM Mapping'!$A$2:$A$270,0)),"Not Mapped")</f>
        <v>Santhosha M</v>
      </c>
      <c r="C250" s="63" t="str">
        <f aca="false">IFERROR(INDEX('CLM &amp; IM Mapping'!$C$2:$C$270,MATCH($A250,'CLM &amp; IM Mapping'!$A$2:$A$270,0)),"Not Mapped")</f>
        <v>Aravind S</v>
      </c>
      <c r="D250" s="64" t="n">
        <f aca="false">IFERROR(INDEX(Shrinkage!$P$2:$P$260,MATCH($A250,Shrinkage!$D$2:$D$260,0)),IFERROR(INDEX(Shrinkage!$P$2:$P$260,MATCH(SUBSTITUTE($A250," SS","  SS"),Shrinkage!$D$2:$D$260,0)),"NA"))</f>
        <v>-6416</v>
      </c>
      <c r="E250" s="65" t="n">
        <f aca="false">IFERROR(INDEX('Inventory Hygiene'!$I$3:$I$254,MATCH($A250,'Inventory Hygiene'!$B$3:$B$254,0)),IFERROR(INDEX('Inventory Hygiene'!$I$3:$I$254,MATCH(SUBSTITUTE($A250," SS","  SS"),'Inventory Hygiene'!$B$3:$B$254,0)),"NA"))</f>
        <v>0.98</v>
      </c>
      <c r="F250" s="64" t="n">
        <f aca="false">IFERROR(INDEX('Bad Bins'!$K$3:$K$253,MATCH($A250,'Bad Bins'!$B$3:$B$253,0)),IFERROR(INDEX('Bad Bins'!$K$3:$K$253,MATCH(SUBSTITUTE($A250," SS","  SS"),'Bad Bins'!$B$3:$B$253,0)),"NA"))</f>
        <v>20</v>
      </c>
      <c r="G250" s="64" t="str">
        <f aca="false">IFERROR(INDEX('RSTO &gt; 48hrs'!$H$2:$H$134,MATCH($A250,'RSTO &gt; 48hrs'!$B$2:$B$134,0)),IFERROR(INDEX('RSTO &gt; 48hrs'!$H$2:$H$134,MATCH(SUBSTITUTE($A250," SS","  SS"),'RSTO &gt; 48hrs'!$B$2:$B$134,0)),"NA"))</f>
        <v>NA</v>
      </c>
      <c r="H250" s="64" t="n">
        <f aca="false">IFERROR(INDEX('Recirculation &gt; 24 hrs'!$K$3:$K$151,MATCH($A250,'Recirculation &gt; 24 hrs'!$B$3:$B$151,0)),IFERROR(INDEX('Recirculation &gt; 24 hrs'!$K$3:$K$151,MATCH(SUBSTITUTE($A250," SS","  SS"),'Recirculation &gt; 24 hrs'!$B$3:$B$151,0)),"NA"))</f>
        <v>496</v>
      </c>
      <c r="I250" s="64" t="n">
        <f aca="false">IFERROR(INDEX('Pending Putaway'!$E$2:$E$1537,MATCH($A250,'Pending Putaway'!$B$2:$B$1537,0)),IFERROR(INDEX('Pending Putaway'!$E$2:$E$1537,MATCH(SUBSTITUTE($A250," SS","  SS"),'Pending Putaway'!$B$2:$B$1537,0)),"NA"))</f>
        <v>0</v>
      </c>
      <c r="J250" s="64" t="n">
        <f aca="false">IFERROR(INDEX('Pending Putaway'!$L$2:$L$1537,MATCH($A250,'Pending Putaway'!$B$2:$B$1537,0)),IFERROR(INDEX('Pending Putaway'!$L$2:$L$1537,MATCH(SUBSTITUTE($A250," SS","  SS"),'Pending Putaway'!$B$2:$B$1537,0)),"NA"))</f>
        <v>0</v>
      </c>
    </row>
    <row r="251" customFormat="false" ht="15" hidden="false" customHeight="false" outlineLevel="0" collapsed="false">
      <c r="A251" s="63" t="s">
        <v>243</v>
      </c>
      <c r="B251" s="63" t="str">
        <f aca="false">IFERROR(INDEX('CLM &amp; IM Mapping'!$B$2:$B$270,MATCH($A251,'CLM &amp; IM Mapping'!$A$2:$A$270,0)),"Not Mapped")</f>
        <v>Santhosha M</v>
      </c>
      <c r="C251" s="63" t="str">
        <f aca="false">IFERROR(INDEX('CLM &amp; IM Mapping'!$C$2:$C$270,MATCH($A251,'CLM &amp; IM Mapping'!$A$2:$A$270,0)),"Not Mapped")</f>
        <v>Aravind S</v>
      </c>
      <c r="D251" s="64" t="n">
        <f aca="false">IFERROR(INDEX(Shrinkage!$P$2:$P$260,MATCH($A251,Shrinkage!$D$2:$D$260,0)),IFERROR(INDEX(Shrinkage!$P$2:$P$260,MATCH(SUBSTITUTE($A251," SS","  SS"),Shrinkage!$D$2:$D$260,0)),"NA"))</f>
        <v>-15536</v>
      </c>
      <c r="E251" s="65" t="n">
        <f aca="false">IFERROR(INDEX('Inventory Hygiene'!$I$3:$I$254,MATCH($A251,'Inventory Hygiene'!$B$3:$B$254,0)),IFERROR(INDEX('Inventory Hygiene'!$I$3:$I$254,MATCH(SUBSTITUTE($A251," SS","  SS"),'Inventory Hygiene'!$B$3:$B$254,0)),"NA"))</f>
        <v>1</v>
      </c>
      <c r="F251" s="64" t="n">
        <f aca="false">IFERROR(INDEX('Bad Bins'!$K$3:$K$253,MATCH($A251,'Bad Bins'!$B$3:$B$253,0)),IFERROR(INDEX('Bad Bins'!$K$3:$K$253,MATCH(SUBSTITUTE($A251," SS","  SS"),'Bad Bins'!$B$3:$B$253,0)),"NA"))</f>
        <v>26</v>
      </c>
      <c r="G251" s="64" t="str">
        <f aca="false">IFERROR(INDEX('RSTO &gt; 48hrs'!$H$2:$H$134,MATCH($A251,'RSTO &gt; 48hrs'!$B$2:$B$134,0)),IFERROR(INDEX('RSTO &gt; 48hrs'!$H$2:$H$134,MATCH(SUBSTITUTE($A251," SS","  SS"),'RSTO &gt; 48hrs'!$B$2:$B$134,0)),"NA"))</f>
        <v>NA</v>
      </c>
      <c r="H251" s="64" t="str">
        <f aca="false">IFERROR(INDEX('Recirculation &gt; 24 hrs'!$K$3:$K$151,MATCH($A251,'Recirculation &gt; 24 hrs'!$B$3:$B$151,0)),IFERROR(INDEX('Recirculation &gt; 24 hrs'!$K$3:$K$151,MATCH(SUBSTITUTE($A251," SS","  SS"),'Recirculation &gt; 24 hrs'!$B$3:$B$151,0)),"NA"))</f>
        <v>NA</v>
      </c>
      <c r="I251" s="64" t="n">
        <f aca="false">IFERROR(INDEX('Pending Putaway'!$E$2:$E$1537,MATCH($A251,'Pending Putaway'!$B$2:$B$1537,0)),IFERROR(INDEX('Pending Putaway'!$E$2:$E$1537,MATCH(SUBSTITUTE($A251," SS","  SS"),'Pending Putaway'!$B$2:$B$1537,0)),"NA"))</f>
        <v>0</v>
      </c>
      <c r="J251" s="64" t="n">
        <f aca="false">IFERROR(INDEX('Pending Putaway'!$L$2:$L$1537,MATCH($A251,'Pending Putaway'!$B$2:$B$1537,0)),IFERROR(INDEX('Pending Putaway'!$L$2:$L$1537,MATCH(SUBSTITUTE($A251," SS","  SS"),'Pending Putaway'!$B$2:$B$1537,0)),"NA"))</f>
        <v>0</v>
      </c>
    </row>
    <row r="252" customFormat="false" ht="15" hidden="false" customHeight="false" outlineLevel="0" collapsed="false">
      <c r="A252" s="63" t="s">
        <v>203</v>
      </c>
      <c r="B252" s="63" t="str">
        <f aca="false">IFERROR(INDEX('CLM &amp; IM Mapping'!$B$2:$B$270,MATCH($A252,'CLM &amp; IM Mapping'!$A$2:$A$270,0)),"Not Mapped")</f>
        <v>Suhas N</v>
      </c>
      <c r="C252" s="63" t="str">
        <f aca="false">IFERROR(INDEX('CLM &amp; IM Mapping'!$C$2:$C$270,MATCH($A252,'CLM &amp; IM Mapping'!$A$2:$A$270,0)),"Not Mapped")</f>
        <v>Aravind S</v>
      </c>
      <c r="D252" s="64" t="n">
        <f aca="false">IFERROR(INDEX(Shrinkage!$P$2:$P$260,MATCH($A252,Shrinkage!$D$2:$D$260,0)),IFERROR(INDEX(Shrinkage!$P$2:$P$260,MATCH(SUBSTITUTE($A252," SS","  SS"),Shrinkage!$D$2:$D$260,0)),"NA"))</f>
        <v>14693</v>
      </c>
      <c r="E252" s="65" t="n">
        <f aca="false">IFERROR(INDEX('Inventory Hygiene'!$I$3:$I$254,MATCH($A252,'Inventory Hygiene'!$B$3:$B$254,0)),IFERROR(INDEX('Inventory Hygiene'!$I$3:$I$254,MATCH(SUBSTITUTE($A252," SS","  SS"),'Inventory Hygiene'!$B$3:$B$254,0)),"NA"))</f>
        <v>0.37</v>
      </c>
      <c r="F252" s="64" t="n">
        <f aca="false">IFERROR(INDEX('Bad Bins'!$K$3:$K$253,MATCH($A252,'Bad Bins'!$B$3:$B$253,0)),IFERROR(INDEX('Bad Bins'!$K$3:$K$253,MATCH(SUBSTITUTE($A252," SS","  SS"),'Bad Bins'!$B$3:$B$253,0)),"NA"))</f>
        <v>54</v>
      </c>
      <c r="G252" s="64" t="n">
        <f aca="false">IFERROR(INDEX('RSTO &gt; 48hrs'!$H$2:$H$134,MATCH($A252,'RSTO &gt; 48hrs'!$B$2:$B$134,0)),IFERROR(INDEX('RSTO &gt; 48hrs'!$H$2:$H$134,MATCH(SUBSTITUTE($A252," SS","  SS"),'RSTO &gt; 48hrs'!$B$2:$B$134,0)),"NA"))</f>
        <v>97</v>
      </c>
      <c r="H252" s="64" t="n">
        <f aca="false">IFERROR(INDEX('Recirculation &gt; 24 hrs'!$K$3:$K$151,MATCH($A252,'Recirculation &gt; 24 hrs'!$B$3:$B$151,0)),IFERROR(INDEX('Recirculation &gt; 24 hrs'!$K$3:$K$151,MATCH(SUBSTITUTE($A252," SS","  SS"),'Recirculation &gt; 24 hrs'!$B$3:$B$151,0)),"NA"))</f>
        <v>3</v>
      </c>
      <c r="I252" s="64" t="n">
        <f aca="false">IFERROR(INDEX('Pending Putaway'!$E$2:$E$1537,MATCH($A252,'Pending Putaway'!$B$2:$B$1537,0)),IFERROR(INDEX('Pending Putaway'!$E$2:$E$1537,MATCH(SUBSTITUTE($A252," SS","  SS"),'Pending Putaway'!$B$2:$B$1537,0)),"NA"))</f>
        <v>3</v>
      </c>
      <c r="J252" s="64" t="n">
        <f aca="false">IFERROR(INDEX('Pending Putaway'!$L$2:$L$1537,MATCH($A252,'Pending Putaway'!$B$2:$B$1537,0)),IFERROR(INDEX('Pending Putaway'!$L$2:$L$1537,MATCH(SUBSTITUTE($A252," SS","  SS"),'Pending Putaway'!$B$2:$B$1537,0)),"NA"))</f>
        <v>0</v>
      </c>
    </row>
    <row r="253" customFormat="false" ht="15" hidden="false" customHeight="false" outlineLevel="0" collapsed="false">
      <c r="A253" s="63" t="s">
        <v>345</v>
      </c>
      <c r="B253" s="63" t="str">
        <f aca="false">IFERROR(INDEX('CLM &amp; IM Mapping'!$B$2:$B$270,MATCH($A253,'CLM &amp; IM Mapping'!$A$2:$A$270,0)),"Not Mapped")</f>
        <v>Suhas N</v>
      </c>
      <c r="C253" s="63" t="str">
        <f aca="false">IFERROR(INDEX('CLM &amp; IM Mapping'!$C$2:$C$270,MATCH($A253,'CLM &amp; IM Mapping'!$A$2:$A$270,0)),"Not Mapped")</f>
        <v>Aravind S</v>
      </c>
      <c r="D253" s="64" t="n">
        <f aca="false">IFERROR(INDEX(Shrinkage!$P$2:$P$260,MATCH($A253,Shrinkage!$D$2:$D$260,0)),IFERROR(INDEX(Shrinkage!$P$2:$P$260,MATCH(SUBSTITUTE($A253," SS","  SS"),Shrinkage!$D$2:$D$260,0)),"NA"))</f>
        <v>13576</v>
      </c>
      <c r="E253" s="65" t="n">
        <f aca="false">IFERROR(INDEX('Inventory Hygiene'!$I$3:$I$254,MATCH($A253,'Inventory Hygiene'!$B$3:$B$254,0)),IFERROR(INDEX('Inventory Hygiene'!$I$3:$I$254,MATCH(SUBSTITUTE($A253," SS","  SS"),'Inventory Hygiene'!$B$3:$B$254,0)),"NA"))</f>
        <v>0.56</v>
      </c>
      <c r="F253" s="64" t="n">
        <f aca="false">IFERROR(INDEX('Bad Bins'!$K$3:$K$253,MATCH($A253,'Bad Bins'!$B$3:$B$253,0)),IFERROR(INDEX('Bad Bins'!$K$3:$K$253,MATCH(SUBSTITUTE($A253," SS","  SS"),'Bad Bins'!$B$3:$B$253,0)),"NA"))</f>
        <v>57</v>
      </c>
      <c r="G253" s="64" t="str">
        <f aca="false">IFERROR(INDEX('RSTO &gt; 48hrs'!$H$2:$H$134,MATCH($A253,'RSTO &gt; 48hrs'!$B$2:$B$134,0)),IFERROR(INDEX('RSTO &gt; 48hrs'!$H$2:$H$134,MATCH(SUBSTITUTE($A253," SS","  SS"),'RSTO &gt; 48hrs'!$B$2:$B$134,0)),"NA"))</f>
        <v>NA</v>
      </c>
      <c r="H253" s="64" t="n">
        <f aca="false">IFERROR(INDEX('Recirculation &gt; 24 hrs'!$K$3:$K$151,MATCH($A253,'Recirculation &gt; 24 hrs'!$B$3:$B$151,0)),IFERROR(INDEX('Recirculation &gt; 24 hrs'!$K$3:$K$151,MATCH(SUBSTITUTE($A253," SS","  SS"),'Recirculation &gt; 24 hrs'!$B$3:$B$151,0)),"NA"))</f>
        <v>10</v>
      </c>
      <c r="I253" s="64" t="n">
        <f aca="false">IFERROR(INDEX('Pending Putaway'!$E$2:$E$1537,MATCH($A253,'Pending Putaway'!$B$2:$B$1537,0)),IFERROR(INDEX('Pending Putaway'!$E$2:$E$1537,MATCH(SUBSTITUTE($A253," SS","  SS"),'Pending Putaway'!$B$2:$B$1537,0)),"NA"))</f>
        <v>2175</v>
      </c>
      <c r="J253" s="64" t="n">
        <f aca="false">IFERROR(INDEX('Pending Putaway'!$L$2:$L$1537,MATCH($A253,'Pending Putaway'!$B$2:$B$1537,0)),IFERROR(INDEX('Pending Putaway'!$L$2:$L$1537,MATCH(SUBSTITUTE($A253," SS","  SS"),'Pending Putaway'!$B$2:$B$1537,0)),"NA"))</f>
        <v>2175</v>
      </c>
    </row>
    <row r="254" customFormat="false" ht="15" hidden="false" customHeight="false" outlineLevel="0" collapsed="false">
      <c r="A254" s="63" t="s">
        <v>254</v>
      </c>
      <c r="B254" s="63" t="str">
        <f aca="false">IFERROR(INDEX('CLM &amp; IM Mapping'!$B$2:$B$270,MATCH($A254,'CLM &amp; IM Mapping'!$A$2:$A$270,0)),"Not Mapped")</f>
        <v>Suhas N</v>
      </c>
      <c r="C254" s="63" t="str">
        <f aca="false">IFERROR(INDEX('CLM &amp; IM Mapping'!$C$2:$C$270,MATCH($A254,'CLM &amp; IM Mapping'!$A$2:$A$270,0)),"Not Mapped")</f>
        <v>Aravind S</v>
      </c>
      <c r="D254" s="64" t="n">
        <f aca="false">IFERROR(INDEX(Shrinkage!$P$2:$P$260,MATCH($A254,Shrinkage!$D$2:$D$260,0)),IFERROR(INDEX(Shrinkage!$P$2:$P$260,MATCH(SUBSTITUTE($A254," SS","  SS"),Shrinkage!$D$2:$D$260,0)),"NA"))</f>
        <v>-42812</v>
      </c>
      <c r="E254" s="65" t="n">
        <f aca="false">IFERROR(INDEX('Inventory Hygiene'!$I$3:$I$254,MATCH($A254,'Inventory Hygiene'!$B$3:$B$254,0)),IFERROR(INDEX('Inventory Hygiene'!$I$3:$I$254,MATCH(SUBSTITUTE($A254," SS","  SS"),'Inventory Hygiene'!$B$3:$B$254,0)),"NA"))</f>
        <v>0.88</v>
      </c>
      <c r="F254" s="64" t="n">
        <f aca="false">IFERROR(INDEX('Bad Bins'!$K$3:$K$253,MATCH($A254,'Bad Bins'!$B$3:$B$253,0)),IFERROR(INDEX('Bad Bins'!$K$3:$K$253,MATCH(SUBSTITUTE($A254," SS","  SS"),'Bad Bins'!$B$3:$B$253,0)),"NA"))</f>
        <v>38</v>
      </c>
      <c r="G254" s="64" t="n">
        <f aca="false">IFERROR(INDEX('RSTO &gt; 48hrs'!$H$2:$H$134,MATCH($A254,'RSTO &gt; 48hrs'!$B$2:$B$134,0)),IFERROR(INDEX('RSTO &gt; 48hrs'!$H$2:$H$134,MATCH(SUBSTITUTE($A254," SS","  SS"),'RSTO &gt; 48hrs'!$B$2:$B$134,0)),"NA"))</f>
        <v>4</v>
      </c>
      <c r="H254" s="64" t="n">
        <f aca="false">IFERROR(INDEX('Recirculation &gt; 24 hrs'!$K$3:$K$151,MATCH($A254,'Recirculation &gt; 24 hrs'!$B$3:$B$151,0)),IFERROR(INDEX('Recirculation &gt; 24 hrs'!$K$3:$K$151,MATCH(SUBSTITUTE($A254," SS","  SS"),'Recirculation &gt; 24 hrs'!$B$3:$B$151,0)),"NA"))</f>
        <v>1117</v>
      </c>
      <c r="I254" s="64" t="n">
        <f aca="false">IFERROR(INDEX('Pending Putaway'!$E$2:$E$1537,MATCH($A254,'Pending Putaway'!$B$2:$B$1537,0)),IFERROR(INDEX('Pending Putaway'!$E$2:$E$1537,MATCH(SUBSTITUTE($A254," SS","  SS"),'Pending Putaway'!$B$2:$B$1537,0)),"NA"))</f>
        <v>0</v>
      </c>
      <c r="J254" s="64" t="n">
        <f aca="false">IFERROR(INDEX('Pending Putaway'!$L$2:$L$1537,MATCH($A254,'Pending Putaway'!$B$2:$B$1537,0)),IFERROR(INDEX('Pending Putaway'!$L$2:$L$1537,MATCH(SUBSTITUTE($A254," SS","  SS"),'Pending Putaway'!$B$2:$B$1537,0)),"NA"))</f>
        <v>0</v>
      </c>
    </row>
    <row r="255" customFormat="false" ht="15" hidden="false" customHeight="false" outlineLevel="0" collapsed="false">
      <c r="A255" s="63" t="s">
        <v>26</v>
      </c>
      <c r="B255" s="63" t="str">
        <f aca="false">IFERROR(INDEX('CLM &amp; IM Mapping'!$B$2:$B$270,MATCH($A255,'CLM &amp; IM Mapping'!$A$2:$A$270,0)),"Not Mapped")</f>
        <v>Suhas N</v>
      </c>
      <c r="C255" s="63" t="str">
        <f aca="false">IFERROR(INDEX('CLM &amp; IM Mapping'!$C$2:$C$270,MATCH($A255,'CLM &amp; IM Mapping'!$A$2:$A$270,0)),"Not Mapped")</f>
        <v>Aravind S</v>
      </c>
      <c r="D255" s="64" t="n">
        <f aca="false">IFERROR(INDEX(Shrinkage!$P$2:$P$260,MATCH($A255,Shrinkage!$D$2:$D$260,0)),IFERROR(INDEX(Shrinkage!$P$2:$P$260,MATCH(SUBSTITUTE($A255," SS","  SS"),Shrinkage!$D$2:$D$260,0)),"NA"))</f>
        <v>-7805</v>
      </c>
      <c r="E255" s="65" t="n">
        <f aca="false">IFERROR(INDEX('Inventory Hygiene'!$I$3:$I$254,MATCH($A255,'Inventory Hygiene'!$B$3:$B$254,0)),IFERROR(INDEX('Inventory Hygiene'!$I$3:$I$254,MATCH(SUBSTITUTE($A255," SS","  SS"),'Inventory Hygiene'!$B$3:$B$254,0)),"NA"))</f>
        <v>0.62</v>
      </c>
      <c r="F255" s="64" t="n">
        <f aca="false">IFERROR(INDEX('Bad Bins'!$K$3:$K$253,MATCH($A255,'Bad Bins'!$B$3:$B$253,0)),IFERROR(INDEX('Bad Bins'!$K$3:$K$253,MATCH(SUBSTITUTE($A255," SS","  SS"),'Bad Bins'!$B$3:$B$253,0)),"NA"))</f>
        <v>445</v>
      </c>
      <c r="G255" s="64" t="n">
        <f aca="false">IFERROR(INDEX('RSTO &gt; 48hrs'!$H$2:$H$134,MATCH($A255,'RSTO &gt; 48hrs'!$B$2:$B$134,0)),IFERROR(INDEX('RSTO &gt; 48hrs'!$H$2:$H$134,MATCH(SUBSTITUTE($A255," SS","  SS"),'RSTO &gt; 48hrs'!$B$2:$B$134,0)),"NA"))</f>
        <v>10</v>
      </c>
      <c r="H255" s="64" t="n">
        <f aca="false">IFERROR(INDEX('Recirculation &gt; 24 hrs'!$K$3:$K$151,MATCH($A255,'Recirculation &gt; 24 hrs'!$B$3:$B$151,0)),IFERROR(INDEX('Recirculation &gt; 24 hrs'!$K$3:$K$151,MATCH(SUBSTITUTE($A255," SS","  SS"),'Recirculation &gt; 24 hrs'!$B$3:$B$151,0)),"NA"))</f>
        <v>17</v>
      </c>
      <c r="I255" s="64" t="n">
        <f aca="false">IFERROR(INDEX('Pending Putaway'!$E$2:$E$1537,MATCH($A255,'Pending Putaway'!$B$2:$B$1537,0)),IFERROR(INDEX('Pending Putaway'!$E$2:$E$1537,MATCH(SUBSTITUTE($A255," SS","  SS"),'Pending Putaway'!$B$2:$B$1537,0)),"NA"))</f>
        <v>1581</v>
      </c>
      <c r="J255" s="64" t="n">
        <f aca="false">IFERROR(INDEX('Pending Putaway'!$L$2:$L$1537,MATCH($A255,'Pending Putaway'!$B$2:$B$1537,0)),IFERROR(INDEX('Pending Putaway'!$L$2:$L$1537,MATCH(SUBSTITUTE($A255," SS","  SS"),'Pending Putaway'!$B$2:$B$1537,0)),"NA"))</f>
        <v>0</v>
      </c>
    </row>
    <row r="256" customFormat="false" ht="15" hidden="false" customHeight="false" outlineLevel="0" collapsed="false">
      <c r="A256" s="63" t="s">
        <v>110</v>
      </c>
      <c r="B256" s="63" t="str">
        <f aca="false">IFERROR(INDEX('CLM &amp; IM Mapping'!$B$2:$B$270,MATCH($A256,'CLM &amp; IM Mapping'!$A$2:$A$270,0)),"Not Mapped")</f>
        <v>Suhas N</v>
      </c>
      <c r="C256" s="63" t="str">
        <f aca="false">IFERROR(INDEX('CLM &amp; IM Mapping'!$C$2:$C$270,MATCH($A256,'CLM &amp; IM Mapping'!$A$2:$A$270,0)),"Not Mapped")</f>
        <v>Aravind S</v>
      </c>
      <c r="D256" s="64" t="n">
        <f aca="false">IFERROR(INDEX(Shrinkage!$P$2:$P$260,MATCH($A256,Shrinkage!$D$2:$D$260,0)),IFERROR(INDEX(Shrinkage!$P$2:$P$260,MATCH(SUBSTITUTE($A256," SS","  SS"),Shrinkage!$D$2:$D$260,0)),"NA"))</f>
        <v>15527</v>
      </c>
      <c r="E256" s="65" t="n">
        <f aca="false">IFERROR(INDEX('Inventory Hygiene'!$I$3:$I$254,MATCH($A256,'Inventory Hygiene'!$B$3:$B$254,0)),IFERROR(INDEX('Inventory Hygiene'!$I$3:$I$254,MATCH(SUBSTITUTE($A256," SS","  SS"),'Inventory Hygiene'!$B$3:$B$254,0)),"NA"))</f>
        <v>0.25</v>
      </c>
      <c r="F256" s="64" t="n">
        <f aca="false">IFERROR(INDEX('Bad Bins'!$K$3:$K$253,MATCH($A256,'Bad Bins'!$B$3:$B$253,0)),IFERROR(INDEX('Bad Bins'!$K$3:$K$253,MATCH(SUBSTITUTE($A256," SS","  SS"),'Bad Bins'!$B$3:$B$253,0)),"NA"))</f>
        <v>50</v>
      </c>
      <c r="G256" s="64" t="str">
        <f aca="false">IFERROR(INDEX('RSTO &gt; 48hrs'!$H$2:$H$134,MATCH($A256,'RSTO &gt; 48hrs'!$B$2:$B$134,0)),IFERROR(INDEX('RSTO &gt; 48hrs'!$H$2:$H$134,MATCH(SUBSTITUTE($A256," SS","  SS"),'RSTO &gt; 48hrs'!$B$2:$B$134,0)),"NA"))</f>
        <v>NA</v>
      </c>
      <c r="H256" s="64" t="n">
        <f aca="false">IFERROR(INDEX('Recirculation &gt; 24 hrs'!$K$3:$K$151,MATCH($A256,'Recirculation &gt; 24 hrs'!$B$3:$B$151,0)),IFERROR(INDEX('Recirculation &gt; 24 hrs'!$K$3:$K$151,MATCH(SUBSTITUTE($A256," SS","  SS"),'Recirculation &gt; 24 hrs'!$B$3:$B$151,0)),"NA"))</f>
        <v>20</v>
      </c>
      <c r="I256" s="64" t="n">
        <f aca="false">IFERROR(INDEX('Pending Putaway'!$E$2:$E$1537,MATCH($A256,'Pending Putaway'!$B$2:$B$1537,0)),IFERROR(INDEX('Pending Putaway'!$E$2:$E$1537,MATCH(SUBSTITUTE($A256," SS","  SS"),'Pending Putaway'!$B$2:$B$1537,0)),"NA"))</f>
        <v>7</v>
      </c>
      <c r="J256" s="64" t="n">
        <f aca="false">IFERROR(INDEX('Pending Putaway'!$L$2:$L$1537,MATCH($A256,'Pending Putaway'!$B$2:$B$1537,0)),IFERROR(INDEX('Pending Putaway'!$L$2:$L$1537,MATCH(SUBSTITUTE($A256," SS","  SS"),'Pending Putaway'!$B$2:$B$1537,0)),"NA"))</f>
        <v>7</v>
      </c>
    </row>
    <row r="257" customFormat="false" ht="15" hidden="false" customHeight="false" outlineLevel="0" collapsed="false">
      <c r="A257" s="63" t="s">
        <v>223</v>
      </c>
      <c r="B257" s="63" t="str">
        <f aca="false">IFERROR(INDEX('CLM &amp; IM Mapping'!$B$2:$B$270,MATCH($A257,'CLM &amp; IM Mapping'!$A$2:$A$270,0)),"Not Mapped")</f>
        <v>Suhas N</v>
      </c>
      <c r="C257" s="63" t="str">
        <f aca="false">IFERROR(INDEX('CLM &amp; IM Mapping'!$C$2:$C$270,MATCH($A257,'CLM &amp; IM Mapping'!$A$2:$A$270,0)),"Not Mapped")</f>
        <v>Aravind S</v>
      </c>
      <c r="D257" s="64" t="n">
        <f aca="false">IFERROR(INDEX(Shrinkage!$P$2:$P$260,MATCH($A257,Shrinkage!$D$2:$D$260,0)),IFERROR(INDEX(Shrinkage!$P$2:$P$260,MATCH(SUBSTITUTE($A257," SS","  SS"),Shrinkage!$D$2:$D$260,0)),"NA"))</f>
        <v>3130</v>
      </c>
      <c r="E257" s="65" t="n">
        <f aca="false">IFERROR(INDEX('Inventory Hygiene'!$I$3:$I$254,MATCH($A257,'Inventory Hygiene'!$B$3:$B$254,0)),IFERROR(INDEX('Inventory Hygiene'!$I$3:$I$254,MATCH(SUBSTITUTE($A257," SS","  SS"),'Inventory Hygiene'!$B$3:$B$254,0)),"NA"))</f>
        <v>0.6</v>
      </c>
      <c r="F257" s="64" t="n">
        <f aca="false">IFERROR(INDEX('Bad Bins'!$K$3:$K$253,MATCH($A257,'Bad Bins'!$B$3:$B$253,0)),IFERROR(INDEX('Bad Bins'!$K$3:$K$253,MATCH(SUBSTITUTE($A257," SS","  SS"),'Bad Bins'!$B$3:$B$253,0)),"NA"))</f>
        <v>86</v>
      </c>
      <c r="G257" s="64" t="n">
        <f aca="false">IFERROR(INDEX('RSTO &gt; 48hrs'!$H$2:$H$134,MATCH($A257,'RSTO &gt; 48hrs'!$B$2:$B$134,0)),IFERROR(INDEX('RSTO &gt; 48hrs'!$H$2:$H$134,MATCH(SUBSTITUTE($A257," SS","  SS"),'RSTO &gt; 48hrs'!$B$2:$B$134,0)),"NA"))</f>
        <v>64</v>
      </c>
      <c r="H257" s="64" t="n">
        <f aca="false">IFERROR(INDEX('Recirculation &gt; 24 hrs'!$K$3:$K$151,MATCH($A257,'Recirculation &gt; 24 hrs'!$B$3:$B$151,0)),IFERROR(INDEX('Recirculation &gt; 24 hrs'!$K$3:$K$151,MATCH(SUBSTITUTE($A257," SS","  SS"),'Recirculation &gt; 24 hrs'!$B$3:$B$151,0)),"NA"))</f>
        <v>17</v>
      </c>
      <c r="I257" s="64" t="n">
        <f aca="false">IFERROR(INDEX('Pending Putaway'!$E$2:$E$1537,MATCH($A257,'Pending Putaway'!$B$2:$B$1537,0)),IFERROR(INDEX('Pending Putaway'!$E$2:$E$1537,MATCH(SUBSTITUTE($A257," SS","  SS"),'Pending Putaway'!$B$2:$B$1537,0)),"NA"))</f>
        <v>634</v>
      </c>
      <c r="J257" s="64" t="n">
        <f aca="false">IFERROR(INDEX('Pending Putaway'!$L$2:$L$1537,MATCH($A257,'Pending Putaway'!$B$2:$B$1537,0)),IFERROR(INDEX('Pending Putaway'!$L$2:$L$1537,MATCH(SUBSTITUTE($A257," SS","  SS"),'Pending Putaway'!$B$2:$B$1537,0)),"NA"))</f>
        <v>0</v>
      </c>
    </row>
    <row r="258" customFormat="false" ht="15" hidden="false" customHeight="false" outlineLevel="0" collapsed="false">
      <c r="A258" s="63" t="s">
        <v>55</v>
      </c>
      <c r="B258" s="63" t="str">
        <f aca="false">IFERROR(INDEX('CLM &amp; IM Mapping'!$B$2:$B$270,MATCH($A258,'CLM &amp; IM Mapping'!$A$2:$A$270,0)),"Not Mapped")</f>
        <v>Suhas N</v>
      </c>
      <c r="C258" s="63" t="str">
        <f aca="false">IFERROR(INDEX('CLM &amp; IM Mapping'!$C$2:$C$270,MATCH($A258,'CLM &amp; IM Mapping'!$A$2:$A$270,0)),"Not Mapped")</f>
        <v>Aravind S</v>
      </c>
      <c r="D258" s="64" t="n">
        <f aca="false">IFERROR(INDEX(Shrinkage!$P$2:$P$260,MATCH($A258,Shrinkage!$D$2:$D$260,0)),IFERROR(INDEX(Shrinkage!$P$2:$P$260,MATCH(SUBSTITUTE($A258," SS","  SS"),Shrinkage!$D$2:$D$260,0)),"NA"))</f>
        <v>6668</v>
      </c>
      <c r="E258" s="65" t="n">
        <f aca="false">IFERROR(INDEX('Inventory Hygiene'!$I$3:$I$254,MATCH($A258,'Inventory Hygiene'!$B$3:$B$254,0)),IFERROR(INDEX('Inventory Hygiene'!$I$3:$I$254,MATCH(SUBSTITUTE($A258," SS","  SS"),'Inventory Hygiene'!$B$3:$B$254,0)),"NA"))</f>
        <v>0.42</v>
      </c>
      <c r="F258" s="64" t="n">
        <f aca="false">IFERROR(INDEX('Bad Bins'!$K$3:$K$253,MATCH($A258,'Bad Bins'!$B$3:$B$253,0)),IFERROR(INDEX('Bad Bins'!$K$3:$K$253,MATCH(SUBSTITUTE($A258," SS","  SS"),'Bad Bins'!$B$3:$B$253,0)),"NA"))</f>
        <v>95</v>
      </c>
      <c r="G258" s="64" t="str">
        <f aca="false">IFERROR(INDEX('RSTO &gt; 48hrs'!$H$2:$H$134,MATCH($A258,'RSTO &gt; 48hrs'!$B$2:$B$134,0)),IFERROR(INDEX('RSTO &gt; 48hrs'!$H$2:$H$134,MATCH(SUBSTITUTE($A258," SS","  SS"),'RSTO &gt; 48hrs'!$B$2:$B$134,0)),"NA"))</f>
        <v>NA</v>
      </c>
      <c r="H258" s="64" t="n">
        <f aca="false">IFERROR(INDEX('Recirculation &gt; 24 hrs'!$K$3:$K$151,MATCH($A258,'Recirculation &gt; 24 hrs'!$B$3:$B$151,0)),IFERROR(INDEX('Recirculation &gt; 24 hrs'!$K$3:$K$151,MATCH(SUBSTITUTE($A258," SS","  SS"),'Recirculation &gt; 24 hrs'!$B$3:$B$151,0)),"NA"))</f>
        <v>4</v>
      </c>
      <c r="I258" s="64" t="n">
        <f aca="false">IFERROR(INDEX('Pending Putaway'!$E$2:$E$1537,MATCH($A258,'Pending Putaway'!$B$2:$B$1537,0)),IFERROR(INDEX('Pending Putaway'!$E$2:$E$1537,MATCH(SUBSTITUTE($A258," SS","  SS"),'Pending Putaway'!$B$2:$B$1537,0)),"NA"))</f>
        <v>2048</v>
      </c>
      <c r="J258" s="64" t="n">
        <f aca="false">IFERROR(INDEX('Pending Putaway'!$L$2:$L$1537,MATCH($A258,'Pending Putaway'!$B$2:$B$1537,0)),IFERROR(INDEX('Pending Putaway'!$L$2:$L$1537,MATCH(SUBSTITUTE($A258," SS","  SS"),'Pending Putaway'!$B$2:$B$1537,0)),"NA"))</f>
        <v>0</v>
      </c>
    </row>
    <row r="259" customFormat="false" ht="15" hidden="false" customHeight="false" outlineLevel="0" collapsed="false">
      <c r="A259" s="63" t="s">
        <v>57</v>
      </c>
      <c r="B259" s="63" t="str">
        <f aca="false">IFERROR(INDEX('CLM &amp; IM Mapping'!$B$2:$B$270,MATCH($A259,'CLM &amp; IM Mapping'!$A$2:$A$270,0)),"Not Mapped")</f>
        <v>Suhas N</v>
      </c>
      <c r="C259" s="63" t="str">
        <f aca="false">IFERROR(INDEX('CLM &amp; IM Mapping'!$C$2:$C$270,MATCH($A259,'CLM &amp; IM Mapping'!$A$2:$A$270,0)),"Not Mapped")</f>
        <v>Aravind S</v>
      </c>
      <c r="D259" s="64" t="n">
        <f aca="false">IFERROR(INDEX(Shrinkage!$P$2:$P$260,MATCH($A259,Shrinkage!$D$2:$D$260,0)),IFERROR(INDEX(Shrinkage!$P$2:$P$260,MATCH(SUBSTITUTE($A259," SS","  SS"),Shrinkage!$D$2:$D$260,0)),"NA"))</f>
        <v>42540</v>
      </c>
      <c r="E259" s="65" t="n">
        <f aca="false">IFERROR(INDEX('Inventory Hygiene'!$I$3:$I$254,MATCH($A259,'Inventory Hygiene'!$B$3:$B$254,0)),IFERROR(INDEX('Inventory Hygiene'!$I$3:$I$254,MATCH(SUBSTITUTE($A259," SS","  SS"),'Inventory Hygiene'!$B$3:$B$254,0)),"NA"))</f>
        <v>0.45</v>
      </c>
      <c r="F259" s="64" t="n">
        <f aca="false">IFERROR(INDEX('Bad Bins'!$K$3:$K$253,MATCH($A259,'Bad Bins'!$B$3:$B$253,0)),IFERROR(INDEX('Bad Bins'!$K$3:$K$253,MATCH(SUBSTITUTE($A259," SS","  SS"),'Bad Bins'!$B$3:$B$253,0)),"NA"))</f>
        <v>291</v>
      </c>
      <c r="G259" s="64" t="n">
        <f aca="false">IFERROR(INDEX('RSTO &gt; 48hrs'!$H$2:$H$134,MATCH($A259,'RSTO &gt; 48hrs'!$B$2:$B$134,0)),IFERROR(INDEX('RSTO &gt; 48hrs'!$H$2:$H$134,MATCH(SUBSTITUTE($A259," SS","  SS"),'RSTO &gt; 48hrs'!$B$2:$B$134,0)),"NA"))</f>
        <v>112</v>
      </c>
      <c r="H259" s="64" t="str">
        <f aca="false">IFERROR(INDEX('Recirculation &gt; 24 hrs'!$K$3:$K$151,MATCH($A259,'Recirculation &gt; 24 hrs'!$B$3:$B$151,0)),IFERROR(INDEX('Recirculation &gt; 24 hrs'!$K$3:$K$151,MATCH(SUBSTITUTE($A259," SS","  SS"),'Recirculation &gt; 24 hrs'!$B$3:$B$151,0)),"NA"))</f>
        <v>NA</v>
      </c>
      <c r="I259" s="64" t="n">
        <f aca="false">IFERROR(INDEX('Pending Putaway'!$E$2:$E$1537,MATCH($A259,'Pending Putaway'!$B$2:$B$1537,0)),IFERROR(INDEX('Pending Putaway'!$E$2:$E$1537,MATCH(SUBSTITUTE($A259," SS","  SS"),'Pending Putaway'!$B$2:$B$1537,0)),"NA"))</f>
        <v>10771</v>
      </c>
      <c r="J259" s="64" t="n">
        <f aca="false">IFERROR(INDEX('Pending Putaway'!$L$2:$L$1537,MATCH($A259,'Pending Putaway'!$B$2:$B$1537,0)),IFERROR(INDEX('Pending Putaway'!$L$2:$L$1537,MATCH(SUBSTITUTE($A259," SS","  SS"),'Pending Putaway'!$B$2:$B$1537,0)),"NA"))</f>
        <v>2550</v>
      </c>
    </row>
    <row r="260" customFormat="false" ht="15" hidden="false" customHeight="false" outlineLevel="0" collapsed="false">
      <c r="A260" s="63" t="s">
        <v>163</v>
      </c>
      <c r="B260" s="63" t="str">
        <f aca="false">IFERROR(INDEX('CLM &amp; IM Mapping'!$B$2:$B$270,MATCH($A260,'CLM &amp; IM Mapping'!$A$2:$A$270,0)),"Not Mapped")</f>
        <v>Suhas N</v>
      </c>
      <c r="C260" s="63" t="str">
        <f aca="false">IFERROR(INDEX('CLM &amp; IM Mapping'!$C$2:$C$270,MATCH($A260,'CLM &amp; IM Mapping'!$A$2:$A$270,0)),"Not Mapped")</f>
        <v>Aravind S</v>
      </c>
      <c r="D260" s="64" t="n">
        <f aca="false">IFERROR(INDEX(Shrinkage!$P$2:$P$260,MATCH($A260,Shrinkage!$D$2:$D$260,0)),IFERROR(INDEX(Shrinkage!$P$2:$P$260,MATCH(SUBSTITUTE($A260," SS","  SS"),Shrinkage!$D$2:$D$260,0)),"NA"))</f>
        <v>21901</v>
      </c>
      <c r="E260" s="65" t="n">
        <f aca="false">IFERROR(INDEX('Inventory Hygiene'!$I$3:$I$254,MATCH($A260,'Inventory Hygiene'!$B$3:$B$254,0)),IFERROR(INDEX('Inventory Hygiene'!$I$3:$I$254,MATCH(SUBSTITUTE($A260," SS","  SS"),'Inventory Hygiene'!$B$3:$B$254,0)),"NA"))</f>
        <v>0.54</v>
      </c>
      <c r="F260" s="64" t="n">
        <f aca="false">IFERROR(INDEX('Bad Bins'!$K$3:$K$253,MATCH($A260,'Bad Bins'!$B$3:$B$253,0)),IFERROR(INDEX('Bad Bins'!$K$3:$K$253,MATCH(SUBSTITUTE($A260," SS","  SS"),'Bad Bins'!$B$3:$B$253,0)),"NA"))</f>
        <v>39</v>
      </c>
      <c r="G260" s="64" t="str">
        <f aca="false">IFERROR(INDEX('RSTO &gt; 48hrs'!$H$2:$H$134,MATCH($A260,'RSTO &gt; 48hrs'!$B$2:$B$134,0)),IFERROR(INDEX('RSTO &gt; 48hrs'!$H$2:$H$134,MATCH(SUBSTITUTE($A260," SS","  SS"),'RSTO &gt; 48hrs'!$B$2:$B$134,0)),"NA"))</f>
        <v>NA</v>
      </c>
      <c r="H260" s="64" t="n">
        <f aca="false">IFERROR(INDEX('Recirculation &gt; 24 hrs'!$K$3:$K$151,MATCH($A260,'Recirculation &gt; 24 hrs'!$B$3:$B$151,0)),IFERROR(INDEX('Recirculation &gt; 24 hrs'!$K$3:$K$151,MATCH(SUBSTITUTE($A260," SS","  SS"),'Recirculation &gt; 24 hrs'!$B$3:$B$151,0)),"NA"))</f>
        <v>3</v>
      </c>
      <c r="I260" s="64" t="n">
        <f aca="false">IFERROR(INDEX('Pending Putaway'!$E$2:$E$1537,MATCH($A260,'Pending Putaway'!$B$2:$B$1537,0)),IFERROR(INDEX('Pending Putaway'!$E$2:$E$1537,MATCH(SUBSTITUTE($A260," SS","  SS"),'Pending Putaway'!$B$2:$B$1537,0)),"NA"))</f>
        <v>7885</v>
      </c>
      <c r="J260" s="64" t="n">
        <f aca="false">IFERROR(INDEX('Pending Putaway'!$L$2:$L$1537,MATCH($A260,'Pending Putaway'!$B$2:$B$1537,0)),IFERROR(INDEX('Pending Putaway'!$L$2:$L$1537,MATCH(SUBSTITUTE($A260," SS","  SS"),'Pending Putaway'!$B$2:$B$1537,0)),"NA"))</f>
        <v>4416</v>
      </c>
    </row>
    <row r="261" customFormat="false" ht="15" hidden="false" customHeight="false" outlineLevel="0" collapsed="false">
      <c r="A261" s="63" t="s">
        <v>179</v>
      </c>
      <c r="B261" s="63" t="str">
        <f aca="false">IFERROR(INDEX('CLM &amp; IM Mapping'!$B$2:$B$270,MATCH($A261,'CLM &amp; IM Mapping'!$A$2:$A$270,0)),"Not Mapped")</f>
        <v>John Britto</v>
      </c>
      <c r="C261" s="63" t="str">
        <f aca="false">IFERROR(INDEX('CLM &amp; IM Mapping'!$C$2:$C$270,MATCH($A261,'CLM &amp; IM Mapping'!$A$2:$A$270,0)),"Not Mapped")</f>
        <v>Aravind S</v>
      </c>
      <c r="D261" s="64" t="n">
        <f aca="false">IFERROR(INDEX(Shrinkage!$P$2:$P$260,MATCH($A261,Shrinkage!$D$2:$D$260,0)),IFERROR(INDEX(Shrinkage!$P$2:$P$260,MATCH(SUBSTITUTE($A261," SS","  SS"),Shrinkage!$D$2:$D$260,0)),"NA"))</f>
        <v>-6360</v>
      </c>
      <c r="E261" s="65" t="n">
        <f aca="false">IFERROR(INDEX('Inventory Hygiene'!$I$3:$I$254,MATCH($A261,'Inventory Hygiene'!$B$3:$B$254,0)),IFERROR(INDEX('Inventory Hygiene'!$I$3:$I$254,MATCH(SUBSTITUTE($A261," SS","  SS"),'Inventory Hygiene'!$B$3:$B$254,0)),"NA"))</f>
        <v>0.14</v>
      </c>
      <c r="F261" s="64" t="n">
        <f aca="false">IFERROR(INDEX('Bad Bins'!$K$3:$K$253,MATCH($A261,'Bad Bins'!$B$3:$B$253,0)),IFERROR(INDEX('Bad Bins'!$K$3:$K$253,MATCH(SUBSTITUTE($A261," SS","  SS"),'Bad Bins'!$B$3:$B$253,0)),"NA"))</f>
        <v>206</v>
      </c>
      <c r="G261" s="64" t="str">
        <f aca="false">IFERROR(INDEX('RSTO &gt; 48hrs'!$H$2:$H$134,MATCH($A261,'RSTO &gt; 48hrs'!$B$2:$B$134,0)),IFERROR(INDEX('RSTO &gt; 48hrs'!$H$2:$H$134,MATCH(SUBSTITUTE($A261," SS","  SS"),'RSTO &gt; 48hrs'!$B$2:$B$134,0)),"NA"))</f>
        <v>NA</v>
      </c>
      <c r="H261" s="64" t="str">
        <f aca="false">IFERROR(INDEX('Recirculation &gt; 24 hrs'!$K$3:$K$151,MATCH($A261,'Recirculation &gt; 24 hrs'!$B$3:$B$151,0)),IFERROR(INDEX('Recirculation &gt; 24 hrs'!$K$3:$K$151,MATCH(SUBSTITUTE($A261," SS","  SS"),'Recirculation &gt; 24 hrs'!$B$3:$B$151,0)),"NA"))</f>
        <v>NA</v>
      </c>
      <c r="I261" s="64" t="n">
        <f aca="false">IFERROR(INDEX('Pending Putaway'!$E$2:$E$1537,MATCH($A261,'Pending Putaway'!$B$2:$B$1537,0)),IFERROR(INDEX('Pending Putaway'!$E$2:$E$1537,MATCH(SUBSTITUTE($A261," SS","  SS"),'Pending Putaway'!$B$2:$B$1537,0)),"NA"))</f>
        <v>0</v>
      </c>
      <c r="J261" s="64" t="n">
        <f aca="false">IFERROR(INDEX('Pending Putaway'!$L$2:$L$1537,MATCH($A261,'Pending Putaway'!$B$2:$B$1537,0)),IFERROR(INDEX('Pending Putaway'!$L$2:$L$1537,MATCH(SUBSTITUTE($A261," SS","  SS"),'Pending Putaway'!$B$2:$B$1537,0)),"NA"))</f>
        <v>0</v>
      </c>
    </row>
    <row r="262" customFormat="false" ht="15" hidden="false" customHeight="false" outlineLevel="0" collapsed="false">
      <c r="A262" s="63" t="s">
        <v>285</v>
      </c>
      <c r="B262" s="63" t="str">
        <f aca="false">IFERROR(INDEX('CLM &amp; IM Mapping'!$B$2:$B$270,MATCH($A262,'CLM &amp; IM Mapping'!$A$2:$A$270,0)),"Not Mapped")</f>
        <v>Adhavan Subramani</v>
      </c>
      <c r="C262" s="63" t="str">
        <f aca="false">IFERROR(INDEX('CLM &amp; IM Mapping'!$C$2:$C$270,MATCH($A262,'CLM &amp; IM Mapping'!$A$2:$A$270,0)),"Not Mapped")</f>
        <v>Mohammed Akbar</v>
      </c>
      <c r="D262" s="64" t="n">
        <f aca="false">IFERROR(INDEX(Shrinkage!$P$2:$P$260,MATCH($A262,Shrinkage!$D$2:$D$260,0)),IFERROR(INDEX(Shrinkage!$P$2:$P$260,MATCH(SUBSTITUTE($A262," SS","  SS"),Shrinkage!$D$2:$D$260,0)),"NA"))</f>
        <v>-13314</v>
      </c>
      <c r="E262" s="65" t="n">
        <f aca="false">IFERROR(INDEX('Inventory Hygiene'!$I$3:$I$254,MATCH($A262,'Inventory Hygiene'!$B$3:$B$254,0)),IFERROR(INDEX('Inventory Hygiene'!$I$3:$I$254,MATCH(SUBSTITUTE($A262," SS","  SS"),'Inventory Hygiene'!$B$3:$B$254,0)),"NA"))</f>
        <v>0.38</v>
      </c>
      <c r="F262" s="64" t="n">
        <f aca="false">IFERROR(INDEX('Bad Bins'!$K$3:$K$253,MATCH($A262,'Bad Bins'!$B$3:$B$253,0)),IFERROR(INDEX('Bad Bins'!$K$3:$K$253,MATCH(SUBSTITUTE($A262," SS","  SS"),'Bad Bins'!$B$3:$B$253,0)),"NA"))</f>
        <v>72</v>
      </c>
      <c r="G262" s="64" t="n">
        <f aca="false">IFERROR(INDEX('RSTO &gt; 48hrs'!$H$2:$H$134,MATCH($A262,'RSTO &gt; 48hrs'!$B$2:$B$134,0)),IFERROR(INDEX('RSTO &gt; 48hrs'!$H$2:$H$134,MATCH(SUBSTITUTE($A262," SS","  SS"),'RSTO &gt; 48hrs'!$B$2:$B$134,0)),"NA"))</f>
        <v>17</v>
      </c>
      <c r="H262" s="64" t="str">
        <f aca="false">IFERROR(INDEX('Recirculation &gt; 24 hrs'!$K$3:$K$151,MATCH($A262,'Recirculation &gt; 24 hrs'!$B$3:$B$151,0)),IFERROR(INDEX('Recirculation &gt; 24 hrs'!$K$3:$K$151,MATCH(SUBSTITUTE($A262," SS","  SS"),'Recirculation &gt; 24 hrs'!$B$3:$B$151,0)),"NA"))</f>
        <v>NA</v>
      </c>
      <c r="I262" s="64" t="n">
        <f aca="false">IFERROR(INDEX('Pending Putaway'!$E$2:$E$1537,MATCH($A262,'Pending Putaway'!$B$2:$B$1537,0)),IFERROR(INDEX('Pending Putaway'!$E$2:$E$1537,MATCH(SUBSTITUTE($A262," SS","  SS"),'Pending Putaway'!$B$2:$B$1537,0)),"NA"))</f>
        <v>2935</v>
      </c>
      <c r="J262" s="64" t="n">
        <f aca="false">IFERROR(INDEX('Pending Putaway'!$L$2:$L$1537,MATCH($A262,'Pending Putaway'!$B$2:$B$1537,0)),IFERROR(INDEX('Pending Putaway'!$L$2:$L$1537,MATCH(SUBSTITUTE($A262," SS","  SS"),'Pending Putaway'!$B$2:$B$1537,0)),"NA"))</f>
        <v>839</v>
      </c>
    </row>
    <row r="263" customFormat="false" ht="15" hidden="false" customHeight="false" outlineLevel="0" collapsed="false">
      <c r="A263" s="63" t="s">
        <v>107</v>
      </c>
      <c r="B263" s="63" t="str">
        <f aca="false">IFERROR(INDEX('CLM &amp; IM Mapping'!$B$2:$B$270,MATCH($A263,'CLM &amp; IM Mapping'!$A$2:$A$270,0)),"Not Mapped")</f>
        <v>Adhavan Subramani</v>
      </c>
      <c r="C263" s="63" t="str">
        <f aca="false">IFERROR(INDEX('CLM &amp; IM Mapping'!$C$2:$C$270,MATCH($A263,'CLM &amp; IM Mapping'!$A$2:$A$270,0)),"Not Mapped")</f>
        <v>Mohammed Akbar</v>
      </c>
      <c r="D263" s="64" t="n">
        <f aca="false">IFERROR(INDEX(Shrinkage!$P$2:$P$260,MATCH($A263,Shrinkage!$D$2:$D$260,0)),IFERROR(INDEX(Shrinkage!$P$2:$P$260,MATCH(SUBSTITUTE($A263," SS","  SS"),Shrinkage!$D$2:$D$260,0)),"NA"))</f>
        <v>-2683</v>
      </c>
      <c r="E263" s="65" t="n">
        <f aca="false">IFERROR(INDEX('Inventory Hygiene'!$I$3:$I$254,MATCH($A263,'Inventory Hygiene'!$B$3:$B$254,0)),IFERROR(INDEX('Inventory Hygiene'!$I$3:$I$254,MATCH(SUBSTITUTE($A263," SS","  SS"),'Inventory Hygiene'!$B$3:$B$254,0)),"NA"))</f>
        <v>0.07</v>
      </c>
      <c r="F263" s="64" t="n">
        <f aca="false">IFERROR(INDEX('Bad Bins'!$K$3:$K$253,MATCH($A263,'Bad Bins'!$B$3:$B$253,0)),IFERROR(INDEX('Bad Bins'!$K$3:$K$253,MATCH(SUBSTITUTE($A263," SS","  SS"),'Bad Bins'!$B$3:$B$253,0)),"NA"))</f>
        <v>488</v>
      </c>
      <c r="G263" s="64" t="n">
        <f aca="false">IFERROR(INDEX('RSTO &gt; 48hrs'!$H$2:$H$134,MATCH($A263,'RSTO &gt; 48hrs'!$B$2:$B$134,0)),IFERROR(INDEX('RSTO &gt; 48hrs'!$H$2:$H$134,MATCH(SUBSTITUTE($A263," SS","  SS"),'RSTO &gt; 48hrs'!$B$2:$B$134,0)),"NA"))</f>
        <v>130</v>
      </c>
      <c r="H263" s="64" t="str">
        <f aca="false">IFERROR(INDEX('Recirculation &gt; 24 hrs'!$K$3:$K$151,MATCH($A263,'Recirculation &gt; 24 hrs'!$B$3:$B$151,0)),IFERROR(INDEX('Recirculation &gt; 24 hrs'!$K$3:$K$151,MATCH(SUBSTITUTE($A263," SS","  SS"),'Recirculation &gt; 24 hrs'!$B$3:$B$151,0)),"NA"))</f>
        <v>NA</v>
      </c>
      <c r="I263" s="64" t="n">
        <f aca="false">IFERROR(INDEX('Pending Putaway'!$E$2:$E$1537,MATCH($A263,'Pending Putaway'!$B$2:$B$1537,0)),IFERROR(INDEX('Pending Putaway'!$E$2:$E$1537,MATCH(SUBSTITUTE($A263," SS","  SS"),'Pending Putaway'!$B$2:$B$1537,0)),"NA"))</f>
        <v>3224</v>
      </c>
      <c r="J263" s="64" t="n">
        <f aca="false">IFERROR(INDEX('Pending Putaway'!$L$2:$L$1537,MATCH($A263,'Pending Putaway'!$B$2:$B$1537,0)),IFERROR(INDEX('Pending Putaway'!$L$2:$L$1537,MATCH(SUBSTITUTE($A263," SS","  SS"),'Pending Putaway'!$B$2:$B$1537,0)),"NA"))</f>
        <v>25</v>
      </c>
    </row>
    <row r="264" customFormat="false" ht="15" hidden="false" customHeight="false" outlineLevel="0" collapsed="false">
      <c r="A264" s="63" t="s">
        <v>106</v>
      </c>
      <c r="B264" s="63" t="str">
        <f aca="false">IFERROR(INDEX('CLM &amp; IM Mapping'!$B$2:$B$270,MATCH($A264,'CLM &amp; IM Mapping'!$A$2:$A$270,0)),"Not Mapped")</f>
        <v>Bangareppa CS</v>
      </c>
      <c r="C264" s="63" t="str">
        <f aca="false">IFERROR(INDEX('CLM &amp; IM Mapping'!$C$2:$C$270,MATCH($A264,'CLM &amp; IM Mapping'!$A$2:$A$270,0)),"Not Mapped")</f>
        <v>Kishor K</v>
      </c>
      <c r="D264" s="64" t="n">
        <f aca="false">IFERROR(INDEX(Shrinkage!$P$2:$P$260,MATCH($A264,Shrinkage!$D$2:$D$260,0)),IFERROR(INDEX(Shrinkage!$P$2:$P$260,MATCH(SUBSTITUTE($A264," SS","  SS"),Shrinkage!$D$2:$D$260,0)),"NA"))</f>
        <v>-5568</v>
      </c>
      <c r="E264" s="65" t="n">
        <f aca="false">IFERROR(INDEX('Inventory Hygiene'!$I$3:$I$254,MATCH($A264,'Inventory Hygiene'!$B$3:$B$254,0)),IFERROR(INDEX('Inventory Hygiene'!$I$3:$I$254,MATCH(SUBSTITUTE($A264," SS","  SS"),'Inventory Hygiene'!$B$3:$B$254,0)),"NA"))</f>
        <v>0.62</v>
      </c>
      <c r="F264" s="64" t="n">
        <f aca="false">IFERROR(INDEX('Bad Bins'!$K$3:$K$253,MATCH($A264,'Bad Bins'!$B$3:$B$253,0)),IFERROR(INDEX('Bad Bins'!$K$3:$K$253,MATCH(SUBSTITUTE($A264," SS","  SS"),'Bad Bins'!$B$3:$B$253,0)),"NA"))</f>
        <v>51</v>
      </c>
      <c r="G264" s="64" t="str">
        <f aca="false">IFERROR(INDEX('RSTO &gt; 48hrs'!$H$2:$H$134,MATCH($A264,'RSTO &gt; 48hrs'!$B$2:$B$134,0)),IFERROR(INDEX('RSTO &gt; 48hrs'!$H$2:$H$134,MATCH(SUBSTITUTE($A264," SS","  SS"),'RSTO &gt; 48hrs'!$B$2:$B$134,0)),"NA"))</f>
        <v>NA</v>
      </c>
      <c r="H264" s="64" t="str">
        <f aca="false">IFERROR(INDEX('Recirculation &gt; 24 hrs'!$K$3:$K$151,MATCH($A264,'Recirculation &gt; 24 hrs'!$B$3:$B$151,0)),IFERROR(INDEX('Recirculation &gt; 24 hrs'!$K$3:$K$151,MATCH(SUBSTITUTE($A264," SS","  SS"),'Recirculation &gt; 24 hrs'!$B$3:$B$151,0)),"NA"))</f>
        <v>NA</v>
      </c>
      <c r="I264" s="64" t="n">
        <f aca="false">IFERROR(INDEX('Pending Putaway'!$E$2:$E$1537,MATCH($A264,'Pending Putaway'!$B$2:$B$1537,0)),IFERROR(INDEX('Pending Putaway'!$E$2:$E$1537,MATCH(SUBSTITUTE($A264," SS","  SS"),'Pending Putaway'!$B$2:$B$1537,0)),"NA"))</f>
        <v>0</v>
      </c>
      <c r="J264" s="64" t="n">
        <f aca="false">IFERROR(INDEX('Pending Putaway'!$L$2:$L$1537,MATCH($A264,'Pending Putaway'!$B$2:$B$1537,0)),IFERROR(INDEX('Pending Putaway'!$L$2:$L$1537,MATCH(SUBSTITUTE($A264," SS","  SS"),'Pending Putaway'!$B$2:$B$1537,0)),"NA"))</f>
        <v>0</v>
      </c>
    </row>
    <row r="265" customFormat="false" ht="15" hidden="false" customHeight="false" outlineLevel="0" collapsed="false">
      <c r="A265" s="63" t="s">
        <v>284</v>
      </c>
      <c r="B265" s="63" t="str">
        <f aca="false">IFERROR(INDEX('CLM &amp; IM Mapping'!$B$2:$B$270,MATCH($A265,'CLM &amp; IM Mapping'!$A$2:$A$270,0)),"Not Mapped")</f>
        <v>Vishnu V</v>
      </c>
      <c r="C265" s="63" t="str">
        <f aca="false">IFERROR(INDEX('CLM &amp; IM Mapping'!$C$2:$C$270,MATCH($A265,'CLM &amp; IM Mapping'!$A$2:$A$270,0)),"Not Mapped")</f>
        <v>Arivind S</v>
      </c>
      <c r="D265" s="64" t="n">
        <f aca="false">IFERROR(INDEX(Shrinkage!$P$2:$P$260,MATCH($A265,Shrinkage!$D$2:$D$260,0)),IFERROR(INDEX(Shrinkage!$P$2:$P$260,MATCH(SUBSTITUTE($A265," SS","  SS"),Shrinkage!$D$2:$D$260,0)),"NA"))</f>
        <v>-599</v>
      </c>
      <c r="E265" s="65" t="str">
        <f aca="false">IFERROR(INDEX('Inventory Hygiene'!$I$3:$I$254,MATCH($A265,'Inventory Hygiene'!$B$3:$B$254,0)),IFERROR(INDEX('Inventory Hygiene'!$I$3:$I$254,MATCH(SUBSTITUTE($A265," SS","  SS"),'Inventory Hygiene'!$B$3:$B$254,0)),"NA"))</f>
        <v>NA</v>
      </c>
      <c r="F265" s="64" t="n">
        <f aca="false">IFERROR(INDEX('Bad Bins'!$K$3:$K$253,MATCH($A265,'Bad Bins'!$B$3:$B$253,0)),IFERROR(INDEX('Bad Bins'!$K$3:$K$253,MATCH(SUBSTITUTE($A265," SS","  SS"),'Bad Bins'!$B$3:$B$253,0)),"NA"))</f>
        <v>301</v>
      </c>
      <c r="G265" s="64" t="str">
        <f aca="false">IFERROR(INDEX('RSTO &gt; 48hrs'!$H$2:$H$134,MATCH($A265,'RSTO &gt; 48hrs'!$B$2:$B$134,0)),IFERROR(INDEX('RSTO &gt; 48hrs'!$H$2:$H$134,MATCH(SUBSTITUTE($A265," SS","  SS"),'RSTO &gt; 48hrs'!$B$2:$B$134,0)),"NA"))</f>
        <v>NA</v>
      </c>
      <c r="H265" s="64" t="str">
        <f aca="false">IFERROR(INDEX('Recirculation &gt; 24 hrs'!$K$3:$K$151,MATCH($A265,'Recirculation &gt; 24 hrs'!$B$3:$B$151,0)),IFERROR(INDEX('Recirculation &gt; 24 hrs'!$K$3:$K$151,MATCH(SUBSTITUTE($A265," SS","  SS"),'Recirculation &gt; 24 hrs'!$B$3:$B$151,0)),"NA"))</f>
        <v>NA</v>
      </c>
      <c r="I265" s="64" t="n">
        <f aca="false">IFERROR(INDEX('Pending Putaway'!$E$2:$E$1537,MATCH($A265,'Pending Putaway'!$B$2:$B$1537,0)),IFERROR(INDEX('Pending Putaway'!$E$2:$E$1537,MATCH(SUBSTITUTE($A265," SS","  SS"),'Pending Putaway'!$B$2:$B$1537,0)),"NA"))</f>
        <v>47</v>
      </c>
      <c r="J265" s="64" t="n">
        <f aca="false">IFERROR(INDEX('Pending Putaway'!$L$2:$L$1537,MATCH($A265,'Pending Putaway'!$B$2:$B$1537,0)),IFERROR(INDEX('Pending Putaway'!$L$2:$L$1537,MATCH(SUBSTITUTE($A265," SS","  SS"),'Pending Putaway'!$B$2:$B$1537,0)),"NA"))</f>
        <v>47</v>
      </c>
    </row>
    <row r="266" customFormat="false" ht="15" hidden="false" customHeight="false" outlineLevel="0" collapsed="false">
      <c r="A266" s="63" t="s">
        <v>346</v>
      </c>
      <c r="B266" s="63" t="str">
        <f aca="false">IFERROR(INDEX('CLM &amp; IM Mapping'!$B$2:$B$270,MATCH($A266,'CLM &amp; IM Mapping'!$A$2:$A$270,0)),"Not Mapped")</f>
        <v>John Britto</v>
      </c>
      <c r="C266" s="63" t="str">
        <f aca="false">IFERROR(INDEX('CLM &amp; IM Mapping'!$C$2:$C$270,MATCH($A266,'CLM &amp; IM Mapping'!$A$2:$A$270,0)),"Not Mapped")</f>
        <v>Aravind S</v>
      </c>
      <c r="D266" s="64" t="str">
        <f aca="false">IFERROR(INDEX(Shrinkage!$P$2:$P$260,MATCH($A266,Shrinkage!$D$2:$D$260,0)),IFERROR(INDEX(Shrinkage!$P$2:$P$260,MATCH(SUBSTITUTE($A266," SS","  SS"),Shrinkage!$D$2:$D$260,0)),"NA"))</f>
        <v>NA</v>
      </c>
      <c r="E266" s="65" t="str">
        <f aca="false">IFERROR(INDEX('Inventory Hygiene'!$I$3:$I$254,MATCH($A266,'Inventory Hygiene'!$B$3:$B$254,0)),IFERROR(INDEX('Inventory Hygiene'!$I$3:$I$254,MATCH(SUBSTITUTE($A266," SS","  SS"),'Inventory Hygiene'!$B$3:$B$254,0)),"NA"))</f>
        <v>NA</v>
      </c>
      <c r="F266" s="64" t="str">
        <f aca="false">IFERROR(INDEX('Bad Bins'!$K$3:$K$253,MATCH($A266,'Bad Bins'!$B$3:$B$253,0)),IFERROR(INDEX('Bad Bins'!$K$3:$K$253,MATCH(SUBSTITUTE($A266," SS","  SS"),'Bad Bins'!$B$3:$B$253,0)),"NA"))</f>
        <v>NA</v>
      </c>
      <c r="G266" s="64" t="str">
        <f aca="false">IFERROR(INDEX('RSTO &gt; 48hrs'!$H$2:$H$134,MATCH($A266,'RSTO &gt; 48hrs'!$B$2:$B$134,0)),IFERROR(INDEX('RSTO &gt; 48hrs'!$H$2:$H$134,MATCH(SUBSTITUTE($A266," SS","  SS"),'RSTO &gt; 48hrs'!$B$2:$B$134,0)),"NA"))</f>
        <v>NA</v>
      </c>
      <c r="H266" s="64" t="str">
        <f aca="false">IFERROR(INDEX('Recirculation &gt; 24 hrs'!$K$3:$K$151,MATCH($A266,'Recirculation &gt; 24 hrs'!$B$3:$B$151,0)),IFERROR(INDEX('Recirculation &gt; 24 hrs'!$K$3:$K$151,MATCH(SUBSTITUTE($A266," SS","  SS"),'Recirculation &gt; 24 hrs'!$B$3:$B$151,0)),"NA"))</f>
        <v>NA</v>
      </c>
      <c r="I266" s="64" t="n">
        <f aca="false">IFERROR(INDEX('Pending Putaway'!$E$2:$E$1537,MATCH($A266,'Pending Putaway'!$B$2:$B$1537,0)),IFERROR(INDEX('Pending Putaway'!$E$2:$E$1537,MATCH(SUBSTITUTE($A266," SS","  SS"),'Pending Putaway'!$B$2:$B$1537,0)),"NA"))</f>
        <v>0</v>
      </c>
      <c r="J266" s="64" t="n">
        <f aca="false">IFERROR(INDEX('Pending Putaway'!$L$2:$L$1537,MATCH($A266,'Pending Putaway'!$B$2:$B$1537,0)),IFERROR(INDEX('Pending Putaway'!$L$2:$L$1537,MATCH(SUBSTITUTE($A266," SS","  SS"),'Pending Putaway'!$B$2:$B$1537,0)),"NA"))</f>
        <v>0</v>
      </c>
    </row>
    <row r="267" customFormat="false" ht="15" hidden="false" customHeight="false" outlineLevel="0" collapsed="false">
      <c r="A267" s="63" t="s">
        <v>347</v>
      </c>
      <c r="B267" s="63" t="str">
        <f aca="false">IFERROR(INDEX('CLM &amp; IM Mapping'!$B$2:$B$270,MATCH($A267,'CLM &amp; IM Mapping'!$A$2:$A$270,0)),"Not Mapped")</f>
        <v>John Britto</v>
      </c>
      <c r="C267" s="63" t="str">
        <f aca="false">IFERROR(INDEX('CLM &amp; IM Mapping'!$C$2:$C$270,MATCH($A267,'CLM &amp; IM Mapping'!$A$2:$A$270,0)),"Not Mapped")</f>
        <v>Aravind S</v>
      </c>
      <c r="D267" s="64" t="str">
        <f aca="false">IFERROR(INDEX(Shrinkage!$P$2:$P$260,MATCH($A267,Shrinkage!$D$2:$D$260,0)),IFERROR(INDEX(Shrinkage!$P$2:$P$260,MATCH(SUBSTITUTE($A267," SS","  SS"),Shrinkage!$D$2:$D$260,0)),"NA"))</f>
        <v>NA</v>
      </c>
      <c r="E267" s="65" t="str">
        <f aca="false">IFERROR(INDEX('Inventory Hygiene'!$I$3:$I$254,MATCH($A267,'Inventory Hygiene'!$B$3:$B$254,0)),IFERROR(INDEX('Inventory Hygiene'!$I$3:$I$254,MATCH(SUBSTITUTE($A267," SS","  SS"),'Inventory Hygiene'!$B$3:$B$254,0)),"NA"))</f>
        <v>NA</v>
      </c>
      <c r="F267" s="64" t="str">
        <f aca="false">IFERROR(INDEX('Bad Bins'!$K$3:$K$253,MATCH($A267,'Bad Bins'!$B$3:$B$253,0)),IFERROR(INDEX('Bad Bins'!$K$3:$K$253,MATCH(SUBSTITUTE($A267," SS","  SS"),'Bad Bins'!$B$3:$B$253,0)),"NA"))</f>
        <v>NA</v>
      </c>
      <c r="G267" s="64" t="str">
        <f aca="false">IFERROR(INDEX('RSTO &gt; 48hrs'!$H$2:$H$134,MATCH($A267,'RSTO &gt; 48hrs'!$B$2:$B$134,0)),IFERROR(INDEX('RSTO &gt; 48hrs'!$H$2:$H$134,MATCH(SUBSTITUTE($A267," SS","  SS"),'RSTO &gt; 48hrs'!$B$2:$B$134,0)),"NA"))</f>
        <v>NA</v>
      </c>
      <c r="H267" s="64" t="str">
        <f aca="false">IFERROR(INDEX('Recirculation &gt; 24 hrs'!$K$3:$K$151,MATCH($A267,'Recirculation &gt; 24 hrs'!$B$3:$B$151,0)),IFERROR(INDEX('Recirculation &gt; 24 hrs'!$K$3:$K$151,MATCH(SUBSTITUTE($A267," SS","  SS"),'Recirculation &gt; 24 hrs'!$B$3:$B$151,0)),"NA"))</f>
        <v>NA</v>
      </c>
      <c r="I267" s="64" t="n">
        <f aca="false">IFERROR(INDEX('Pending Putaway'!$E$2:$E$1537,MATCH($A267,'Pending Putaway'!$B$2:$B$1537,0)),IFERROR(INDEX('Pending Putaway'!$E$2:$E$1537,MATCH(SUBSTITUTE($A267," SS","  SS"),'Pending Putaway'!$B$2:$B$1537,0)),"NA"))</f>
        <v>0</v>
      </c>
      <c r="J267" s="64" t="n">
        <f aca="false">IFERROR(INDEX('Pending Putaway'!$L$2:$L$1537,MATCH($A267,'Pending Putaway'!$B$2:$B$1537,0)),IFERROR(INDEX('Pending Putaway'!$L$2:$L$1537,MATCH(SUBSTITUTE($A267," SS","  SS"),'Pending Putaway'!$B$2:$B$1537,0)),"NA"))</f>
        <v>0</v>
      </c>
    </row>
    <row r="268" customFormat="false" ht="15" hidden="false" customHeight="false" outlineLevel="0" collapsed="false">
      <c r="A268" s="63" t="s">
        <v>286</v>
      </c>
      <c r="B268" s="63" t="str">
        <f aca="false">IFERROR(INDEX('CLM &amp; IM Mapping'!$B$2:$B$270,MATCH($A268,'CLM &amp; IM Mapping'!$A$2:$A$270,0)),"Not Mapped")</f>
        <v>Not Mapped</v>
      </c>
      <c r="C268" s="63" t="str">
        <f aca="false">IFERROR(INDEX('CLM &amp; IM Mapping'!$C$2:$C$270,MATCH($A268,'CLM &amp; IM Mapping'!$A$2:$A$270,0)),"Not Mapped")</f>
        <v>Not Mapped</v>
      </c>
      <c r="D268" s="64" t="n">
        <f aca="false">IFERROR(INDEX(Shrinkage!$P$2:$P$260,MATCH($A268,Shrinkage!$D$2:$D$260,0)),IFERROR(INDEX(Shrinkage!$P$2:$P$260,MATCH(SUBSTITUTE($A268," SS","  SS"),Shrinkage!$D$2:$D$260,0)),"NA"))</f>
        <v>0</v>
      </c>
      <c r="E268" s="65" t="str">
        <f aca="false">IFERROR(INDEX('Inventory Hygiene'!$I$3:$I$254,MATCH($A268,'Inventory Hygiene'!$B$3:$B$254,0)),IFERROR(INDEX('Inventory Hygiene'!$I$3:$I$254,MATCH(SUBSTITUTE($A268," SS","  SS"),'Inventory Hygiene'!$B$3:$B$254,0)),"NA"))</f>
        <v>NA</v>
      </c>
      <c r="F268" s="64" t="str">
        <f aca="false">IFERROR(INDEX('Bad Bins'!$K$3:$K$253,MATCH($A268,'Bad Bins'!$B$3:$B$253,0)),IFERROR(INDEX('Bad Bins'!$K$3:$K$253,MATCH(SUBSTITUTE($A268," SS","  SS"),'Bad Bins'!$B$3:$B$253,0)),"NA"))</f>
        <v>NA</v>
      </c>
      <c r="G268" s="64" t="str">
        <f aca="false">IFERROR(INDEX('RSTO &gt; 48hrs'!$H$2:$H$134,MATCH($A268,'RSTO &gt; 48hrs'!$B$2:$B$134,0)),IFERROR(INDEX('RSTO &gt; 48hrs'!$H$2:$H$134,MATCH(SUBSTITUTE($A268," SS","  SS"),'RSTO &gt; 48hrs'!$B$2:$B$134,0)),"NA"))</f>
        <v>NA</v>
      </c>
      <c r="H268" s="64" t="n">
        <f aca="false">IFERROR(INDEX('Recirculation &gt; 24 hrs'!$K$3:$K$151,MATCH($A268,'Recirculation &gt; 24 hrs'!$B$3:$B$151,0)),IFERROR(INDEX('Recirculation &gt; 24 hrs'!$K$3:$K$151,MATCH(SUBSTITUTE($A268," SS","  SS"),'Recirculation &gt; 24 hrs'!$B$3:$B$151,0)),"NA"))</f>
        <v>4</v>
      </c>
      <c r="I268" s="64" t="str">
        <f aca="false">IFERROR(INDEX('Pending Putaway'!$E$2:$E$1537,MATCH($A268,'Pending Putaway'!$B$2:$B$1537,0)),IFERROR(INDEX('Pending Putaway'!$E$2:$E$1537,MATCH(SUBSTITUTE($A268," SS","  SS"),'Pending Putaway'!$B$2:$B$1537,0)),"NA"))</f>
        <v>NA</v>
      </c>
      <c r="J268" s="64" t="str">
        <f aca="false">IFERROR(INDEX('Pending Putaway'!$L$2:$L$1537,MATCH($A268,'Pending Putaway'!$B$2:$B$1537,0)),IFERROR(INDEX('Pending Putaway'!$L$2:$L$1537,MATCH(SUBSTITUTE($A268," SS","  SS"),'Pending Putaway'!$B$2:$B$1537,0)),"NA"))</f>
        <v>NA</v>
      </c>
    </row>
    <row r="269" customFormat="false" ht="15" hidden="false" customHeight="false" outlineLevel="0" collapsed="false">
      <c r="A269" s="63" t="s">
        <v>287</v>
      </c>
      <c r="B269" s="63" t="str">
        <f aca="false">IFERROR(INDEX('CLM &amp; IM Mapping'!$B$2:$B$270,MATCH($A269,'CLM &amp; IM Mapping'!$A$2:$A$270,0)),"Not Mapped")</f>
        <v>Not Mapped</v>
      </c>
      <c r="C269" s="63" t="str">
        <f aca="false">IFERROR(INDEX('CLM &amp; IM Mapping'!$C$2:$C$270,MATCH($A269,'CLM &amp; IM Mapping'!$A$2:$A$270,0)),"Not Mapped")</f>
        <v>Not Mapped</v>
      </c>
      <c r="D269" s="64" t="n">
        <f aca="false">IFERROR(INDEX(Shrinkage!$P$2:$P$260,MATCH($A269,Shrinkage!$D$2:$D$260,0)),IFERROR(INDEX(Shrinkage!$P$2:$P$260,MATCH(SUBSTITUTE($A269," SS","  SS"),Shrinkage!$D$2:$D$260,0)),"NA"))</f>
        <v>0</v>
      </c>
      <c r="E269" s="65" t="str">
        <f aca="false">IFERROR(INDEX('Inventory Hygiene'!$I$3:$I$254,MATCH($A269,'Inventory Hygiene'!$B$3:$B$254,0)),IFERROR(INDEX('Inventory Hygiene'!$I$3:$I$254,MATCH(SUBSTITUTE($A269," SS","  SS"),'Inventory Hygiene'!$B$3:$B$254,0)),"NA"))</f>
        <v>NA</v>
      </c>
      <c r="F269" s="64" t="str">
        <f aca="false">IFERROR(INDEX('Bad Bins'!$K$3:$K$253,MATCH($A269,'Bad Bins'!$B$3:$B$253,0)),IFERROR(INDEX('Bad Bins'!$K$3:$K$253,MATCH(SUBSTITUTE($A269," SS","  SS"),'Bad Bins'!$B$3:$B$253,0)),"NA"))</f>
        <v>NA</v>
      </c>
      <c r="G269" s="64" t="str">
        <f aca="false">IFERROR(INDEX('RSTO &gt; 48hrs'!$H$2:$H$134,MATCH($A269,'RSTO &gt; 48hrs'!$B$2:$B$134,0)),IFERROR(INDEX('RSTO &gt; 48hrs'!$H$2:$H$134,MATCH(SUBSTITUTE($A269," SS","  SS"),'RSTO &gt; 48hrs'!$B$2:$B$134,0)),"NA"))</f>
        <v>NA</v>
      </c>
      <c r="H269" s="64" t="n">
        <f aca="false">IFERROR(INDEX('Recirculation &gt; 24 hrs'!$K$3:$K$151,MATCH($A269,'Recirculation &gt; 24 hrs'!$B$3:$B$151,0)),IFERROR(INDEX('Recirculation &gt; 24 hrs'!$K$3:$K$151,MATCH(SUBSTITUTE($A269," SS","  SS"),'Recirculation &gt; 24 hrs'!$B$3:$B$151,0)),"NA"))</f>
        <v>2</v>
      </c>
      <c r="I269" s="64" t="str">
        <f aca="false">IFERROR(INDEX('Pending Putaway'!$E$2:$E$1537,MATCH($A269,'Pending Putaway'!$B$2:$B$1537,0)),IFERROR(INDEX('Pending Putaway'!$E$2:$E$1537,MATCH(SUBSTITUTE($A269," SS","  SS"),'Pending Putaway'!$B$2:$B$1537,0)),"NA"))</f>
        <v>NA</v>
      </c>
      <c r="J269" s="64" t="str">
        <f aca="false">IFERROR(INDEX('Pending Putaway'!$L$2:$L$1537,MATCH($A269,'Pending Putaway'!$B$2:$B$1537,0)),IFERROR(INDEX('Pending Putaway'!$L$2:$L$1537,MATCH(SUBSTITUTE($A269," SS","  SS"),'Pending Putaway'!$B$2:$B$1537,0)),"NA"))</f>
        <v>NA</v>
      </c>
    </row>
  </sheetData>
  <autoFilter ref="A4:J269"/>
  <conditionalFormatting sqref="D6:D269">
    <cfRule type="colorScale" priority="2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conditionalFormatting sqref="F6:F269">
    <cfRule type="colorScale" priority="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6:G269">
    <cfRule type="colorScale" priority="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H6:H269">
    <cfRule type="colorScale" priority="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6:I269">
    <cfRule type="colorScale" priority="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6:J269">
    <cfRule type="colorScale" priority="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N6:N33">
    <cfRule type="colorScale" priority="8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conditionalFormatting sqref="P6:P33">
    <cfRule type="colorScale" priority="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Q6:Q33">
    <cfRule type="colorScale" priority="1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R6:R33">
    <cfRule type="colorScale" priority="1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S6:S33">
    <cfRule type="colorScale" priority="1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T6:T33">
    <cfRule type="colorScale" priority="1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Y6:Y16">
    <cfRule type="colorScale" priority="14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conditionalFormatting sqref="AA6:AA16">
    <cfRule type="colorScale" priority="1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B6:AB16">
    <cfRule type="colorScale" priority="1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C6:AC16">
    <cfRule type="colorScale" priority="1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D6:AD16">
    <cfRule type="colorScale" priority="1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E6:AE16">
    <cfRule type="colorScale" priority="1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Z6:Z16">
    <cfRule type="colorScale" priority="20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E6:E269">
    <cfRule type="colorScale" priority="2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O6:O33">
    <cfRule type="colorScale" priority="2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2026-10-08T06:31:02Z</dcterms:created>
  <dc:creator>openpyxl</dc:creator>
  <dc:description/>
  <dc:language>en-US</dc:language>
  <cp:lastModifiedBy/>
  <dcterms:modified xsi:type="dcterms:W3CDTF">2026-10-08T06:31:04Z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